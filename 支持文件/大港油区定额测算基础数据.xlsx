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3655" tabRatio="732" firstSheet="7" activeTab="7"/>
  </bookViews>
  <sheets>
    <sheet name="测算表" sheetId="32" state="hidden" r:id="rId1"/>
    <sheet name="目录" sheetId="17" state="hidden" r:id="rId2"/>
    <sheet name="1奖金系数表" sheetId="3" state="hidden" r:id="rId3"/>
    <sheet name="2人员定额" sheetId="8" state="hidden" r:id="rId4"/>
    <sheet name="3机关部门、直属单位通用管理指标考核表" sheetId="9" state="hidden" r:id="rId5"/>
    <sheet name="4机关部门、直属单位专业管理指标考核细则" sheetId="10" state="hidden" r:id="rId6"/>
    <sheet name="5工序定额" sheetId="1" state="hidden" r:id="rId7"/>
    <sheet name="大港油区定额统计" sheetId="36" r:id="rId8"/>
    <sheet name="6米费定额 " sheetId="11" state="hidden" r:id="rId9"/>
    <sheet name="7一般材料定额" sheetId="21" state="hidden" r:id="rId10"/>
    <sheet name="纯柴油+转化柴油定额 (2)" sheetId="28" state="hidden" r:id="rId11"/>
    <sheet name="能耗定额（郭）" sheetId="16" state="hidden" r:id="rId12"/>
    <sheet name="纯网电+转化网电定额 (4)" sheetId="29" state="hidden" r:id="rId13"/>
    <sheet name="柴油定额" sheetId="15" state="hidden" r:id="rId14"/>
    <sheet name="8能耗定额" sheetId="31" state="hidden" r:id="rId15"/>
    <sheet name="08能耗定额（2）" sheetId="30" state="hidden" r:id="rId16"/>
    <sheet name="9润滑油定额 " sheetId="19" state="hidden" r:id="rId17"/>
    <sheet name="10项修定额" sheetId="18" state="hidden" r:id="rId18"/>
    <sheet name="11生产水定额" sheetId="22" state="hidden" r:id="rId19"/>
    <sheet name="12生活污水定额" sheetId="23" state="hidden" r:id="rId20"/>
    <sheet name="13土工膜定额" sheetId="24" state="hidden" r:id="rId21"/>
    <sheet name="14钻机挂钩系数" sheetId="20" state="hidden" r:id="rId22"/>
    <sheet name="15区块平均日进尺" sheetId="12" state="hidden" r:id="rId23"/>
    <sheet name="16区块毛益率指标" sheetId="34" state="hidden" r:id="rId24"/>
    <sheet name="转置表" sheetId="33" state="hidden" r:id="rId25"/>
    <sheet name="Sheet1" sheetId="35" state="hidden" r:id="rId26"/>
  </sheets>
  <externalReferences>
    <externalReference r:id="rId31"/>
  </externalReferences>
  <definedNames>
    <definedName name="_xlnm._FilterDatabase" localSheetId="10" hidden="1">'纯柴油+转化柴油定额 (2)'!$A$4:$XDZ$41</definedName>
    <definedName name="_xlnm._FilterDatabase" localSheetId="12" hidden="1">'纯网电+转化网电定额 (4)'!$A$4:$XDZ$44</definedName>
    <definedName name="_xlnm._FilterDatabase" localSheetId="14" hidden="1">'8能耗定额'!$A$4:$R$51</definedName>
    <definedName name="_xlnm._FilterDatabase" localSheetId="16" hidden="1">'9润滑油定额 '!$A$4:$XEA$51</definedName>
    <definedName name="_xlnm._FilterDatabase" localSheetId="17" hidden="1">'10项修定额'!$A$4:$XEA$49</definedName>
    <definedName name="_xlnm._FilterDatabase" localSheetId="18" hidden="1">'11生产水定额'!$A$4:$P$41</definedName>
    <definedName name="_xlnm._FilterDatabase" localSheetId="19" hidden="1">'12生活污水定额'!$A$4:$I$46</definedName>
    <definedName name="_xlnm._FilterDatabase" localSheetId="22" hidden="1">'15区块平均日进尺'!$A$4:$XDZ$45</definedName>
    <definedName name="_xlnm._FilterDatabase" localSheetId="23" hidden="1">'16区块毛益率指标'!$A$4:$XEA$37</definedName>
    <definedName name="_xlnm._FilterDatabase" localSheetId="24" hidden="1">转置表!$A$1:$HU$134</definedName>
    <definedName name="_xlnm._FilterDatabase" localSheetId="9" hidden="1">'7一般材料定额'!$A$4:$XEZ$39</definedName>
    <definedName name="_xlnm._FilterDatabase" localSheetId="8" hidden="1">'6米费定额 '!$A$5:$XDN$39</definedName>
    <definedName name="_xlnm.Print_Area" localSheetId="8">'6米费定额 '!$A$1:$I$38</definedName>
    <definedName name="_xlnm.Print_Titles" localSheetId="8">'6米费定额 '!#REF!</definedName>
    <definedName name="_xlnm.Print_Area" localSheetId="22">'15区块平均日进尺'!$A$1:$H$37</definedName>
    <definedName name="_xlnm.Print_Titles" localSheetId="22">'15区块平均日进尺'!#REF!</definedName>
    <definedName name="_xlnm.Print_Area" localSheetId="13">柴油定额!$A$1:$H$64</definedName>
    <definedName name="_xlnm.Print_Titles" localSheetId="13">柴油定额!$1:$4</definedName>
    <definedName name="_xlnm.Print_Area" localSheetId="11">'能耗定额（郭）'!$A$1:$H$42</definedName>
    <definedName name="_xlnm.Print_Titles" localSheetId="11">'能耗定额（郭）'!$1:$5</definedName>
    <definedName name="_xlnm.Print_Area" localSheetId="17">'10项修定额'!$A$1:$I$36</definedName>
    <definedName name="_xlnm.Print_Titles" localSheetId="17">'10项修定额'!#REF!</definedName>
    <definedName name="_xlnm.Print_Area" localSheetId="16">'9润滑油定额 '!$A$1:$I$37</definedName>
    <definedName name="_xlnm.Print_Titles" localSheetId="16">'9润滑油定额 '!#REF!</definedName>
    <definedName name="_xlnm.Print_Area" localSheetId="9">'7一般材料定额'!$A$1:$J$37</definedName>
    <definedName name="_xlnm.Print_Titles" localSheetId="9">'7一般材料定额'!$1:$4</definedName>
    <definedName name="_xlnm.Print_Area" localSheetId="10">'纯柴油+转化柴油定额 (2)'!$A$1:$H$33</definedName>
    <definedName name="_xlnm.Print_Titles" localSheetId="10">'纯柴油+转化柴油定额 (2)'!#REF!</definedName>
    <definedName name="_xlnm.Print_Area" localSheetId="12">'纯网电+转化网电定额 (4)'!$A$1:$H$34</definedName>
    <definedName name="_xlnm.Print_Titles" localSheetId="12">'纯网电+转化网电定额 (4)'!#REF!</definedName>
    <definedName name="_xlnm.Print_Area" localSheetId="15">'08能耗定额（2）'!$A$1:$E$17</definedName>
    <definedName name="_xlnm.Print_Titles" localSheetId="15">'08能耗定额（2）'!$1:$4</definedName>
    <definedName name="_xlnm.Print_Area" localSheetId="23">'16区块毛益率指标'!$A$1:$I$37</definedName>
    <definedName name="_xlnm.Print_Titles" localSheetId="23">'16区块毛益率指标'!#REF!</definedName>
    <definedName name="_xlnm._FilterDatabase" localSheetId="7" hidden="1">大港油区定额统计!$A$3:$XDO$37</definedName>
    <definedName name="_xlnm.Print_Area" localSheetId="7">大港油区定额统计!$A$1:$P$36</definedName>
    <definedName name="_xlnm.Print_Titles" localSheetId="7">大港油区定额统计!#REF!</definedName>
  </definedNames>
  <calcPr calcId="191029" iterate="1" iterateCount="1000" iterateDelta="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A3" authorId="0">
      <text>
        <r>
          <rPr>
            <sz val="9"/>
            <rFont val="宋体"/>
            <charset val="134"/>
          </rPr>
          <t>自动编号</t>
        </r>
      </text>
    </comment>
  </commentList>
</comments>
</file>

<file path=xl/comments2.xml><?xml version="1.0" encoding="utf-8"?>
<comments xmlns="http://schemas.openxmlformats.org/spreadsheetml/2006/main">
  <authors>
    <author>forev</author>
  </authors>
  <commentList>
    <comment ref="B6" authorId="0">
      <text>
        <r>
          <rPr>
            <b/>
            <sz val="9"/>
            <rFont val="宋体"/>
            <charset val="134"/>
          </rPr>
          <t>forev:</t>
        </r>
        <r>
          <rPr>
            <sz val="9"/>
            <rFont val="宋体"/>
            <charset val="134"/>
          </rPr>
          <t xml:space="preserve">
27-45</t>
        </r>
      </text>
    </comment>
    <comment ref="C6" authorId="0">
      <text>
        <r>
          <rPr>
            <b/>
            <sz val="9"/>
            <rFont val="宋体"/>
            <charset val="134"/>
          </rPr>
          <t>forev:</t>
        </r>
        <r>
          <rPr>
            <sz val="9"/>
            <rFont val="宋体"/>
            <charset val="134"/>
          </rPr>
          <t xml:space="preserve">
32-60</t>
        </r>
      </text>
    </comment>
    <comment ref="D6" authorId="0">
      <text>
        <r>
          <rPr>
            <b/>
            <sz val="9"/>
            <rFont val="宋体"/>
            <charset val="134"/>
          </rPr>
          <t>forev:</t>
        </r>
        <r>
          <rPr>
            <sz val="9"/>
            <rFont val="宋体"/>
            <charset val="134"/>
          </rPr>
          <t xml:space="preserve">
49-90，未包括109和115
</t>
        </r>
      </text>
    </comment>
    <comment ref="H6" authorId="0">
      <text>
        <r>
          <rPr>
            <b/>
            <sz val="9"/>
            <rFont val="宋体"/>
            <charset val="134"/>
          </rPr>
          <t>forev:</t>
        </r>
        <r>
          <rPr>
            <sz val="9"/>
            <rFont val="宋体"/>
            <charset val="134"/>
          </rPr>
          <t xml:space="preserve">
27-42</t>
        </r>
      </text>
    </comment>
    <comment ref="I6" authorId="0">
      <text>
        <r>
          <rPr>
            <b/>
            <sz val="9"/>
            <rFont val="宋体"/>
            <charset val="134"/>
          </rPr>
          <t>forev:</t>
        </r>
        <r>
          <rPr>
            <sz val="9"/>
            <rFont val="宋体"/>
            <charset val="134"/>
          </rPr>
          <t xml:space="preserve">
29-58
</t>
        </r>
      </text>
    </comment>
    <comment ref="J6" authorId="0">
      <text>
        <r>
          <rPr>
            <b/>
            <sz val="9"/>
            <rFont val="宋体"/>
            <charset val="134"/>
          </rPr>
          <t>forev:</t>
        </r>
        <r>
          <rPr>
            <sz val="9"/>
            <rFont val="宋体"/>
            <charset val="134"/>
          </rPr>
          <t xml:space="preserve">
24-56
</t>
        </r>
      </text>
    </comment>
    <comment ref="K6" authorId="0">
      <text>
        <r>
          <rPr>
            <b/>
            <sz val="9"/>
            <rFont val="宋体"/>
            <charset val="134"/>
          </rPr>
          <t>forev:</t>
        </r>
        <r>
          <rPr>
            <sz val="9"/>
            <rFont val="宋体"/>
            <charset val="134"/>
          </rPr>
          <t xml:space="preserve">
53-68，未包括千探1井179.79
</t>
        </r>
      </text>
    </comment>
    <comment ref="L6" authorId="0">
      <text>
        <r>
          <rPr>
            <b/>
            <sz val="9"/>
            <rFont val="宋体"/>
            <charset val="134"/>
          </rPr>
          <t>29</t>
        </r>
        <r>
          <rPr>
            <sz val="9"/>
            <rFont val="宋体"/>
            <charset val="134"/>
          </rPr>
          <t xml:space="preserve">-69，千探1井668未统计
</t>
        </r>
      </text>
    </comment>
    <comment ref="M6" authorId="0">
      <text>
        <r>
          <rPr>
            <b/>
            <sz val="9"/>
            <rFont val="宋体"/>
            <charset val="134"/>
          </rPr>
          <t>forev:43-76,千探1井304未统计</t>
        </r>
      </text>
    </comment>
    <comment ref="L7" authorId="0">
      <text>
        <r>
          <rPr>
            <b/>
            <sz val="9"/>
            <rFont val="宋体"/>
            <charset val="134"/>
          </rPr>
          <t>forev:</t>
        </r>
        <r>
          <rPr>
            <sz val="9"/>
            <rFont val="宋体"/>
            <charset val="134"/>
          </rPr>
          <t xml:space="preserve">
29-56</t>
        </r>
      </text>
    </comment>
    <comment ref="M7" authorId="0">
      <text>
        <r>
          <rPr>
            <b/>
            <sz val="9"/>
            <rFont val="宋体"/>
            <charset val="134"/>
          </rPr>
          <t>forev:</t>
        </r>
        <r>
          <rPr>
            <sz val="9"/>
            <rFont val="宋体"/>
            <charset val="134"/>
          </rPr>
          <t xml:space="preserve">
36-39
</t>
        </r>
      </text>
    </comment>
    <comment ref="C8" authorId="0">
      <text>
        <r>
          <rPr>
            <b/>
            <sz val="9"/>
            <rFont val="宋体"/>
            <charset val="134"/>
          </rPr>
          <t>forev:</t>
        </r>
        <r>
          <rPr>
            <sz val="9"/>
            <rFont val="宋体"/>
            <charset val="134"/>
          </rPr>
          <t xml:space="preserve">
33-54</t>
        </r>
      </text>
    </comment>
    <comment ref="D8" authorId="0">
      <text>
        <r>
          <rPr>
            <b/>
            <sz val="9"/>
            <rFont val="宋体"/>
            <charset val="134"/>
          </rPr>
          <t>forev:</t>
        </r>
        <r>
          <rPr>
            <sz val="9"/>
            <rFont val="宋体"/>
            <charset val="134"/>
          </rPr>
          <t xml:space="preserve">
49-77</t>
        </r>
      </text>
    </comment>
    <comment ref="L8" authorId="0">
      <text>
        <r>
          <rPr>
            <b/>
            <sz val="9"/>
            <rFont val="宋体"/>
            <charset val="134"/>
          </rPr>
          <t>forev:</t>
        </r>
        <r>
          <rPr>
            <sz val="9"/>
            <rFont val="宋体"/>
            <charset val="134"/>
          </rPr>
          <t xml:space="preserve">
42-55
</t>
        </r>
      </text>
    </comment>
    <comment ref="M8" authorId="0">
      <text>
        <r>
          <rPr>
            <b/>
            <sz val="9"/>
            <rFont val="宋体"/>
            <charset val="134"/>
          </rPr>
          <t>forev:</t>
        </r>
        <r>
          <rPr>
            <sz val="9"/>
            <rFont val="宋体"/>
            <charset val="134"/>
          </rPr>
          <t xml:space="preserve">
25-87</t>
        </r>
      </text>
    </comment>
    <comment ref="C9" authorId="0">
      <text>
        <r>
          <rPr>
            <b/>
            <sz val="9"/>
            <rFont val="宋体"/>
            <charset val="134"/>
          </rPr>
          <t>forev:</t>
        </r>
        <r>
          <rPr>
            <sz val="9"/>
            <rFont val="宋体"/>
            <charset val="134"/>
          </rPr>
          <t xml:space="preserve">
28-62</t>
        </r>
      </text>
    </comment>
    <comment ref="D9" authorId="0">
      <text>
        <r>
          <rPr>
            <b/>
            <sz val="9"/>
            <rFont val="宋体"/>
            <charset val="134"/>
          </rPr>
          <t>forev:</t>
        </r>
        <r>
          <rPr>
            <sz val="9"/>
            <rFont val="宋体"/>
            <charset val="134"/>
          </rPr>
          <t xml:space="preserve">
27-74，未包括223</t>
        </r>
      </text>
    </comment>
    <comment ref="C10" authorId="0">
      <text>
        <r>
          <rPr>
            <b/>
            <sz val="9"/>
            <rFont val="宋体"/>
            <charset val="134"/>
          </rPr>
          <t>forev:</t>
        </r>
        <r>
          <rPr>
            <sz val="9"/>
            <rFont val="宋体"/>
            <charset val="134"/>
          </rPr>
          <t xml:space="preserve">
24-50</t>
        </r>
      </text>
    </comment>
    <comment ref="D10" authorId="0">
      <text>
        <r>
          <rPr>
            <b/>
            <sz val="9"/>
            <rFont val="宋体"/>
            <charset val="134"/>
          </rPr>
          <t>forev:</t>
        </r>
        <r>
          <rPr>
            <sz val="9"/>
            <rFont val="宋体"/>
            <charset val="134"/>
          </rPr>
          <t xml:space="preserve">
51-84
</t>
        </r>
      </text>
    </comment>
    <comment ref="C12" authorId="0">
      <text>
        <r>
          <rPr>
            <b/>
            <sz val="9"/>
            <rFont val="宋体"/>
            <charset val="134"/>
          </rPr>
          <t>forev:</t>
        </r>
        <r>
          <rPr>
            <sz val="9"/>
            <rFont val="宋体"/>
            <charset val="134"/>
          </rPr>
          <t xml:space="preserve">
24-55
</t>
        </r>
      </text>
    </comment>
    <comment ref="D12" authorId="0">
      <text>
        <r>
          <rPr>
            <b/>
            <sz val="9"/>
            <rFont val="宋体"/>
            <charset val="134"/>
          </rPr>
          <t>forev:</t>
        </r>
        <r>
          <rPr>
            <sz val="9"/>
            <rFont val="宋体"/>
            <charset val="134"/>
          </rPr>
          <t xml:space="preserve">
51-84，未包括152/146</t>
        </r>
      </text>
    </comment>
    <comment ref="K18" authorId="0">
      <text>
        <r>
          <rPr>
            <b/>
            <sz val="9"/>
            <rFont val="宋体"/>
            <charset val="134"/>
          </rPr>
          <t>forev:</t>
        </r>
        <r>
          <rPr>
            <sz val="9"/>
            <rFont val="宋体"/>
            <charset val="134"/>
          </rPr>
          <t xml:space="preserve">
25-41
</t>
        </r>
      </text>
    </comment>
    <comment ref="L18" authorId="0">
      <text>
        <r>
          <rPr>
            <b/>
            <sz val="9"/>
            <rFont val="宋体"/>
            <charset val="134"/>
          </rPr>
          <t>forev:</t>
        </r>
        <r>
          <rPr>
            <sz val="9"/>
            <rFont val="宋体"/>
            <charset val="134"/>
          </rPr>
          <t xml:space="preserve">
43-63
</t>
        </r>
      </text>
    </comment>
    <comment ref="H19" authorId="0">
      <text>
        <r>
          <rPr>
            <b/>
            <sz val="9"/>
            <rFont val="宋体"/>
            <charset val="134"/>
          </rPr>
          <t>forev:</t>
        </r>
        <r>
          <rPr>
            <sz val="9"/>
            <rFont val="宋体"/>
            <charset val="134"/>
          </rPr>
          <t xml:space="preserve">
37-48</t>
        </r>
      </text>
    </comment>
    <comment ref="I19" authorId="0">
      <text>
        <r>
          <rPr>
            <b/>
            <sz val="9"/>
            <rFont val="宋体"/>
            <charset val="134"/>
          </rPr>
          <t>forev:</t>
        </r>
        <r>
          <rPr>
            <sz val="9"/>
            <rFont val="宋体"/>
            <charset val="134"/>
          </rPr>
          <t xml:space="preserve">
32-85</t>
        </r>
      </text>
    </comment>
    <comment ref="J19" authorId="0">
      <text>
        <r>
          <rPr>
            <b/>
            <sz val="9"/>
            <rFont val="宋体"/>
            <charset val="134"/>
          </rPr>
          <t>forev:</t>
        </r>
        <r>
          <rPr>
            <sz val="9"/>
            <rFont val="宋体"/>
            <charset val="134"/>
          </rPr>
          <t xml:space="preserve">
117-241，未包括407</t>
        </r>
      </text>
    </comment>
    <comment ref="K20" authorId="0">
      <text>
        <r>
          <rPr>
            <b/>
            <sz val="9"/>
            <rFont val="宋体"/>
            <charset val="134"/>
          </rPr>
          <t>forev:</t>
        </r>
        <r>
          <rPr>
            <sz val="9"/>
            <rFont val="宋体"/>
            <charset val="134"/>
          </rPr>
          <t xml:space="preserve">
29-76</t>
        </r>
      </text>
    </comment>
    <comment ref="L20" authorId="0">
      <text>
        <r>
          <rPr>
            <b/>
            <sz val="9"/>
            <rFont val="宋体"/>
            <charset val="134"/>
          </rPr>
          <t>forev:</t>
        </r>
        <r>
          <rPr>
            <sz val="9"/>
            <rFont val="宋体"/>
            <charset val="134"/>
          </rPr>
          <t xml:space="preserve">
25-120</t>
        </r>
      </text>
    </comment>
  </commentList>
</comments>
</file>

<file path=xl/sharedStrings.xml><?xml version="1.0" encoding="utf-8"?>
<sst xmlns="http://schemas.openxmlformats.org/spreadsheetml/2006/main" count="4786" uniqueCount="847">
  <si>
    <t>原政策考核</t>
  </si>
  <si>
    <t>序号</t>
  </si>
  <si>
    <t>年份</t>
  </si>
  <si>
    <t>月份</t>
  </si>
  <si>
    <t>市场分布</t>
  </si>
  <si>
    <t>队号</t>
  </si>
  <si>
    <t>钻机类型</t>
  </si>
  <si>
    <t>井号</t>
  </si>
  <si>
    <t>区块</t>
  </si>
  <si>
    <t>井别</t>
  </si>
  <si>
    <t>井型</t>
  </si>
  <si>
    <t>开次</t>
  </si>
  <si>
    <t>实际井深（米）</t>
  </si>
  <si>
    <t>搬迁周期（天）</t>
  </si>
  <si>
    <t>建井周期</t>
  </si>
  <si>
    <t>柴油</t>
  </si>
  <si>
    <t>机油</t>
  </si>
  <si>
    <t>一般材料</t>
  </si>
  <si>
    <t>设备修理</t>
  </si>
  <si>
    <t>井控材料</t>
  </si>
  <si>
    <t>材料运费</t>
  </si>
  <si>
    <t>生活污水拉运量</t>
  </si>
  <si>
    <t>增效工时</t>
  </si>
  <si>
    <t>周期兑现（B类）</t>
  </si>
  <si>
    <t>材料预算</t>
  </si>
  <si>
    <t>小计</t>
  </si>
  <si>
    <t>1月</t>
  </si>
  <si>
    <t>大港</t>
  </si>
  <si>
    <t>ZJ70D</t>
  </si>
  <si>
    <t>板111-28</t>
  </si>
  <si>
    <t>板桥</t>
  </si>
  <si>
    <t>开发井</t>
  </si>
  <si>
    <t>定向井</t>
  </si>
  <si>
    <t>3月</t>
  </si>
  <si>
    <t>板172X1</t>
  </si>
  <si>
    <t>4月</t>
  </si>
  <si>
    <t>ZJ50J</t>
  </si>
  <si>
    <t>板61-37H</t>
  </si>
  <si>
    <t>水平井</t>
  </si>
  <si>
    <t>5月</t>
  </si>
  <si>
    <t>板180X1</t>
  </si>
  <si>
    <t>评价井</t>
  </si>
  <si>
    <t>板60-47H</t>
  </si>
  <si>
    <t>南港13-18</t>
  </si>
  <si>
    <t>唐东</t>
  </si>
  <si>
    <t>6月</t>
  </si>
  <si>
    <t>板61-36H</t>
  </si>
  <si>
    <t>7月</t>
  </si>
  <si>
    <t>板60-48H</t>
  </si>
  <si>
    <t>唐东9X9</t>
  </si>
  <si>
    <t>10月</t>
  </si>
  <si>
    <t>唐东20X5</t>
  </si>
  <si>
    <t>新政策考核</t>
  </si>
  <si>
    <t>工序</t>
  </si>
  <si>
    <t>米费</t>
  </si>
  <si>
    <t>能耗</t>
  </si>
  <si>
    <t>润滑油</t>
  </si>
  <si>
    <t>项修</t>
  </si>
  <si>
    <t>生产水</t>
  </si>
  <si>
    <t>生活污水</t>
  </si>
  <si>
    <t>土工膜</t>
  </si>
  <si>
    <t>周期兑现</t>
  </si>
  <si>
    <t>总计</t>
  </si>
  <si>
    <t>增加材料考核项</t>
  </si>
  <si>
    <t>与原政策对比</t>
  </si>
  <si>
    <t>张海31-43</t>
  </si>
  <si>
    <t>周期兑现差额</t>
  </si>
  <si>
    <t>材料考核项差额</t>
  </si>
  <si>
    <t>总体考核差额</t>
  </si>
  <si>
    <t>全年差额</t>
  </si>
  <si>
    <t>附件1</t>
  </si>
  <si>
    <t>目录</t>
  </si>
  <si>
    <t>名称</t>
  </si>
  <si>
    <t>奖金系数表</t>
  </si>
  <si>
    <t>人员定额</t>
  </si>
  <si>
    <t>机关部门、直属单位通用管理指标考核表</t>
  </si>
  <si>
    <t>机关部门、直属单位专业管理指标考核表</t>
  </si>
  <si>
    <t>大港油区工序定额</t>
  </si>
  <si>
    <t>大港油区米费定额</t>
  </si>
  <si>
    <t>大港油区一般材料定额</t>
  </si>
  <si>
    <t>大港油区能耗定额</t>
  </si>
  <si>
    <t>大港油区润滑油定额</t>
  </si>
  <si>
    <t>大港油区项修定额</t>
  </si>
  <si>
    <t>大港油区生产水定额</t>
  </si>
  <si>
    <t>大港油区生活污水定额</t>
  </si>
  <si>
    <t>大港油区土工膜定额</t>
  </si>
  <si>
    <t>大港油区钻机挂钩系数</t>
  </si>
  <si>
    <t>大港油区区块平均日进尺</t>
  </si>
  <si>
    <t>大港油区区块毛益率指标</t>
  </si>
  <si>
    <t>事故复杂率指标</t>
  </si>
  <si>
    <t>附件1-1</t>
  </si>
  <si>
    <t>切块奖金系数表</t>
  </si>
  <si>
    <t>部门或单位</t>
  </si>
  <si>
    <t>岗位名称</t>
  </si>
  <si>
    <t>系数</t>
  </si>
  <si>
    <t>机关直属</t>
  </si>
  <si>
    <t>室内管理岗</t>
  </si>
  <si>
    <t>现场管理岗</t>
  </si>
  <si>
    <t>盯井工程师</t>
  </si>
  <si>
    <t>凌云按盯井工程师系数2.0造</t>
  </si>
  <si>
    <t>安全监督中心</t>
  </si>
  <si>
    <t>油区现场监督</t>
  </si>
  <si>
    <t>外部、外包现场监督</t>
  </si>
  <si>
    <t>生产保障中心</t>
  </si>
  <si>
    <t>档案管理</t>
  </si>
  <si>
    <t>班长、电工、司机、调度、安全员</t>
  </si>
  <si>
    <t>办事员、会务、打字员、食堂</t>
  </si>
  <si>
    <t>门岗</t>
  </si>
  <si>
    <t>清洁班、护厂、活动中心</t>
  </si>
  <si>
    <t>技术员、班长</t>
  </si>
  <si>
    <t>搬迁工、修理工、安全员</t>
  </si>
  <si>
    <t>办事员</t>
  </si>
  <si>
    <t>物资管理中心</t>
  </si>
  <si>
    <t>班长</t>
  </si>
  <si>
    <t>押运员、送料员、稽核员、安全员</t>
  </si>
  <si>
    <t>保管员</t>
  </si>
  <si>
    <t>外部项目部</t>
  </si>
  <si>
    <t>项目部管理人员</t>
  </si>
  <si>
    <t>周雪峰、刘金文的系数1.4是否改，南部机构撤销</t>
  </si>
  <si>
    <t>国际项目部/新项目管理部</t>
  </si>
  <si>
    <t>新项目部管理人员</t>
  </si>
  <si>
    <t>2.13日修改为1.6系数</t>
  </si>
  <si>
    <t>钻井队</t>
  </si>
  <si>
    <t>大港油区钻井队</t>
  </si>
  <si>
    <t>外部市场钻井队</t>
  </si>
  <si>
    <t>注：项目部驻公司机关办公人员奖金系数参照机关直属标准执行。</t>
  </si>
  <si>
    <t>钻井队管理岗位奖金系数表</t>
  </si>
  <si>
    <t>队长（平台经理）</t>
  </si>
  <si>
    <t>党支部书记、第一技术员</t>
  </si>
  <si>
    <t>副队长、第二技术员、司钻</t>
  </si>
  <si>
    <t>实习技术员</t>
  </si>
  <si>
    <t>注：该系数为指导性系数。司钻、实习技术员参照管理岗设置奖金系数。</t>
  </si>
  <si>
    <t>钻井队操作岗位奖金系数表</t>
  </si>
  <si>
    <t>司钻</t>
  </si>
  <si>
    <t>机房大班、钻台大班、电气师、副司钻</t>
  </si>
  <si>
    <t>钻工、泥浆工、司机</t>
  </si>
  <si>
    <t>机工、发电工、炊事员、成本员、材料员、管理员</t>
  </si>
  <si>
    <t>注：该系数为指导性系数。</t>
  </si>
  <si>
    <t>附件1-2</t>
  </si>
  <si>
    <t>主体单位</t>
  </si>
  <si>
    <t>所属地区</t>
  </si>
  <si>
    <t>钻井队定员（人/队）</t>
  </si>
  <si>
    <t>项目部定编（人）</t>
  </si>
  <si>
    <t>大港油区项目</t>
  </si>
  <si>
    <t>天津、河北等</t>
  </si>
  <si>
    <t>/</t>
  </si>
  <si>
    <t>西北项目</t>
  </si>
  <si>
    <t>南疆</t>
  </si>
  <si>
    <t>北疆</t>
  </si>
  <si>
    <t>长庆项目</t>
  </si>
  <si>
    <t>陕西、甘肃、内蒙等</t>
  </si>
  <si>
    <t>注：动力外包、食堂外包队伍减少定员3人/队。</t>
  </si>
  <si>
    <t>附件1-3</t>
  </si>
  <si>
    <t>单位</t>
  </si>
  <si>
    <t>人数</t>
  </si>
  <si>
    <t>办公费（元/年）</t>
  </si>
  <si>
    <t>车辆使用(台班/年)</t>
  </si>
  <si>
    <t>备注</t>
  </si>
  <si>
    <t>办公室/党委办公室</t>
  </si>
  <si>
    <t>直属管理岗4人</t>
  </si>
  <si>
    <t>市场与生产协调部</t>
  </si>
  <si>
    <t>室内3人、室外8人</t>
  </si>
  <si>
    <t>工程技术部</t>
  </si>
  <si>
    <t>直属管理岗6人、EISC岗5人</t>
  </si>
  <si>
    <t>质量安全环保部</t>
  </si>
  <si>
    <t>室外5人、视频监控3人、门卫3人</t>
  </si>
  <si>
    <t>装备管理部</t>
  </si>
  <si>
    <t>室外3人</t>
  </si>
  <si>
    <t>人力资源部/党委组织部</t>
  </si>
  <si>
    <t>含人力资源共享中心6人</t>
  </si>
  <si>
    <t>企划财务部</t>
  </si>
  <si>
    <t>党群工作部/纪委办公室</t>
  </si>
  <si>
    <t>门卫2人</t>
  </si>
  <si>
    <t>管理岗9人、长期室内13人、押运4人</t>
  </si>
  <si>
    <t>管理岗4人、监督18人</t>
  </si>
  <si>
    <t>井控监督中心</t>
  </si>
  <si>
    <t>用车与工程技术科合并考核</t>
  </si>
  <si>
    <t>数智中心</t>
  </si>
  <si>
    <t>管理岗6人、室内6人，含公共实施消耗7万元</t>
  </si>
  <si>
    <t>合     计</t>
  </si>
  <si>
    <t>备注：
1．车辆使用每节余（超支）1台班奖励（扣减）科室80元；办公费按照节余（超支）额的50%进行奖励（扣减）。
2．机关部门使用车辆按台班签字；当日使用车辆8小时及以上，按1台班计算。多部门拼车出行，该车辆使用时间由用车部门分摊，计入考核指标。
3．办公费指标核定标准：机关部门人员核定标准为500元/人，长期室外工作人员100元/人；直属单位管理岗200元/人，办事员及长期室内工作人员100元/人，其他岗位人员按30元/人，安全监督65元/人。</t>
  </si>
  <si>
    <t>附件1-4</t>
  </si>
  <si>
    <t>部门(单位)</t>
  </si>
  <si>
    <t>承包管理指标项目名称</t>
  </si>
  <si>
    <t>计量单位</t>
  </si>
  <si>
    <t>承包管理指标</t>
  </si>
  <si>
    <t>考核方式</t>
  </si>
  <si>
    <t>考核办法</t>
  </si>
  <si>
    <t>通用指标</t>
  </si>
  <si>
    <t>部门原因造成钻井队施工异常</t>
  </si>
  <si>
    <t>次</t>
  </si>
  <si>
    <t>季度</t>
  </si>
  <si>
    <t>季度考核，每发生一次，核减责任部门10%月奖。</t>
  </si>
  <si>
    <t>渤海钻探公司及相关处室下达的考核指标</t>
  </si>
  <si>
    <t>项</t>
  </si>
  <si>
    <t>月度</t>
  </si>
  <si>
    <t>对公司相关职责承担部门（单位）进行考核，进度未完成核减业务牵头部门（单位）20%月奖、业务配合部门（单位）10%月奖；年度未完成考核指标累计核减业务牵头部门(单位）月度100%月奖、业务配合部门（单位）月度50%月奖。</t>
  </si>
  <si>
    <t>生产经营过程管理考核</t>
  </si>
  <si>
    <t>在各级检查、审核中发现专业路管理问题或单位履职未尽责造成上级通报批评影响公司声誉的，每起核减责任单位10%月奖。</t>
  </si>
  <si>
    <t>预提费用考核</t>
  </si>
  <si>
    <t>%</t>
  </si>
  <si>
    <t>考核变动成本月度预提费用准确性，考核结果与业务经办部门（含项目部)及机关归口部门负责人挂钩，费用偏差≤5%合格，5%＜费用偏差≤10%，沉没月奖10%；10%＜费用偏差≤15%，沉没月奖20%；费用偏差＞15%，沉没月奖30%。</t>
  </si>
  <si>
    <t>荣誉奖励</t>
  </si>
  <si>
    <t>获得国家级、省部级集体荣誉，核增获奖集体人均绩效薪酬不超过1200元、800元，生产类核增加倍。上级有核增绩效薪酬的不重复。</t>
  </si>
  <si>
    <t>大港油区搬安周期考核</t>
  </si>
  <si>
    <t>按季度完成井进行考核，实际平均口井搬安天数同比去年缩短10%，核增绩效薪酬15000元；同比缩短15%，核增绩效薪酬20000元；超过去年平均口井搬安天数，核减10000元。</t>
  </si>
  <si>
    <t>网电接入口井数和接入及时率</t>
  </si>
  <si>
    <t>口井</t>
  </si>
  <si>
    <t>新搬迁井位的钻井队，在开钻前接入并使用网电的，口井核增绩效薪酬2000元。二开前完成核增绩效薪酬1000元。</t>
  </si>
  <si>
    <t>公司进尺任务</t>
  </si>
  <si>
    <t>万米</t>
  </si>
  <si>
    <t>月度完成核增绩效薪酬5000元，未完成核减绩效薪酬2500元。</t>
  </si>
  <si>
    <t>大港油区进尺任务</t>
  </si>
  <si>
    <t>月度完成核增绩效薪酬10000元，未完成核减绩效薪酬10000元。每增加（减少）1米，核增（核减）绩效薪酬1元。</t>
  </si>
  <si>
    <t>公司创收任务</t>
  </si>
  <si>
    <t>亿元</t>
  </si>
  <si>
    <t>季度/年度</t>
  </si>
  <si>
    <t>季度完成核增绩效薪酬10000元，未完成核减绩效薪酬5000元；全年完成核增绩效薪酬20000元，未完成核减绩效薪酬10000元。</t>
  </si>
  <si>
    <t>大港油区创收任务</t>
  </si>
  <si>
    <t>季度完成核增绩效薪酬20000元，未完成核减绩效薪酬20000元；年度完成核增绩效薪酬20000元，未完成核减绩效薪酬20000元。年度超额完成指标占比每1%核增绩效薪酬30000元。未达标准每1%核减绩效薪酬30000元。</t>
  </si>
  <si>
    <t>工程技术部、井控监督中心</t>
  </si>
  <si>
    <t>公司整体提速（钻完井周期）</t>
  </si>
  <si>
    <t>半年/年度</t>
  </si>
  <si>
    <t>半年完成核增绩效薪酬20000元，未完成核减绩效薪酬10000元；全年完成核增绩效薪酬30000元；全年未完成核减绩效薪酬15000元。</t>
  </si>
  <si>
    <t>大港油区五类井提速（钻井周期）</t>
  </si>
  <si>
    <t>季度完成核增绩效薪酬20000元，未完成核减绩效薪酬10000元；年度完成核增绩效薪酬30000元，未完成核减绩效薪酬15000元。</t>
  </si>
  <si>
    <t>大港油区提速工具考核</t>
  </si>
  <si>
    <t>天</t>
  </si>
  <si>
    <t>每口井考核提速工具提速目标，达到预期目标核增绩效薪酬3000元，未达到核减绩效薪酬1500元。</t>
  </si>
  <si>
    <t>公司事故复杂考核</t>
  </si>
  <si>
    <t>半年完成核增绩效薪酬20000元，未完成核减绩效薪酬10000元；全年完成任务核增绩效薪酬40000元，未完成核减绩效薪酬20000元。</t>
  </si>
  <si>
    <t>大港油区事故复杂考核</t>
  </si>
  <si>
    <t>季度完成核增绩效薪酬20000元，未完成核减绩效薪酬10000元；第四季度按年度考核，完成任务核增绩效薪酬40000元，未完成核减绩效薪酬20000元。</t>
  </si>
  <si>
    <t>大港油区钻头米费考核</t>
  </si>
  <si>
    <t>元/米</t>
  </si>
  <si>
    <t>2025年平均值</t>
  </si>
  <si>
    <t>季度完成核增绩效薪酬10000元，未完成核减绩效薪酬5000元。钻头米费标准与平均井深同比例增减。</t>
  </si>
  <si>
    <t>施工质量控制</t>
  </si>
  <si>
    <t>月度/年度</t>
  </si>
  <si>
    <t>发生井口未正常交井事件每起核减绩效薪酬3000元。年度固井质量优质率高于同市场水平核增绩效薪酬30000元。低于平均值核减绩效薪酬15000元。</t>
  </si>
  <si>
    <t>公司安全事故</t>
  </si>
  <si>
    <t>起</t>
  </si>
  <si>
    <t>一般C级及以上安全事故，每发生1起核减10%绩效薪酬，部门负责人加倍。</t>
  </si>
  <si>
    <t>“四不两直”及体系审核</t>
  </si>
  <si>
    <t>在上级“四不两直”或体系审核中得到上级通报表扬的每次核增绩效薪酬20000元，发生严重违反上级禁令造成恶劣影响的，每次核减绩效薪酬10000元。</t>
  </si>
  <si>
    <t>质量控制</t>
  </si>
  <si>
    <t>完成上级下达的质量工作目标。每发生一起质量事件核减绩效薪酬3000元。</t>
  </si>
  <si>
    <t>年度HSE指标完成情况</t>
  </si>
  <si>
    <t>年度</t>
  </si>
  <si>
    <t>全年完成HSE指标，现场人员收入不低于市场、生产、装备现场管理人员平均收入水平。</t>
  </si>
  <si>
    <t>机修率</t>
  </si>
  <si>
    <t>按当月施工井时效进行统计，机修率每低于考核指标0.1个点，核增绩效薪酬500元，每超出0.1点，核减绩效薪酬500元。考核结果与钻机利用率挂钩：钻机利用率≥80%，按全额考核兑现；当钻机利用率＜80%，按考核金额×（实际钻机利用率÷0.8)兑现。</t>
  </si>
  <si>
    <t>大港油区设备保障</t>
  </si>
  <si>
    <t>生产过程中发生设备影响生产的情况每超出一起核减绩效薪酬1000元；在各类检查中发现设备不能正常运转而影响生产核减绩效薪酬2000元/起；发生因设备原因造成的事故复杂核减绩效薪酬10000元；季度未发生核增绩效薪酬10000元。</t>
  </si>
  <si>
    <t>完成井一般材料消耗节余</t>
  </si>
  <si>
    <t>与单井一般材料定额相比，节余1.5%以上，按超额节余金额的2%核增绩效薪酬，节余不足部分按照2%核减绩效薪酬。</t>
  </si>
  <si>
    <t>现场物资质量管控</t>
  </si>
  <si>
    <t>因物资质量问题影响生产，每发生1起核减绩效薪酬1000元。</t>
  </si>
  <si>
    <t>物资运费</t>
  </si>
  <si>
    <t>车次/台月</t>
  </si>
  <si>
    <t>每节约1车次核增绩效薪酬400元,增加1车次核减绩效薪酬200元。</t>
  </si>
  <si>
    <t>单井电料消耗</t>
  </si>
  <si>
    <t>元</t>
  </si>
  <si>
    <t>按照季度完成井节超额10%核增（核减）绩效薪酬。</t>
  </si>
  <si>
    <t>修理加工产值</t>
  </si>
  <si>
    <t>万元</t>
  </si>
  <si>
    <t>按超（差）额5%核增（核减）绩效薪酬。设备修理、加工按市场价计算产值。</t>
  </si>
  <si>
    <t>部门用车情况</t>
  </si>
  <si>
    <t>台班</t>
  </si>
  <si>
    <t>各部门</t>
  </si>
  <si>
    <t>根据各单位考核结果，完成考核指标核增绩效薪酬总额20%进行核增，未完成考核指标核减绩效薪酬总额20%进行核减。</t>
  </si>
  <si>
    <t>增效工时考核</t>
  </si>
  <si>
    <t>天/人</t>
  </si>
  <si>
    <t>鼓励搬迁队、水电队主动支援一线工作，按工时超（差）额进行核增（核减）绩效薪酬100元/天。</t>
  </si>
  <si>
    <t>附件1-5</t>
  </si>
  <si>
    <t>定额</t>
  </si>
  <si>
    <t>搬迁拆卸</t>
  </si>
  <si>
    <t>元/井次</t>
  </si>
  <si>
    <t>平移拆卸</t>
  </si>
  <si>
    <t>搬迁转场(腾井场）</t>
  </si>
  <si>
    <t>搬安（50型）</t>
  </si>
  <si>
    <t>冬季上浮20%</t>
  </si>
  <si>
    <t>搬安（70型）</t>
  </si>
  <si>
    <t>平移</t>
  </si>
  <si>
    <t>砌方井</t>
  </si>
  <si>
    <t>摆基础</t>
  </si>
  <si>
    <t>配合安装泥浆不落地</t>
  </si>
  <si>
    <t>顶驱拆装</t>
  </si>
  <si>
    <t>机械手拆装</t>
  </si>
  <si>
    <t>冬防保温（自保温）</t>
  </si>
  <si>
    <t>油基泥浆施工</t>
  </si>
  <si>
    <t>元/台月</t>
  </si>
  <si>
    <t>设备配套</t>
  </si>
  <si>
    <t>元/天·人</t>
  </si>
  <si>
    <t>大港油区定额测算基础数据</t>
  </si>
  <si>
    <t>累计进尺</t>
  </si>
  <si>
    <t>定员人数</t>
  </si>
  <si>
    <t>累计钻完井周期</t>
  </si>
  <si>
    <t>累计米费兑现</t>
  </si>
  <si>
    <t>一般材料累计</t>
  </si>
  <si>
    <t>能耗累计</t>
  </si>
  <si>
    <t>润滑油累计</t>
  </si>
  <si>
    <t>项修累计</t>
  </si>
  <si>
    <t>生产水累计</t>
  </si>
  <si>
    <t>生活污水累计</t>
  </si>
  <si>
    <t>累计贡献毛益额</t>
  </si>
  <si>
    <t>累计收入</t>
  </si>
  <si>
    <t>板桥（＜2500米）</t>
  </si>
  <si>
    <t>板桥（＜3500米）</t>
  </si>
  <si>
    <t>板桥（≥3500米）</t>
  </si>
  <si>
    <t>港东</t>
  </si>
  <si>
    <t>港西</t>
  </si>
  <si>
    <t>港中</t>
  </si>
  <si>
    <t>孔店</t>
  </si>
  <si>
    <t>扣村</t>
  </si>
  <si>
    <t>唐家河</t>
  </si>
  <si>
    <t>王官屯</t>
  </si>
  <si>
    <t>王徐庄</t>
  </si>
  <si>
    <t>新华</t>
  </si>
  <si>
    <t>羊二庄</t>
  </si>
  <si>
    <t>羊三木</t>
  </si>
  <si>
    <t>枣园</t>
  </si>
  <si>
    <t>埕海</t>
  </si>
  <si>
    <t>大港页岩油</t>
  </si>
  <si>
    <t>埕海（＜4000米）</t>
  </si>
  <si>
    <t>埕海（≥4000米）</t>
  </si>
  <si>
    <t>歧口</t>
  </si>
  <si>
    <t>唐东（开发井）</t>
  </si>
  <si>
    <t>唐东（探评井）</t>
  </si>
  <si>
    <t>附件1-6</t>
  </si>
  <si>
    <t>单位：元/米•人</t>
  </si>
  <si>
    <t>累计井深</t>
  </si>
  <si>
    <t>累计费用</t>
  </si>
  <si>
    <t>米费定额</t>
  </si>
  <si>
    <t>扣301</t>
  </si>
  <si>
    <t>华页1、官页5-5-1</t>
  </si>
  <si>
    <t>常探1</t>
  </si>
  <si>
    <t>滨188X1</t>
  </si>
  <si>
    <t>孔101-9</t>
  </si>
  <si>
    <t>家29-30</t>
  </si>
  <si>
    <t>官40-67</t>
  </si>
  <si>
    <t>板70-20H</t>
  </si>
  <si>
    <t>板69-22H</t>
  </si>
  <si>
    <t>灯探1</t>
  </si>
  <si>
    <t>官40-61</t>
  </si>
  <si>
    <t>塘39-6</t>
  </si>
  <si>
    <t>附件1-7</t>
  </si>
  <si>
    <t>大港油区区块一般材料定额</t>
  </si>
  <si>
    <t>单位：元/米</t>
  </si>
  <si>
    <t>50型累计费用</t>
  </si>
  <si>
    <t>70型累计费用</t>
  </si>
  <si>
    <t>50型定额</t>
  </si>
  <si>
    <t>70型定额</t>
  </si>
  <si>
    <t>修订说明：</t>
  </si>
  <si>
    <t>2.10修订：考虑完井因素，一般材料二开井下浮15%，三开井下浮20%</t>
  </si>
  <si>
    <t>2.13日修订：取心定额按60%核算</t>
  </si>
  <si>
    <t>附件1-8</t>
  </si>
  <si>
    <t>大港油区柴油定额</t>
  </si>
  <si>
    <t>实际</t>
  </si>
  <si>
    <t>预算</t>
  </si>
  <si>
    <t>50J</t>
  </si>
  <si>
    <t>70D</t>
  </si>
  <si>
    <t>平均井深</t>
  </si>
  <si>
    <t>平均柴油费用</t>
  </si>
  <si>
    <t>米进尺费用</t>
  </si>
  <si>
    <t>泰安</t>
  </si>
  <si>
    <t>直井</t>
  </si>
  <si>
    <t>网电</t>
  </si>
  <si>
    <t>50型</t>
  </si>
  <si>
    <t>70型</t>
  </si>
  <si>
    <t>网电定额（度/米）</t>
  </si>
  <si>
    <t>沈家铺</t>
  </si>
  <si>
    <t>乌马营</t>
  </si>
  <si>
    <t>青县</t>
  </si>
  <si>
    <t>滨186X1</t>
  </si>
  <si>
    <t>官探1H</t>
  </si>
  <si>
    <t>营105-1-18事故侧钻</t>
  </si>
  <si>
    <t>青热1青热2</t>
  </si>
  <si>
    <t>注：冬季施工，能耗定额上浮20%。</t>
  </si>
  <si>
    <t>大港油区网电定额</t>
  </si>
  <si>
    <t>平均网电费用</t>
  </si>
  <si>
    <t>求和项:实际井深（米）</t>
  </si>
  <si>
    <t>求和项:网电</t>
  </si>
  <si>
    <t>计数项:井号</t>
  </si>
  <si>
    <t>不含架线费</t>
  </si>
  <si>
    <t>附件1-9</t>
  </si>
  <si>
    <t>井眼尺寸
（mm）</t>
  </si>
  <si>
    <t>平均段长
（m）</t>
  </si>
  <si>
    <t>钻机类型（单位：元/米）</t>
  </si>
  <si>
    <t>50型机械</t>
  </si>
  <si>
    <t>50型电动</t>
  </si>
  <si>
    <t>70型机械</t>
  </si>
  <si>
    <t>70型电动</t>
  </si>
  <si>
    <t>大港油区能耗定额（网电）</t>
  </si>
  <si>
    <t>2026年完成井</t>
  </si>
  <si>
    <t>累计电量</t>
  </si>
  <si>
    <t>米定额</t>
  </si>
  <si>
    <t>井数</t>
  </si>
  <si>
    <t>电量</t>
  </si>
  <si>
    <t>已核完</t>
  </si>
  <si>
    <t>板14-16</t>
  </si>
  <si>
    <t>张海32-38</t>
  </si>
  <si>
    <t>南港13-8</t>
  </si>
  <si>
    <t>庄海8Nm-L9KH</t>
  </si>
  <si>
    <t>开窗侧钻</t>
  </si>
  <si>
    <t>板14-15</t>
  </si>
  <si>
    <t>板879-22</t>
  </si>
  <si>
    <t>事故</t>
  </si>
  <si>
    <t>滨海33</t>
  </si>
  <si>
    <t>沧东</t>
  </si>
  <si>
    <t>埕107X5</t>
  </si>
  <si>
    <t>张海32-39</t>
  </si>
  <si>
    <t>板深1601-11</t>
  </si>
  <si>
    <t>板深1601-9</t>
  </si>
  <si>
    <t>侧钻</t>
  </si>
  <si>
    <t>唐东20X7</t>
  </si>
  <si>
    <t>南港20-9</t>
  </si>
  <si>
    <t>唐东65X1</t>
  </si>
  <si>
    <t>新华6</t>
  </si>
  <si>
    <t>阶段停钻，钻井取心</t>
  </si>
  <si>
    <t>张海39-8</t>
  </si>
  <si>
    <t>埕海（≥4000米）侧钻</t>
  </si>
  <si>
    <t>南港20-4</t>
  </si>
  <si>
    <t>2.10日修订：能耗下浮10%</t>
  </si>
  <si>
    <t>3.12日修订：增加埕海（＜4000米），实际耗电量上浮10%</t>
  </si>
  <si>
    <t>6.10日修订：板桥区块能耗下浮10%</t>
  </si>
  <si>
    <t xml:space="preserve"> </t>
  </si>
  <si>
    <r>
      <rPr>
        <sz val="10"/>
        <color rgb="FFFF0000"/>
        <rFont val="宋体"/>
        <charset val="134"/>
      </rPr>
      <t>枣园/</t>
    </r>
    <r>
      <rPr>
        <sz val="10"/>
        <rFont val="宋体"/>
        <charset val="134"/>
      </rPr>
      <t>风化店</t>
    </r>
  </si>
  <si>
    <t>115（762井眼）</t>
  </si>
  <si>
    <t>318（571井眼）</t>
  </si>
  <si>
    <t>华页/新华</t>
  </si>
  <si>
    <t>唐东/南港</t>
  </si>
  <si>
    <t>张海</t>
  </si>
  <si>
    <t>官页</t>
  </si>
  <si>
    <t>注：柴油定额与网电定额转换系数为1.869。</t>
  </si>
  <si>
    <t>电代油*0.3</t>
  </si>
  <si>
    <t>注：润滑油定额与机型系数挂钩；实施电代油井机油按原定额的30%核算。</t>
  </si>
  <si>
    <t>附件1-10</t>
  </si>
  <si>
    <t>注：项修定额与维修系数挂钩。</t>
  </si>
  <si>
    <t>附件1-11</t>
  </si>
  <si>
    <t>钻头尺寸</t>
  </si>
  <si>
    <t>井筒用水</t>
  </si>
  <si>
    <t>660mm</t>
  </si>
  <si>
    <t>t</t>
  </si>
  <si>
    <t>444mm</t>
  </si>
  <si>
    <t>346mm</t>
  </si>
  <si>
    <t>311mm</t>
  </si>
  <si>
    <t>245mm</t>
  </si>
  <si>
    <t>241mm</t>
  </si>
  <si>
    <t>216mm</t>
  </si>
  <si>
    <t>152mm</t>
  </si>
  <si>
    <t>118mm</t>
  </si>
  <si>
    <t>附件1-12</t>
  </si>
  <si>
    <t>附件1-13</t>
  </si>
  <si>
    <t>土工膜定额</t>
  </si>
  <si>
    <t>单位：元/口井</t>
  </si>
  <si>
    <t>机型</t>
  </si>
  <si>
    <t>数量（卷）</t>
  </si>
  <si>
    <t>单价（元/公斤）</t>
  </si>
  <si>
    <t>搬迁</t>
  </si>
  <si>
    <t>卷/井次</t>
  </si>
  <si>
    <t>附件1-14</t>
  </si>
  <si>
    <t>钻机挂钩系数</t>
  </si>
  <si>
    <t>机型系数</t>
  </si>
  <si>
    <t>维修系数</t>
  </si>
  <si>
    <t>50LD</t>
  </si>
  <si>
    <t>70LD</t>
  </si>
  <si>
    <t>70DB</t>
  </si>
  <si>
    <t>BH70302</t>
  </si>
  <si>
    <t>注：润滑油定额与机型系数挂钩；项修定额与维修系数挂钩。</t>
  </si>
  <si>
    <t>附件1-15</t>
  </si>
  <si>
    <t>单位：米/天</t>
  </si>
  <si>
    <t>平均钻完井周期</t>
  </si>
  <si>
    <t>平均日进尺</t>
  </si>
  <si>
    <t>庄海8Es-H18（开窗侧钻）</t>
  </si>
  <si>
    <t>附件1-16</t>
  </si>
  <si>
    <t>平均指标</t>
  </si>
  <si>
    <t>考核指标（110%）</t>
  </si>
  <si>
    <t>考核指标（120%）</t>
  </si>
  <si>
    <t>孔114X1单井</t>
  </si>
  <si>
    <t>扣58X1单井</t>
  </si>
  <si>
    <t>队长</t>
  </si>
  <si>
    <t>甲方单位</t>
  </si>
  <si>
    <t>设计井深（米）</t>
  </si>
  <si>
    <t>平移周期（天）</t>
  </si>
  <si>
    <t>钻井周期（天）</t>
  </si>
  <si>
    <t>完井周期（天）</t>
  </si>
  <si>
    <t>钻完井周期（天）</t>
  </si>
  <si>
    <t>建井周期（天）</t>
  </si>
  <si>
    <t>试油周期（天）</t>
  </si>
  <si>
    <t>钻机月</t>
  </si>
  <si>
    <t>动用钻机（台月）</t>
  </si>
  <si>
    <t>形象收入（元）</t>
  </si>
  <si>
    <t>形象利润（元）</t>
  </si>
  <si>
    <t>总成本（元）</t>
  </si>
  <si>
    <t>一、固定成本</t>
  </si>
  <si>
    <t>1.直接人工费</t>
  </si>
  <si>
    <t>（1）合同化.市场化职工</t>
  </si>
  <si>
    <t>（2）其他劳务费用</t>
  </si>
  <si>
    <t>2.折旧费</t>
  </si>
  <si>
    <t>（1）固定资产折旧</t>
  </si>
  <si>
    <t>（2）所有权资产折旧</t>
  </si>
  <si>
    <t>3.长摊费</t>
  </si>
  <si>
    <t>（1）固控装置摊销</t>
  </si>
  <si>
    <t>（2）野营房摊销</t>
  </si>
  <si>
    <t>（3）其他长期摊销</t>
  </si>
  <si>
    <t>4.使用权资产租赁</t>
  </si>
  <si>
    <t>（1）顶驱租赁费</t>
  </si>
  <si>
    <t>（2）钻机租赁费</t>
  </si>
  <si>
    <t>（3）发电机租赁费</t>
  </si>
  <si>
    <t>（4）钻井泵租赁费</t>
  </si>
  <si>
    <t>（5）其他租赁费</t>
  </si>
  <si>
    <t>5.项目部运行费用</t>
  </si>
  <si>
    <t>（1）项目人员费用</t>
  </si>
  <si>
    <t>（2）房租水电</t>
  </si>
  <si>
    <t>（3）车辆费用</t>
  </si>
  <si>
    <t>（4）办公费</t>
  </si>
  <si>
    <t>（5）其他费用</t>
  </si>
  <si>
    <t>6.制造费</t>
  </si>
  <si>
    <t>二、变动成本</t>
  </si>
  <si>
    <t>（一）直接材料费</t>
  </si>
  <si>
    <t>1.钻头</t>
  </si>
  <si>
    <t>（1）钻头采购</t>
  </si>
  <si>
    <t>（2）钻头服务</t>
  </si>
  <si>
    <t>（3）钻头修复</t>
  </si>
  <si>
    <t>2.钻井液</t>
  </si>
  <si>
    <t>（1）渤钻泥浆服务</t>
  </si>
  <si>
    <t>（2）外部泥浆服务</t>
  </si>
  <si>
    <t>3.润滑油</t>
  </si>
  <si>
    <t>4.柴油</t>
  </si>
  <si>
    <t>5.网电费</t>
  </si>
  <si>
    <t>（1）电费</t>
  </si>
  <si>
    <t>（2）架线费</t>
  </si>
  <si>
    <t>6.大宗材料</t>
  </si>
  <si>
    <t>7.井控</t>
  </si>
  <si>
    <t>（1）井控摊销</t>
  </si>
  <si>
    <t>（2）井控工具</t>
  </si>
  <si>
    <t>（3）井控装置</t>
  </si>
  <si>
    <t>（4）井控租赁</t>
  </si>
  <si>
    <t>8.钻具</t>
  </si>
  <si>
    <t>（1）钻具摊销</t>
  </si>
  <si>
    <t>（2）钻具租赁</t>
  </si>
  <si>
    <t>（3）钻具损失</t>
  </si>
  <si>
    <t>（4）钻具修造、加工</t>
  </si>
  <si>
    <t>（二）机械使用费</t>
  </si>
  <si>
    <t>1.修理加工费</t>
  </si>
  <si>
    <t>（1）设备修理费</t>
  </si>
  <si>
    <t>（2）其他修理费</t>
  </si>
  <si>
    <t>（3）外委加工费</t>
  </si>
  <si>
    <t>2.设备租赁费</t>
  </si>
  <si>
    <t>（1）顶驱</t>
  </si>
  <si>
    <t>（2）网电设备</t>
  </si>
  <si>
    <t>（3）动力外包</t>
  </si>
  <si>
    <t>（三）其他直接费用</t>
  </si>
  <si>
    <t>1.运输费</t>
  </si>
  <si>
    <t>（1）井场搬迁</t>
  </si>
  <si>
    <t>（2）平移整拖</t>
  </si>
  <si>
    <t>（3）钻机拆搬安</t>
  </si>
  <si>
    <t>（4）吊车/铲车/抓管机</t>
  </si>
  <si>
    <t>（5）井队值班车</t>
  </si>
  <si>
    <t>（6）其他运费</t>
  </si>
  <si>
    <t>2.第三方用工费用</t>
  </si>
  <si>
    <t>3.环保费用</t>
  </si>
  <si>
    <t>（1）污水处理</t>
  </si>
  <si>
    <t>（2）垃圾处理</t>
  </si>
  <si>
    <t>（3）固废处理</t>
  </si>
  <si>
    <t>（4）危废处理</t>
  </si>
  <si>
    <t>（5）环评费用</t>
  </si>
  <si>
    <t>（6）完井环保</t>
  </si>
  <si>
    <t>（7）其他环保费</t>
  </si>
  <si>
    <t>4.检测维保费</t>
  </si>
  <si>
    <t>（1）计量器具</t>
  </si>
  <si>
    <t>（2）消防器材</t>
  </si>
  <si>
    <t>（3）正压式呼吸器</t>
  </si>
  <si>
    <t>（4）安全阀检测</t>
  </si>
  <si>
    <t>（5）资质检测费</t>
  </si>
  <si>
    <t>（6）设备探伤费</t>
  </si>
  <si>
    <t>（7）其他检测费（安全）</t>
  </si>
  <si>
    <t>（8）其他检测费（物资）</t>
  </si>
  <si>
    <t>5.定向井服务费</t>
  </si>
  <si>
    <t>6.提速服务费</t>
  </si>
  <si>
    <t>（1）扭力冲击器</t>
  </si>
  <si>
    <t>（2）水力振荡器</t>
  </si>
  <si>
    <t>（3）垂直钻井</t>
  </si>
  <si>
    <t>（4）旋转导向</t>
  </si>
  <si>
    <t>（5）振荡螺杆</t>
  </si>
  <si>
    <t>（6）扭摆</t>
  </si>
  <si>
    <t>（7）其他提速工具</t>
  </si>
  <si>
    <t>7.钻井工具费</t>
  </si>
  <si>
    <t>（1）扩眼工具</t>
  </si>
  <si>
    <t>（2）取芯工具</t>
  </si>
  <si>
    <t>（3）震击器</t>
  </si>
  <si>
    <t>（4）减震器</t>
  </si>
  <si>
    <t>（5）刮壁器</t>
  </si>
  <si>
    <t>（6）分隔器</t>
  </si>
  <si>
    <t>（7）螺杆</t>
  </si>
  <si>
    <t>（8）其他钻井工具</t>
  </si>
  <si>
    <t>8.事故复杂处理费用</t>
  </si>
  <si>
    <t>（1）打捞服务</t>
  </si>
  <si>
    <t>（2）测卡服务</t>
  </si>
  <si>
    <t>（3）爆炸松扣</t>
  </si>
  <si>
    <t>（4）第三方堵漏</t>
  </si>
  <si>
    <t>（5）其他事故复杂服务</t>
  </si>
  <si>
    <t>9.下套管服务费</t>
  </si>
  <si>
    <t>10.口井资料费</t>
  </si>
  <si>
    <t>11.欠平衡/控压</t>
  </si>
  <si>
    <t>12.固井</t>
  </si>
  <si>
    <t>13.试压</t>
  </si>
  <si>
    <t>14.录井</t>
  </si>
  <si>
    <t>15.测井</t>
  </si>
  <si>
    <t>16.钻前费用</t>
  </si>
  <si>
    <t>17.外协费</t>
  </si>
  <si>
    <t>18.水费</t>
  </si>
  <si>
    <t>（1）水费（市场）</t>
  </si>
  <si>
    <t>（2）水费（安全）</t>
  </si>
  <si>
    <t>19.伙食费</t>
  </si>
  <si>
    <t>20.地区补贴</t>
  </si>
  <si>
    <t>21.倒班路费</t>
  </si>
  <si>
    <t>22.取证培训费</t>
  </si>
  <si>
    <t>23.网络通讯费</t>
  </si>
  <si>
    <t>（1）微波网络费</t>
  </si>
  <si>
    <t>（2）卫星租赁费</t>
  </si>
  <si>
    <t>（3）其他通讯费</t>
  </si>
  <si>
    <t>24.井下作业</t>
  </si>
  <si>
    <t>（1）试油作业</t>
  </si>
  <si>
    <t>（2）试气作业</t>
  </si>
  <si>
    <t>（3）压裂作业</t>
  </si>
  <si>
    <t>（4）其他井下作业</t>
  </si>
  <si>
    <t>25.冬防保温</t>
  </si>
  <si>
    <t>（1）自保温</t>
  </si>
  <si>
    <t>（2）第三方保温</t>
  </si>
  <si>
    <t>26.泥浆不落地</t>
  </si>
  <si>
    <t>27.套管</t>
  </si>
  <si>
    <t>28.套管头</t>
  </si>
  <si>
    <t>（1）套管头（技术）</t>
  </si>
  <si>
    <t>（2）套管头（物资）</t>
  </si>
  <si>
    <t>29.其他费用</t>
  </si>
  <si>
    <t>（1）其他费用（市场）</t>
  </si>
  <si>
    <t>（2）其他费用（技术）</t>
  </si>
  <si>
    <t>（3）其他费用（物资）</t>
  </si>
  <si>
    <t>（4）其他费用（装备）</t>
  </si>
  <si>
    <t>（5）其他费用（安全）</t>
  </si>
  <si>
    <t>（6）其他费用（人事）</t>
  </si>
  <si>
    <t>30.安全计提</t>
  </si>
  <si>
    <t>31.科研计提</t>
  </si>
  <si>
    <t>32.税金</t>
  </si>
  <si>
    <t>***</t>
  </si>
  <si>
    <t>经营数据</t>
  </si>
  <si>
    <t>总收入（元）</t>
  </si>
  <si>
    <t>（一）固定成本（元）</t>
  </si>
  <si>
    <t>（二）变动成本（元）</t>
  </si>
  <si>
    <t>毛益额（元）</t>
  </si>
  <si>
    <t>毛益率（%）</t>
  </si>
  <si>
    <t>净利润（元）</t>
  </si>
  <si>
    <t>利润率（%）</t>
  </si>
  <si>
    <t>周期数据</t>
  </si>
  <si>
    <t>砸导管时间</t>
  </si>
  <si>
    <t>搬安时间</t>
  </si>
  <si>
    <t>平移时间</t>
  </si>
  <si>
    <t>一开时间</t>
  </si>
  <si>
    <t>一开完钻</t>
  </si>
  <si>
    <t>一开固井完</t>
  </si>
  <si>
    <t>二开时间</t>
  </si>
  <si>
    <t>二开完钻</t>
  </si>
  <si>
    <t>二开固井完</t>
  </si>
  <si>
    <t>三开时间</t>
  </si>
  <si>
    <t>三开完钻</t>
  </si>
  <si>
    <t>三开固井完</t>
  </si>
  <si>
    <t>四开时间</t>
  </si>
  <si>
    <t>四开完钻</t>
  </si>
  <si>
    <t>四开固井完</t>
  </si>
  <si>
    <t>五开时间</t>
  </si>
  <si>
    <t>五开完钻</t>
  </si>
  <si>
    <t>五开固井完</t>
  </si>
  <si>
    <t>完钻时间</t>
  </si>
  <si>
    <t>完井时间</t>
  </si>
  <si>
    <t>人力数据</t>
  </si>
  <si>
    <t>人员情况（总数）</t>
  </si>
  <si>
    <t>合同化人数</t>
  </si>
  <si>
    <t>市场化人数</t>
  </si>
  <si>
    <t>业务外包人数</t>
  </si>
  <si>
    <t>时效数据</t>
  </si>
  <si>
    <t>纯钻</t>
  </si>
  <si>
    <t>起下钻</t>
  </si>
  <si>
    <t>接单根</t>
  </si>
  <si>
    <t>扩划眼</t>
  </si>
  <si>
    <t>换钻头</t>
  </si>
  <si>
    <t>循环</t>
  </si>
  <si>
    <t>固井</t>
  </si>
  <si>
    <t>辅助</t>
  </si>
  <si>
    <t>实际耗电量</t>
  </si>
  <si>
    <t>杨朔</t>
  </si>
  <si>
    <t>大港采油四厂</t>
  </si>
  <si>
    <t>板111-22</t>
  </si>
  <si>
    <t>-   -</t>
  </si>
  <si>
    <t>11月</t>
  </si>
  <si>
    <t>李军</t>
  </si>
  <si>
    <t>ZJ50D</t>
  </si>
  <si>
    <t>板111-23</t>
  </si>
  <si>
    <t>罗健</t>
  </si>
  <si>
    <t>板15-17</t>
  </si>
  <si>
    <t>板16-11</t>
  </si>
  <si>
    <t>板16-12</t>
  </si>
  <si>
    <t>2月</t>
  </si>
  <si>
    <t>板17-10</t>
  </si>
  <si>
    <t>BHZ70003</t>
  </si>
  <si>
    <t>张朝相</t>
  </si>
  <si>
    <t>板17-12</t>
  </si>
  <si>
    <t>12月</t>
  </si>
  <si>
    <t>肖康</t>
  </si>
  <si>
    <t>板17-17</t>
  </si>
  <si>
    <t>大港勘探事业部</t>
  </si>
  <si>
    <t>板171X1</t>
  </si>
  <si>
    <t>板19-42</t>
  </si>
  <si>
    <t>板22-7</t>
  </si>
  <si>
    <t>板22-8</t>
  </si>
  <si>
    <t>板22-9</t>
  </si>
  <si>
    <t>9月</t>
  </si>
  <si>
    <t>板67-2</t>
  </si>
  <si>
    <t>板南3-20H</t>
  </si>
  <si>
    <t>板南3-21</t>
  </si>
  <si>
    <t>板深18-16</t>
  </si>
  <si>
    <t>板深20-19</t>
  </si>
  <si>
    <t>刘亚东</t>
  </si>
  <si>
    <t>滨156X1</t>
  </si>
  <si>
    <t>李仁义</t>
  </si>
  <si>
    <t>ZJ40J</t>
  </si>
  <si>
    <t>大港采油一厂</t>
  </si>
  <si>
    <t>滨161X1</t>
  </si>
  <si>
    <t>滨海26</t>
  </si>
  <si>
    <t>预探井</t>
  </si>
  <si>
    <t>BH70301</t>
  </si>
  <si>
    <t>杨俊峰</t>
  </si>
  <si>
    <t>滨探1</t>
  </si>
  <si>
    <t>港359-6</t>
  </si>
  <si>
    <t>港359-8</t>
  </si>
  <si>
    <t>肖德昆</t>
  </si>
  <si>
    <t>大港采油三厂</t>
  </si>
  <si>
    <t>官1608-31</t>
  </si>
  <si>
    <t>官1608-36</t>
  </si>
  <si>
    <t>官17-37</t>
  </si>
  <si>
    <t>8月</t>
  </si>
  <si>
    <t>官33-32</t>
  </si>
  <si>
    <t>大港开发事业部</t>
  </si>
  <si>
    <t>官页15-1-1</t>
  </si>
  <si>
    <t>官页6-1-1H</t>
  </si>
  <si>
    <t>陈彦辉</t>
  </si>
  <si>
    <t>官页6-1-2H</t>
  </si>
  <si>
    <t>官页6-1-3H</t>
  </si>
  <si>
    <t>官页6-3-1H</t>
  </si>
  <si>
    <t>官页6-3-2H</t>
  </si>
  <si>
    <t>官页6-3-3H</t>
  </si>
  <si>
    <t>官页6-5-1H</t>
  </si>
  <si>
    <t>孔114X1</t>
  </si>
  <si>
    <t>扣46-6</t>
  </si>
  <si>
    <t>扣58X1</t>
  </si>
  <si>
    <t>歧688X1</t>
  </si>
  <si>
    <t>西133X1</t>
  </si>
  <si>
    <t>西138X1</t>
  </si>
  <si>
    <t>大港采油五厂</t>
  </si>
  <si>
    <t>西17-5-20</t>
  </si>
  <si>
    <t>西36-11-6</t>
  </si>
  <si>
    <t>西47-1-2</t>
  </si>
  <si>
    <t>西54-2-5</t>
  </si>
  <si>
    <t>西54-2-6</t>
  </si>
  <si>
    <t>西59-10-7</t>
  </si>
  <si>
    <t>新华2</t>
  </si>
  <si>
    <t>新华7</t>
  </si>
  <si>
    <t>新华8</t>
  </si>
  <si>
    <t>枣1605K</t>
  </si>
  <si>
    <t>枣72-10</t>
  </si>
  <si>
    <t>枣72-12</t>
  </si>
  <si>
    <t>枣78-16</t>
  </si>
  <si>
    <t>枣78-17</t>
  </si>
  <si>
    <t>张海21</t>
  </si>
  <si>
    <t>楼盛骏</t>
  </si>
  <si>
    <t>张海31-35H</t>
  </si>
  <si>
    <t>张海31-39</t>
  </si>
  <si>
    <t>大港采油二厂</t>
  </si>
  <si>
    <t>庄6-11-2</t>
  </si>
  <si>
    <t>张海31-42</t>
  </si>
  <si>
    <t>板61-30H</t>
  </si>
  <si>
    <t>官页8-5-2H</t>
  </si>
  <si>
    <t>枣1244-7</t>
  </si>
  <si>
    <t>滨海30</t>
  </si>
  <si>
    <t>官页8-3-2H</t>
  </si>
  <si>
    <t>新华5</t>
  </si>
  <si>
    <t>张海31-46</t>
  </si>
  <si>
    <t>滨187X1</t>
  </si>
  <si>
    <t>官页8-1-2H</t>
  </si>
  <si>
    <t>梁国栋</t>
  </si>
  <si>
    <t>庄海8Es-H18</t>
  </si>
  <si>
    <t>滨海27H</t>
  </si>
  <si>
    <t>- -</t>
  </si>
  <si>
    <t>孙鑫</t>
  </si>
  <si>
    <t>新华702</t>
  </si>
  <si>
    <t>新华801</t>
  </si>
  <si>
    <t>港560</t>
  </si>
  <si>
    <t>新华701</t>
  </si>
  <si>
    <t>新华3</t>
  </si>
  <si>
    <t>新华802</t>
  </si>
  <si>
    <t>板821-16</t>
  </si>
  <si>
    <t xml:space="preserve">  -   -</t>
  </si>
  <si>
    <t>板深18-24</t>
  </si>
  <si>
    <t>板111-43</t>
  </si>
  <si>
    <t>杨鹏</t>
  </si>
  <si>
    <t>板186H</t>
  </si>
  <si>
    <t>官页6-5-2H</t>
  </si>
  <si>
    <t>华北油田</t>
  </si>
  <si>
    <t>庄1-12X</t>
  </si>
  <si>
    <t>华北</t>
  </si>
  <si>
    <t>张连水</t>
  </si>
  <si>
    <t>张海31-41</t>
  </si>
  <si>
    <t>庄1-13X</t>
  </si>
  <si>
    <t>高103-39X</t>
  </si>
  <si>
    <t>板61-38H</t>
  </si>
  <si>
    <t>南港20-8</t>
  </si>
  <si>
    <t>板12-18</t>
  </si>
  <si>
    <t>ZJ50L</t>
  </si>
  <si>
    <t>板14-18</t>
  </si>
  <si>
    <t>朱文忠</t>
  </si>
  <si>
    <t>南港13-6</t>
  </si>
  <si>
    <t>ZJ70DB</t>
  </si>
  <si>
    <t>南港20-10</t>
  </si>
  <si>
    <t>南港20-6</t>
  </si>
  <si>
    <t>新华105H</t>
  </si>
  <si>
    <t>唐东20X6</t>
  </si>
  <si>
    <t>埕海（≥4000米）开窗</t>
  </si>
  <si>
    <t>BH50639</t>
  </si>
  <si>
    <t>李长东</t>
  </si>
  <si>
    <t>中国能建</t>
  </si>
  <si>
    <t>安1-PL</t>
  </si>
  <si>
    <t>安宁</t>
  </si>
  <si>
    <t>排卤井</t>
  </si>
  <si>
    <t>油气井</t>
  </si>
  <si>
    <t>唐东（探评井）事故</t>
  </si>
  <si>
    <t>风险探</t>
  </si>
  <si>
    <t>冀建伟</t>
  </si>
  <si>
    <t>安2-PL</t>
  </si>
  <si>
    <t>板桥（三开水平井）</t>
  </si>
  <si>
    <t>BH70316</t>
  </si>
  <si>
    <t>安1-B</t>
  </si>
  <si>
    <t>注采气井</t>
  </si>
  <si>
    <t>滨海29</t>
  </si>
  <si>
    <t>唐东（探评井）完井周期异常</t>
  </si>
  <si>
    <t>南港13-10L</t>
  </si>
  <si>
    <t>唐东（开发井）四开补下套管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</si>
</sst>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 numFmtId="178" formatCode="_ * #,##0_ ;_ * \-#,##0_ ;_ * &quot;-&quot;??_ ;_ @_ "/>
  </numFmts>
  <fonts count="63">
    <font>
      <sz val="11"/>
      <color theme="1"/>
      <name val="宋体"/>
      <charset val="134"/>
      <scheme val="minor"/>
    </font>
    <font>
      <sz val="11"/>
      <name val="宋体"/>
      <charset val="134"/>
      <scheme val="minor"/>
    </font>
    <font>
      <sz val="11"/>
      <name val="宋体"/>
      <charset val="134"/>
    </font>
    <font>
      <sz val="10"/>
      <color theme="1"/>
      <name val="宋体"/>
      <charset val="134"/>
      <scheme val="minor"/>
    </font>
    <font>
      <b/>
      <sz val="16"/>
      <color rgb="FF000000"/>
      <name val="方正黑体简体"/>
      <charset val="134"/>
    </font>
    <font>
      <b/>
      <sz val="22"/>
      <color theme="1"/>
      <name val="方正小标宋简体"/>
      <charset val="134"/>
    </font>
    <font>
      <sz val="10"/>
      <color rgb="FF000000"/>
      <name val="宋体"/>
      <charset val="134"/>
    </font>
    <font>
      <sz val="10"/>
      <name val="宋体"/>
      <charset val="134"/>
      <scheme val="minor"/>
    </font>
    <font>
      <sz val="10"/>
      <name val="方正黑体简体"/>
      <charset val="134"/>
    </font>
    <font>
      <sz val="10"/>
      <name val="宋体"/>
      <charset val="134"/>
    </font>
    <font>
      <sz val="10"/>
      <color rgb="FFFF0000"/>
      <name val="宋体"/>
      <charset val="134"/>
    </font>
    <font>
      <sz val="22"/>
      <color theme="1"/>
      <name val="方正小标宋简体"/>
      <charset val="134"/>
    </font>
    <font>
      <sz val="11"/>
      <color theme="1"/>
      <name val="方正仿宋简体"/>
      <charset val="134"/>
    </font>
    <font>
      <b/>
      <sz val="16"/>
      <color theme="1"/>
      <name val="方正黑体简体"/>
      <charset val="134"/>
    </font>
    <font>
      <sz val="10"/>
      <color rgb="FF000000"/>
      <name val="微软雅黑"/>
      <charset val="134"/>
    </font>
    <font>
      <sz val="11"/>
      <color rgb="FFFF0000"/>
      <name val="宋体"/>
      <charset val="134"/>
      <scheme val="minor"/>
    </font>
    <font>
      <sz val="11"/>
      <color rgb="FF000000"/>
      <name val="宋体"/>
      <charset val="134"/>
    </font>
    <font>
      <b/>
      <sz val="11"/>
      <color rgb="FF000000"/>
      <name val="宋体"/>
      <charset val="134"/>
    </font>
    <font>
      <b/>
      <sz val="10"/>
      <color rgb="FF000000"/>
      <name val="宋体"/>
      <charset val="134"/>
    </font>
    <font>
      <i/>
      <sz val="10"/>
      <name val="宋体"/>
      <charset val="134"/>
    </font>
    <font>
      <i/>
      <sz val="10"/>
      <color rgb="FFFF0000"/>
      <name val="宋体"/>
      <charset val="134"/>
    </font>
    <font>
      <i/>
      <sz val="6"/>
      <name val="宋体"/>
      <charset val="134"/>
    </font>
    <font>
      <i/>
      <sz val="11"/>
      <name val="宋体"/>
      <charset val="134"/>
    </font>
    <font>
      <i/>
      <sz val="11"/>
      <color rgb="FFFF0000"/>
      <name val="宋体"/>
      <charset val="134"/>
    </font>
    <font>
      <sz val="11"/>
      <color rgb="FFFF0000"/>
      <name val="宋体"/>
      <charset val="134"/>
    </font>
    <font>
      <b/>
      <sz val="10"/>
      <name val="宋体"/>
      <charset val="134"/>
    </font>
    <font>
      <b/>
      <sz val="10"/>
      <color rgb="FFFF0000"/>
      <name val="宋体"/>
      <charset val="134"/>
    </font>
    <font>
      <sz val="16"/>
      <name val="方正小标宋简体"/>
      <charset val="134"/>
    </font>
    <font>
      <b/>
      <sz val="11"/>
      <name val="宋体"/>
      <charset val="134"/>
    </font>
    <font>
      <b/>
      <sz val="16"/>
      <color rgb="FF000000"/>
      <name val="方正楷体简体"/>
      <charset val="134"/>
    </font>
    <font>
      <b/>
      <sz val="10"/>
      <color theme="1"/>
      <name val="宋体"/>
      <charset val="134"/>
      <scheme val="minor"/>
    </font>
    <font>
      <b/>
      <sz val="10"/>
      <name val="宋体"/>
      <charset val="134"/>
      <scheme val="minor"/>
    </font>
    <font>
      <b/>
      <sz val="10"/>
      <color rgb="FFFF0000"/>
      <name val="宋体"/>
      <charset val="134"/>
      <scheme val="minor"/>
    </font>
    <font>
      <b/>
      <sz val="11"/>
      <color theme="1"/>
      <name val="宋体"/>
      <charset val="134"/>
      <scheme val="minor"/>
    </font>
    <font>
      <b/>
      <sz val="11"/>
      <name val="宋体"/>
      <charset val="134"/>
      <scheme val="minor"/>
    </font>
    <font>
      <b/>
      <sz val="11"/>
      <color rgb="FFFF0000"/>
      <name val="宋体"/>
      <charset val="134"/>
      <scheme val="minor"/>
    </font>
    <font>
      <b/>
      <strike/>
      <sz val="11"/>
      <color rgb="FFFF0000"/>
      <name val="宋体"/>
      <charset val="134"/>
      <scheme val="minor"/>
    </font>
    <font>
      <b/>
      <sz val="16"/>
      <color theme="1"/>
      <name val="方正楷体简体"/>
      <charset val="134"/>
    </font>
    <font>
      <b/>
      <strike/>
      <sz val="10"/>
      <name val="宋体"/>
      <charset val="134"/>
      <scheme val="minor"/>
    </font>
    <font>
      <b/>
      <sz val="10"/>
      <color rgb="FF000000"/>
      <name val="宋体"/>
      <charset val="134"/>
      <scheme val="minor"/>
    </font>
    <font>
      <b/>
      <sz val="22"/>
      <color rgb="FF000000"/>
      <name val="方正小标宋简体"/>
      <charset val="134"/>
    </font>
    <font>
      <b/>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b/>
      <sz val="9"/>
      <name val="宋体"/>
      <charset val="134"/>
    </font>
  </fonts>
  <fills count="3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9" tint="0.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thin">
        <color theme="4" tint="0.399975585192419"/>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0" fillId="6" borderId="34"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35" applyNumberFormat="0" applyFill="0" applyAlignment="0" applyProtection="0">
      <alignment vertical="center"/>
    </xf>
    <xf numFmtId="0" fontId="48" fillId="0" borderId="35" applyNumberFormat="0" applyFill="0" applyAlignment="0" applyProtection="0">
      <alignment vertical="center"/>
    </xf>
    <xf numFmtId="0" fontId="49" fillId="0" borderId="36" applyNumberFormat="0" applyFill="0" applyAlignment="0" applyProtection="0">
      <alignment vertical="center"/>
    </xf>
    <xf numFmtId="0" fontId="49" fillId="0" borderId="0" applyNumberFormat="0" applyFill="0" applyBorder="0" applyAlignment="0" applyProtection="0">
      <alignment vertical="center"/>
    </xf>
    <xf numFmtId="0" fontId="50" fillId="7" borderId="37" applyNumberFormat="0" applyAlignment="0" applyProtection="0">
      <alignment vertical="center"/>
    </xf>
    <xf numFmtId="0" fontId="51" fillId="8" borderId="38" applyNumberFormat="0" applyAlignment="0" applyProtection="0">
      <alignment vertical="center"/>
    </xf>
    <xf numFmtId="0" fontId="52" fillId="8" borderId="37" applyNumberFormat="0" applyAlignment="0" applyProtection="0">
      <alignment vertical="center"/>
    </xf>
    <xf numFmtId="0" fontId="53" fillId="9" borderId="39" applyNumberFormat="0" applyAlignment="0" applyProtection="0">
      <alignment vertical="center"/>
    </xf>
    <xf numFmtId="0" fontId="54" fillId="0" borderId="40" applyNumberFormat="0" applyFill="0" applyAlignment="0" applyProtection="0">
      <alignment vertical="center"/>
    </xf>
    <xf numFmtId="0" fontId="55" fillId="0" borderId="41" applyNumberFormat="0" applyFill="0" applyAlignment="0" applyProtection="0">
      <alignment vertical="center"/>
    </xf>
    <xf numFmtId="0" fontId="56" fillId="10" borderId="0" applyNumberFormat="0" applyBorder="0" applyAlignment="0" applyProtection="0">
      <alignment vertical="center"/>
    </xf>
    <xf numFmtId="0" fontId="57" fillId="11" borderId="0" applyNumberFormat="0" applyBorder="0" applyAlignment="0" applyProtection="0">
      <alignment vertical="center"/>
    </xf>
    <xf numFmtId="0" fontId="58" fillId="12" borderId="0" applyNumberFormat="0" applyBorder="0" applyAlignment="0" applyProtection="0">
      <alignment vertical="center"/>
    </xf>
    <xf numFmtId="0" fontId="59" fillId="13" borderId="0" applyNumberFormat="0" applyBorder="0" applyAlignment="0" applyProtection="0">
      <alignment vertical="center"/>
    </xf>
    <xf numFmtId="0" fontId="60" fillId="14" borderId="0" applyNumberFormat="0" applyBorder="0" applyAlignment="0" applyProtection="0">
      <alignment vertical="center"/>
    </xf>
    <xf numFmtId="0" fontId="60" fillId="15" borderId="0" applyNumberFormat="0" applyBorder="0" applyAlignment="0" applyProtection="0">
      <alignment vertical="center"/>
    </xf>
    <xf numFmtId="0" fontId="59" fillId="16" borderId="0" applyNumberFormat="0" applyBorder="0" applyAlignment="0" applyProtection="0">
      <alignment vertical="center"/>
    </xf>
    <xf numFmtId="0" fontId="59" fillId="17" borderId="0" applyNumberFormat="0" applyBorder="0" applyAlignment="0" applyProtection="0">
      <alignment vertical="center"/>
    </xf>
    <xf numFmtId="0" fontId="60" fillId="18" borderId="0" applyNumberFormat="0" applyBorder="0" applyAlignment="0" applyProtection="0">
      <alignment vertical="center"/>
    </xf>
    <xf numFmtId="0" fontId="60" fillId="19" borderId="0" applyNumberFormat="0" applyBorder="0" applyAlignment="0" applyProtection="0">
      <alignment vertical="center"/>
    </xf>
    <xf numFmtId="0" fontId="59" fillId="20" borderId="0" applyNumberFormat="0" applyBorder="0" applyAlignment="0" applyProtection="0">
      <alignment vertical="center"/>
    </xf>
    <xf numFmtId="0" fontId="59" fillId="21" borderId="0" applyNumberFormat="0" applyBorder="0" applyAlignment="0" applyProtection="0">
      <alignment vertical="center"/>
    </xf>
    <xf numFmtId="0" fontId="60" fillId="22" borderId="0" applyNumberFormat="0" applyBorder="0" applyAlignment="0" applyProtection="0">
      <alignment vertical="center"/>
    </xf>
    <xf numFmtId="0" fontId="60" fillId="23" borderId="0" applyNumberFormat="0" applyBorder="0" applyAlignment="0" applyProtection="0">
      <alignment vertical="center"/>
    </xf>
    <xf numFmtId="0" fontId="59" fillId="24" borderId="0" applyNumberFormat="0" applyBorder="0" applyAlignment="0" applyProtection="0">
      <alignment vertical="center"/>
    </xf>
    <xf numFmtId="0" fontId="59" fillId="25" borderId="0" applyNumberFormat="0" applyBorder="0" applyAlignment="0" applyProtection="0">
      <alignment vertical="center"/>
    </xf>
    <xf numFmtId="0" fontId="60" fillId="26" borderId="0" applyNumberFormat="0" applyBorder="0" applyAlignment="0" applyProtection="0">
      <alignment vertical="center"/>
    </xf>
    <xf numFmtId="0" fontId="60" fillId="27" borderId="0" applyNumberFormat="0" applyBorder="0" applyAlignment="0" applyProtection="0">
      <alignment vertical="center"/>
    </xf>
    <xf numFmtId="0" fontId="59" fillId="28" borderId="0" applyNumberFormat="0" applyBorder="0" applyAlignment="0" applyProtection="0">
      <alignment vertical="center"/>
    </xf>
    <xf numFmtId="0" fontId="59" fillId="29" borderId="0" applyNumberFormat="0" applyBorder="0" applyAlignment="0" applyProtection="0">
      <alignment vertical="center"/>
    </xf>
    <xf numFmtId="0" fontId="60" fillId="30" borderId="0" applyNumberFormat="0" applyBorder="0" applyAlignment="0" applyProtection="0">
      <alignment vertical="center"/>
    </xf>
    <xf numFmtId="0" fontId="60" fillId="31" borderId="0" applyNumberFormat="0" applyBorder="0" applyAlignment="0" applyProtection="0">
      <alignment vertical="center"/>
    </xf>
    <xf numFmtId="0" fontId="59" fillId="32" borderId="0" applyNumberFormat="0" applyBorder="0" applyAlignment="0" applyProtection="0">
      <alignment vertical="center"/>
    </xf>
    <xf numFmtId="0" fontId="59" fillId="33" borderId="0" applyNumberFormat="0" applyBorder="0" applyAlignment="0" applyProtection="0">
      <alignment vertical="center"/>
    </xf>
    <xf numFmtId="0" fontId="60" fillId="34" borderId="0" applyNumberFormat="0" applyBorder="0" applyAlignment="0" applyProtection="0">
      <alignment vertical="center"/>
    </xf>
    <xf numFmtId="0" fontId="60" fillId="35" borderId="0" applyNumberFormat="0" applyBorder="0" applyAlignment="0" applyProtection="0">
      <alignment vertical="center"/>
    </xf>
    <xf numFmtId="0" fontId="59" fillId="36" borderId="0" applyNumberFormat="0" applyBorder="0" applyAlignment="0" applyProtection="0">
      <alignment vertical="center"/>
    </xf>
  </cellStyleXfs>
  <cellXfs count="336">
    <xf numFmtId="0" fontId="0" fillId="0" borderId="0" xfId="0">
      <alignment vertical="center"/>
    </xf>
    <xf numFmtId="0" fontId="0" fillId="0" borderId="0" xfId="0" applyFill="1" applyProtection="1">
      <alignment vertical="center"/>
      <protection locked="0"/>
    </xf>
    <xf numFmtId="0" fontId="0" fillId="0" borderId="0" xfId="0" applyProtection="1">
      <alignment vertical="center"/>
      <protection locked="0"/>
    </xf>
    <xf numFmtId="176" fontId="0" fillId="0" borderId="0" xfId="0" applyNumberFormat="1">
      <alignment vertical="center"/>
    </xf>
    <xf numFmtId="177" fontId="0" fillId="0" borderId="0" xfId="0" applyNumberFormat="1">
      <alignment vertical="center"/>
    </xf>
    <xf numFmtId="0" fontId="0" fillId="0" borderId="0" xfId="0" applyFill="1">
      <alignment vertical="center"/>
    </xf>
    <xf numFmtId="0" fontId="1" fillId="0" borderId="0" xfId="0" applyFont="1" applyFill="1">
      <alignment vertical="center"/>
    </xf>
    <xf numFmtId="176" fontId="0" fillId="0" borderId="0" xfId="0" applyNumberFormat="1" applyFill="1">
      <alignment vertical="center"/>
    </xf>
    <xf numFmtId="177" fontId="0" fillId="0" borderId="0" xfId="0" applyNumberFormat="1" applyFill="1">
      <alignment vertical="center"/>
    </xf>
    <xf numFmtId="0" fontId="0" fillId="0" borderId="0" xfId="0" applyAlignment="1" applyProtection="1">
      <alignment horizontal="left" vertical="center"/>
      <protection locked="0"/>
    </xf>
    <xf numFmtId="0" fontId="0" fillId="2" borderId="1" xfId="0" applyFill="1" applyBorder="1">
      <alignment vertical="center"/>
    </xf>
    <xf numFmtId="0" fontId="0" fillId="0" borderId="0" xfId="0" applyNumberFormat="1" applyAlignment="1" applyProtection="1">
      <alignment horizontal="left" vertical="center"/>
      <protection locked="0"/>
    </xf>
    <xf numFmtId="10" fontId="0" fillId="0" borderId="0" xfId="0" applyNumberFormat="1">
      <alignment vertical="center"/>
    </xf>
    <xf numFmtId="0" fontId="0" fillId="0" borderId="0" xfId="0" applyAlignment="1">
      <alignment horizontal="left" vertical="center"/>
    </xf>
    <xf numFmtId="0" fontId="0" fillId="0" borderId="0" xfId="0" applyFill="1" applyAlignment="1" applyProtection="1">
      <alignment horizontal="left" vertical="center"/>
      <protection locked="0"/>
    </xf>
    <xf numFmtId="10" fontId="0" fillId="0" borderId="0" xfId="3" applyNumberFormat="1">
      <alignment vertical="center"/>
    </xf>
    <xf numFmtId="0" fontId="0" fillId="0" borderId="0" xfId="0" applyAlignment="1" applyProtection="1">
      <alignment horizontal="right" vertical="center"/>
      <protection locked="0"/>
    </xf>
    <xf numFmtId="0" fontId="2" fillId="0" borderId="0" xfId="0" applyFont="1" applyFill="1" applyAlignment="1">
      <alignment vertical="center"/>
    </xf>
    <xf numFmtId="0" fontId="3" fillId="0" borderId="0" xfId="0" applyFont="1" applyFill="1" applyBorder="1" applyAlignment="1">
      <alignment vertical="center"/>
    </xf>
    <xf numFmtId="0" fontId="1" fillId="0" borderId="0" xfId="0" applyFont="1" applyFill="1" applyAlignment="1">
      <alignment vertical="center"/>
    </xf>
    <xf numFmtId="0" fontId="1" fillId="0" borderId="0" xfId="0" applyFont="1" applyFill="1" applyAlignment="1">
      <alignment horizontal="center" vertical="center"/>
    </xf>
    <xf numFmtId="10" fontId="1" fillId="0" borderId="0" xfId="0" applyNumberFormat="1" applyFont="1" applyFill="1" applyAlignment="1">
      <alignment vertical="center"/>
    </xf>
    <xf numFmtId="177" fontId="1" fillId="0" borderId="0" xfId="0" applyNumberFormat="1" applyFont="1" applyFill="1" applyAlignment="1">
      <alignment vertical="center"/>
    </xf>
    <xf numFmtId="0" fontId="0" fillId="0" borderId="0" xfId="0" applyFill="1" applyAlignment="1">
      <alignment vertical="center"/>
    </xf>
    <xf numFmtId="0" fontId="0" fillId="0" borderId="0" xfId="0" applyFont="1" applyFill="1" applyAlignment="1">
      <alignment vertical="center"/>
    </xf>
    <xf numFmtId="0" fontId="4" fillId="0" borderId="0" xfId="0" applyFont="1" applyFill="1" applyAlignment="1">
      <alignment vertical="center"/>
    </xf>
    <xf numFmtId="0" fontId="5" fillId="0" borderId="0" xfId="0" applyFont="1" applyAlignment="1">
      <alignment horizontal="center" vertical="center"/>
    </xf>
    <xf numFmtId="0" fontId="6" fillId="0" borderId="0" xfId="0" applyFont="1" applyFill="1" applyBorder="1" applyAlignment="1">
      <alignment horizontal="center" vertical="center"/>
    </xf>
    <xf numFmtId="0" fontId="7" fillId="0" borderId="0" xfId="0" applyFont="1" applyFill="1" applyBorder="1" applyAlignment="1">
      <alignment vertical="center"/>
    </xf>
    <xf numFmtId="0" fontId="8" fillId="0" borderId="0" xfId="0" applyFont="1" applyFill="1" applyBorder="1" applyAlignment="1">
      <alignment horizontal="center" vertical="center"/>
    </xf>
    <xf numFmtId="10" fontId="8" fillId="0" borderId="0" xfId="0" applyNumberFormat="1" applyFont="1" applyFill="1" applyBorder="1" applyAlignment="1">
      <alignment horizontal="center" vertical="center"/>
    </xf>
    <xf numFmtId="177" fontId="7" fillId="0" borderId="0" xfId="0" applyNumberFormat="1" applyFont="1" applyFill="1" applyBorder="1" applyAlignment="1">
      <alignment vertical="center"/>
    </xf>
    <xf numFmtId="177" fontId="9" fillId="0" borderId="2" xfId="0" applyNumberFormat="1" applyFont="1" applyFill="1" applyBorder="1" applyAlignment="1">
      <alignment horizontal="center" vertical="center"/>
    </xf>
    <xf numFmtId="177" fontId="9" fillId="0" borderId="3" xfId="0" applyNumberFormat="1" applyFont="1" applyFill="1" applyBorder="1" applyAlignment="1">
      <alignment horizontal="center" vertical="center"/>
    </xf>
    <xf numFmtId="10" fontId="9" fillId="0" borderId="3" xfId="0" applyNumberFormat="1" applyFont="1" applyFill="1" applyBorder="1" applyAlignment="1">
      <alignment horizontal="center" vertical="center"/>
    </xf>
    <xf numFmtId="177" fontId="9" fillId="0" borderId="4" xfId="0" applyNumberFormat="1" applyFont="1" applyFill="1" applyBorder="1" applyAlignment="1">
      <alignment horizontal="center" vertical="center"/>
    </xf>
    <xf numFmtId="0" fontId="9" fillId="0" borderId="0" xfId="0" applyFont="1" applyFill="1" applyAlignment="1">
      <alignment horizontal="center" vertical="center"/>
    </xf>
    <xf numFmtId="0" fontId="9" fillId="0" borderId="5"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177" fontId="9" fillId="0" borderId="6" xfId="0" applyNumberFormat="1" applyFont="1" applyFill="1" applyBorder="1" applyAlignment="1">
      <alignment horizontal="center" vertical="center"/>
    </xf>
    <xf numFmtId="10" fontId="9" fillId="0" borderId="1" xfId="0" applyNumberFormat="1" applyFont="1" applyFill="1" applyBorder="1" applyAlignment="1">
      <alignment horizontal="center" vertical="center"/>
    </xf>
    <xf numFmtId="177" fontId="9" fillId="0" borderId="7" xfId="0" applyNumberFormat="1" applyFont="1" applyFill="1" applyBorder="1" applyAlignment="1">
      <alignment horizontal="center" vertical="center"/>
    </xf>
    <xf numFmtId="177" fontId="9" fillId="0" borderId="8" xfId="0" applyNumberFormat="1" applyFont="1" applyFill="1" applyBorder="1" applyAlignment="1">
      <alignment horizontal="center" vertical="center"/>
    </xf>
    <xf numFmtId="177" fontId="10" fillId="0" borderId="8" xfId="0" applyNumberFormat="1" applyFont="1" applyFill="1" applyBorder="1" applyAlignment="1">
      <alignment horizontal="center" vertical="center"/>
    </xf>
    <xf numFmtId="0" fontId="9" fillId="0" borderId="1" xfId="0" applyFont="1" applyFill="1" applyBorder="1" applyAlignment="1">
      <alignment horizontal="justify" vertical="center"/>
    </xf>
    <xf numFmtId="177" fontId="8" fillId="0" borderId="0" xfId="0" applyNumberFormat="1" applyFont="1" applyFill="1" applyBorder="1" applyAlignment="1">
      <alignment horizontal="center" vertical="center"/>
    </xf>
    <xf numFmtId="177" fontId="9" fillId="0" borderId="0" xfId="0" applyNumberFormat="1" applyFont="1" applyFill="1" applyBorder="1" applyAlignment="1">
      <alignment horizontal="right" vertical="center"/>
    </xf>
    <xf numFmtId="177" fontId="9" fillId="0" borderId="1" xfId="0" applyNumberFormat="1" applyFont="1" applyFill="1" applyBorder="1" applyAlignment="1">
      <alignment horizontal="center" vertical="center"/>
    </xf>
    <xf numFmtId="177" fontId="0" fillId="0" borderId="0" xfId="0" applyNumberFormat="1" applyFill="1" applyAlignment="1">
      <alignment horizontal="left" vertical="center"/>
    </xf>
    <xf numFmtId="0" fontId="7" fillId="0" borderId="0" xfId="0" applyFont="1" applyFill="1" applyAlignment="1">
      <alignment horizontal="center" vertical="center"/>
    </xf>
    <xf numFmtId="177" fontId="7" fillId="0" borderId="0" xfId="0" applyNumberFormat="1" applyFont="1" applyFill="1" applyAlignment="1">
      <alignment horizontal="center" vertical="center"/>
    </xf>
    <xf numFmtId="0" fontId="11" fillId="0" borderId="0" xfId="0" applyFont="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xf>
    <xf numFmtId="0" fontId="12" fillId="0" borderId="1" xfId="0" applyFont="1" applyBorder="1" applyAlignment="1">
      <alignment horizontal="center" vertical="center" wrapText="1"/>
    </xf>
    <xf numFmtId="177" fontId="12" fillId="0" borderId="1" xfId="0" applyNumberFormat="1"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xf>
    <xf numFmtId="0" fontId="12" fillId="0" borderId="10" xfId="0" applyFont="1" applyBorder="1" applyAlignment="1">
      <alignment horizontal="center" vertical="center" wrapText="1"/>
    </xf>
    <xf numFmtId="177" fontId="12" fillId="0" borderId="10" xfId="0" applyNumberFormat="1" applyFont="1" applyBorder="1" applyAlignment="1">
      <alignment horizontal="center" vertical="center" wrapText="1"/>
    </xf>
    <xf numFmtId="0" fontId="12" fillId="0" borderId="11" xfId="0" applyFont="1" applyBorder="1" applyAlignment="1">
      <alignment horizontal="center" vertical="center" wrapText="1"/>
    </xf>
    <xf numFmtId="0" fontId="13" fillId="0" borderId="0" xfId="0" applyFont="1" applyAlignment="1">
      <alignment horizontal="justify"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1" xfId="0" applyFont="1" applyBorder="1" applyAlignment="1">
      <alignment horizontal="center" vertical="center"/>
    </xf>
    <xf numFmtId="176" fontId="3" fillId="0" borderId="1" xfId="0" applyNumberFormat="1" applyFont="1" applyBorder="1" applyAlignment="1">
      <alignment horizontal="center" vertical="center"/>
    </xf>
    <xf numFmtId="177" fontId="3" fillId="0" borderId="14" xfId="0" applyNumberFormat="1" applyFont="1" applyBorder="1" applyAlignment="1">
      <alignment horizontal="center" vertical="center"/>
    </xf>
    <xf numFmtId="176" fontId="3" fillId="0" borderId="14" xfId="0" applyNumberFormat="1"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176" fontId="3" fillId="0" borderId="10" xfId="0" applyNumberFormat="1" applyFont="1" applyBorder="1" applyAlignment="1">
      <alignment horizontal="center" vertical="center"/>
    </xf>
    <xf numFmtId="177" fontId="3" fillId="0" borderId="15" xfId="0" applyNumberFormat="1" applyFont="1" applyBorder="1" applyAlignment="1">
      <alignment horizontal="center" vertical="center"/>
    </xf>
    <xf numFmtId="176" fontId="3" fillId="0" borderId="15" xfId="0" applyNumberFormat="1" applyFont="1" applyBorder="1" applyAlignment="1">
      <alignment horizontal="center" vertical="center"/>
    </xf>
    <xf numFmtId="0" fontId="3" fillId="0" borderId="11" xfId="0" applyFont="1" applyBorder="1" applyAlignment="1">
      <alignment horizontal="center" vertical="center"/>
    </xf>
    <xf numFmtId="176" fontId="9" fillId="0" borderId="3" xfId="0" applyNumberFormat="1" applyFont="1" applyFill="1" applyBorder="1" applyAlignment="1">
      <alignment horizontal="center" vertical="center"/>
    </xf>
    <xf numFmtId="176" fontId="9" fillId="0" borderId="6" xfId="0" applyNumberFormat="1" applyFont="1" applyFill="1" applyBorder="1" applyAlignment="1">
      <alignment horizontal="center" vertical="center"/>
    </xf>
    <xf numFmtId="177" fontId="0" fillId="0" borderId="0" xfId="0" applyNumberFormat="1" applyAlignment="1">
      <alignment horizontal="left" vertical="center"/>
    </xf>
    <xf numFmtId="177" fontId="9" fillId="0" borderId="0" xfId="0" applyNumberFormat="1" applyFont="1" applyFill="1" applyAlignment="1">
      <alignment horizontal="right" vertical="center"/>
    </xf>
    <xf numFmtId="177" fontId="9" fillId="0" borderId="0" xfId="0" applyNumberFormat="1" applyFont="1" applyFill="1" applyAlignment="1">
      <alignment horizontal="center" vertical="center"/>
    </xf>
    <xf numFmtId="0" fontId="14" fillId="0" borderId="1" xfId="0" applyFont="1" applyBorder="1" applyAlignment="1">
      <alignment horizontal="center" vertical="center" wrapText="1"/>
    </xf>
    <xf numFmtId="177" fontId="10" fillId="0" borderId="0" xfId="0" applyNumberFormat="1" applyFont="1" applyFill="1" applyAlignment="1">
      <alignment horizontal="center" vertical="center"/>
    </xf>
    <xf numFmtId="0" fontId="15" fillId="0" borderId="0" xfId="0" applyFont="1" applyFill="1" applyAlignment="1">
      <alignment vertical="center"/>
    </xf>
    <xf numFmtId="0" fontId="0" fillId="0" borderId="0" xfId="0" applyFill="1" applyAlignment="1">
      <alignment horizontal="left" vertical="center"/>
    </xf>
    <xf numFmtId="177" fontId="0" fillId="0" borderId="0" xfId="0" applyNumberFormat="1" applyFill="1" applyAlignment="1">
      <alignment vertical="center"/>
    </xf>
    <xf numFmtId="0" fontId="16" fillId="0" borderId="0" xfId="0" applyFont="1" applyFill="1" applyAlignment="1">
      <alignment horizontal="center" vertical="center"/>
    </xf>
    <xf numFmtId="177" fontId="16" fillId="0" borderId="0" xfId="0" applyNumberFormat="1" applyFont="1" applyFill="1" applyAlignment="1">
      <alignment horizontal="center" vertical="center"/>
    </xf>
    <xf numFmtId="0" fontId="0" fillId="0" borderId="0" xfId="0" applyFont="1" applyAlignment="1">
      <alignment horizontal="center" vertical="center"/>
    </xf>
    <xf numFmtId="0" fontId="17" fillId="0" borderId="0" xfId="0" applyFont="1" applyFill="1" applyAlignment="1">
      <alignment vertical="center"/>
    </xf>
    <xf numFmtId="0" fontId="18" fillId="0" borderId="0" xfId="0" applyFont="1" applyFill="1" applyBorder="1" applyAlignment="1">
      <alignment vertical="center"/>
    </xf>
    <xf numFmtId="0" fontId="18" fillId="0" borderId="0" xfId="0" applyFont="1" applyFill="1" applyAlignment="1">
      <alignment vertical="center"/>
    </xf>
    <xf numFmtId="177" fontId="17" fillId="0" borderId="0" xfId="0" applyNumberFormat="1" applyFont="1" applyFill="1" applyAlignment="1">
      <alignment vertical="center"/>
    </xf>
    <xf numFmtId="0" fontId="9" fillId="0" borderId="16" xfId="0" applyFont="1" applyFill="1" applyBorder="1" applyAlignment="1">
      <alignment horizontal="center" vertical="center" wrapText="1"/>
    </xf>
    <xf numFmtId="0" fontId="9" fillId="0" borderId="17" xfId="0" applyFont="1" applyFill="1" applyBorder="1" applyAlignment="1">
      <alignment horizontal="center" vertical="center" wrapText="1"/>
    </xf>
    <xf numFmtId="177" fontId="19" fillId="0" borderId="1" xfId="0" applyNumberFormat="1" applyFont="1" applyFill="1" applyBorder="1" applyAlignment="1">
      <alignment horizontal="center" vertical="center"/>
    </xf>
    <xf numFmtId="0" fontId="9" fillId="0" borderId="1" xfId="0" applyFont="1" applyFill="1" applyBorder="1" applyAlignment="1">
      <alignment horizontal="center" vertical="center"/>
    </xf>
    <xf numFmtId="0" fontId="19" fillId="0" borderId="1" xfId="0" applyFont="1" applyFill="1" applyBorder="1" applyAlignment="1">
      <alignment horizontal="center" vertical="center"/>
    </xf>
    <xf numFmtId="0" fontId="19" fillId="0" borderId="8" xfId="0" applyFont="1" applyFill="1" applyBorder="1" applyAlignment="1">
      <alignment horizontal="center" vertical="center"/>
    </xf>
    <xf numFmtId="43" fontId="9" fillId="0" borderId="0" xfId="0" applyNumberFormat="1" applyFont="1" applyFill="1" applyAlignment="1">
      <alignment horizontal="center" vertical="center"/>
    </xf>
    <xf numFmtId="0" fontId="20" fillId="0" borderId="8" xfId="0" applyFont="1" applyFill="1" applyBorder="1" applyAlignment="1">
      <alignment horizontal="center" vertical="center"/>
    </xf>
    <xf numFmtId="0" fontId="9" fillId="3" borderId="8" xfId="0" applyFont="1" applyFill="1" applyBorder="1" applyAlignment="1">
      <alignment horizontal="center" vertical="center"/>
    </xf>
    <xf numFmtId="0" fontId="10" fillId="0" borderId="5" xfId="0" applyFont="1" applyFill="1" applyBorder="1" applyAlignment="1">
      <alignment horizontal="center" vertical="center" wrapText="1"/>
    </xf>
    <xf numFmtId="177" fontId="20" fillId="0" borderId="8" xfId="0" applyNumberFormat="1" applyFont="1" applyFill="1" applyBorder="1" applyAlignment="1">
      <alignment horizontal="center" vertical="center"/>
    </xf>
    <xf numFmtId="0" fontId="21" fillId="0" borderId="1" xfId="0" applyFont="1" applyFill="1" applyBorder="1" applyAlignment="1">
      <alignment horizontal="center" vertical="center"/>
    </xf>
    <xf numFmtId="177" fontId="10" fillId="0" borderId="1" xfId="0" applyNumberFormat="1" applyFont="1" applyFill="1" applyBorder="1" applyAlignment="1">
      <alignment horizontal="center" vertical="center"/>
    </xf>
    <xf numFmtId="0" fontId="2" fillId="0" borderId="5" xfId="0" applyFont="1" applyFill="1" applyBorder="1" applyAlignment="1">
      <alignment horizontal="center" vertical="center"/>
    </xf>
    <xf numFmtId="0" fontId="22" fillId="0" borderId="1" xfId="0" applyFont="1" applyFill="1" applyBorder="1" applyAlignment="1">
      <alignment horizontal="center" vertical="center"/>
    </xf>
    <xf numFmtId="0" fontId="23" fillId="0" borderId="8" xfId="0" applyFont="1" applyFill="1" applyBorder="1" applyAlignment="1">
      <alignment horizontal="center" vertical="center"/>
    </xf>
    <xf numFmtId="0" fontId="2" fillId="0" borderId="1" xfId="0" applyFont="1" applyFill="1" applyBorder="1" applyAlignment="1">
      <alignment horizontal="center" vertical="center"/>
    </xf>
    <xf numFmtId="0" fontId="24" fillId="0" borderId="8" xfId="0" applyFont="1" applyFill="1" applyBorder="1" applyAlignment="1">
      <alignment horizontal="center" vertical="center"/>
    </xf>
    <xf numFmtId="0" fontId="22" fillId="0" borderId="8" xfId="0" applyFont="1" applyFill="1" applyBorder="1" applyAlignment="1">
      <alignment horizontal="center" vertical="center"/>
    </xf>
    <xf numFmtId="0" fontId="2" fillId="0" borderId="9" xfId="0" applyFont="1" applyFill="1" applyBorder="1" applyAlignment="1">
      <alignment horizontal="center" vertical="center"/>
    </xf>
    <xf numFmtId="177" fontId="9" fillId="0" borderId="10" xfId="0" applyNumberFormat="1" applyFont="1" applyFill="1" applyBorder="1" applyAlignment="1">
      <alignment horizontal="center" vertical="center"/>
    </xf>
    <xf numFmtId="0" fontId="22" fillId="0" borderId="10" xfId="0" applyFont="1" applyFill="1" applyBorder="1" applyAlignment="1">
      <alignment horizontal="center" vertical="center"/>
    </xf>
    <xf numFmtId="0" fontId="23" fillId="0" borderId="11" xfId="0" applyFont="1" applyFill="1" applyBorder="1" applyAlignment="1">
      <alignment horizontal="center" vertical="center"/>
    </xf>
    <xf numFmtId="0" fontId="16" fillId="0" borderId="0" xfId="0" applyFont="1" applyFill="1" applyAlignment="1">
      <alignment horizontal="left" vertical="center"/>
    </xf>
    <xf numFmtId="0" fontId="0" fillId="0" borderId="0" xfId="0" applyFont="1" applyFill="1" applyAlignment="1">
      <alignment horizontal="left" vertical="center"/>
    </xf>
    <xf numFmtId="0" fontId="5" fillId="0" borderId="0" xfId="0" applyFont="1" applyFill="1" applyAlignment="1">
      <alignment horizontal="center" vertical="center"/>
    </xf>
    <xf numFmtId="0" fontId="6" fillId="0" borderId="0" xfId="0" applyFont="1" applyFill="1" applyBorder="1" applyAlignment="1">
      <alignment horizontal="left" vertical="center"/>
    </xf>
    <xf numFmtId="0" fontId="3" fillId="0" borderId="0" xfId="0" applyFont="1" applyFill="1" applyBorder="1" applyAlignment="1">
      <alignment horizontal="left" vertical="center"/>
    </xf>
    <xf numFmtId="0" fontId="9" fillId="0" borderId="0" xfId="0" applyFont="1" applyFill="1" applyAlignment="1">
      <alignment horizontal="left" vertical="center"/>
    </xf>
    <xf numFmtId="177" fontId="9" fillId="3" borderId="7" xfId="0" applyNumberFormat="1" applyFont="1" applyFill="1" applyBorder="1" applyAlignment="1">
      <alignment horizontal="center" vertical="center"/>
    </xf>
    <xf numFmtId="0" fontId="9" fillId="4" borderId="1" xfId="0" applyFont="1" applyFill="1" applyBorder="1" applyAlignment="1">
      <alignment horizontal="center" vertical="center"/>
    </xf>
    <xf numFmtId="176" fontId="9" fillId="4" borderId="1" xfId="0" applyNumberFormat="1" applyFont="1" applyFill="1" applyBorder="1" applyAlignment="1">
      <alignment horizontal="center" vertical="center"/>
    </xf>
    <xf numFmtId="176" fontId="10" fillId="4" borderId="1" xfId="0" applyNumberFormat="1" applyFont="1" applyFill="1" applyBorder="1" applyAlignment="1">
      <alignment horizontal="center" vertical="center"/>
    </xf>
    <xf numFmtId="0" fontId="9" fillId="0" borderId="1" xfId="0" applyFont="1" applyFill="1" applyBorder="1" applyAlignment="1">
      <alignment horizontal="left" vertical="center"/>
    </xf>
    <xf numFmtId="176" fontId="9" fillId="0" borderId="1" xfId="0" applyNumberFormat="1" applyFont="1" applyFill="1" applyBorder="1" applyAlignment="1">
      <alignment horizontal="center" vertical="center"/>
    </xf>
    <xf numFmtId="176" fontId="10" fillId="0" borderId="1" xfId="0" applyNumberFormat="1" applyFont="1" applyFill="1" applyBorder="1" applyAlignment="1">
      <alignment horizontal="center" vertical="center"/>
    </xf>
    <xf numFmtId="0" fontId="1" fillId="0" borderId="0" xfId="0" applyFont="1" applyFill="1" applyAlignment="1">
      <alignment horizontal="left" vertical="center"/>
    </xf>
    <xf numFmtId="176"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7" fontId="0" fillId="0" borderId="0" xfId="0" applyNumberFormat="1" applyFont="1" applyFill="1" applyAlignment="1">
      <alignment vertical="center"/>
    </xf>
    <xf numFmtId="0" fontId="25" fillId="0" borderId="0" xfId="0" applyFont="1" applyFill="1" applyAlignment="1">
      <alignment vertical="center"/>
    </xf>
    <xf numFmtId="0" fontId="17" fillId="0" borderId="0" xfId="0" applyFont="1" applyFill="1" applyAlignment="1">
      <alignment horizontal="center" vertical="center"/>
    </xf>
    <xf numFmtId="176" fontId="17" fillId="0" borderId="0" xfId="0" applyNumberFormat="1" applyFont="1" applyFill="1" applyAlignment="1">
      <alignment horizontal="center" vertical="center"/>
    </xf>
    <xf numFmtId="0" fontId="17" fillId="0" borderId="0" xfId="0" applyFont="1" applyFill="1">
      <alignment vertical="center"/>
    </xf>
    <xf numFmtId="0" fontId="18" fillId="0" borderId="0" xfId="0" applyFont="1" applyFill="1" applyBorder="1" applyAlignment="1">
      <alignment horizontal="center" vertical="center"/>
    </xf>
    <xf numFmtId="0" fontId="18" fillId="0" borderId="0" xfId="0" applyFont="1" applyFill="1" applyAlignment="1">
      <alignment horizontal="center" vertical="center"/>
    </xf>
    <xf numFmtId="176" fontId="18" fillId="0" borderId="0" xfId="0" applyNumberFormat="1" applyFont="1" applyFill="1" applyAlignment="1">
      <alignment horizontal="center" vertical="center"/>
    </xf>
    <xf numFmtId="176" fontId="5" fillId="0" borderId="0" xfId="0" applyNumberFormat="1" applyFont="1" applyAlignment="1">
      <alignment horizontal="center" vertical="center"/>
    </xf>
    <xf numFmtId="0" fontId="6" fillId="0" borderId="1" xfId="0" applyFont="1" applyFill="1" applyBorder="1" applyAlignment="1">
      <alignment horizontal="center" vertical="center" wrapText="1"/>
    </xf>
    <xf numFmtId="0" fontId="6" fillId="0" borderId="18" xfId="0" applyFont="1" applyFill="1" applyBorder="1" applyAlignment="1">
      <alignment horizontal="center" vertical="center" wrapText="1"/>
    </xf>
    <xf numFmtId="176" fontId="6" fillId="0" borderId="18" xfId="0" applyNumberFormat="1" applyFont="1" applyFill="1" applyBorder="1" applyAlignment="1">
      <alignment horizontal="center" vertical="center" wrapText="1"/>
    </xf>
    <xf numFmtId="177" fontId="6" fillId="0" borderId="1" xfId="0" applyNumberFormat="1" applyFont="1" applyFill="1" applyBorder="1" applyAlignment="1">
      <alignment horizontal="center" vertical="center"/>
    </xf>
    <xf numFmtId="0" fontId="6" fillId="0" borderId="6" xfId="0" applyFont="1" applyFill="1" applyBorder="1" applyAlignment="1">
      <alignment horizontal="center" vertical="center" wrapText="1"/>
    </xf>
    <xf numFmtId="176" fontId="6" fillId="0" borderId="19" xfId="0" applyNumberFormat="1" applyFont="1" applyFill="1" applyBorder="1" applyAlignment="1">
      <alignment horizontal="center" vertical="center" wrapText="1"/>
    </xf>
    <xf numFmtId="176" fontId="6" fillId="0" borderId="6" xfId="0" applyNumberFormat="1" applyFont="1" applyFill="1" applyBorder="1" applyAlignment="1">
      <alignment horizontal="center" vertical="center" wrapText="1"/>
    </xf>
    <xf numFmtId="0" fontId="6" fillId="0" borderId="19" xfId="0"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177" fontId="9" fillId="0" borderId="1" xfId="0" applyNumberFormat="1" applyFont="1" applyFill="1" applyBorder="1" applyAlignment="1">
      <alignment horizontal="left" vertical="center" wrapText="1"/>
    </xf>
    <xf numFmtId="177" fontId="10" fillId="0" borderId="1" xfId="0" applyNumberFormat="1" applyFont="1" applyFill="1" applyBorder="1" applyAlignment="1">
      <alignment horizontal="left" vertical="center" wrapText="1"/>
    </xf>
    <xf numFmtId="0" fontId="0" fillId="0" borderId="20" xfId="0" applyBorder="1">
      <alignment vertical="center"/>
    </xf>
    <xf numFmtId="177" fontId="0" fillId="0" borderId="1" xfId="0" applyNumberFormat="1" applyBorder="1" applyAlignment="1">
      <alignment horizontal="left" vertical="center"/>
    </xf>
    <xf numFmtId="177" fontId="0" fillId="0" borderId="1" xfId="0" applyNumberFormat="1" applyBorder="1">
      <alignment vertical="center"/>
    </xf>
    <xf numFmtId="177" fontId="9" fillId="0" borderId="1" xfId="0" applyNumberFormat="1" applyFont="1" applyFill="1" applyBorder="1" applyAlignment="1">
      <alignment horizontal="justify" vertical="center"/>
    </xf>
    <xf numFmtId="177" fontId="0" fillId="0" borderId="20" xfId="0" applyNumberFormat="1" applyBorder="1">
      <alignment vertical="center"/>
    </xf>
    <xf numFmtId="177" fontId="0" fillId="0" borderId="20" xfId="0" applyNumberFormat="1" applyBorder="1" applyAlignment="1">
      <alignment horizontal="left" vertical="center"/>
    </xf>
    <xf numFmtId="0" fontId="26" fillId="0" borderId="0" xfId="0" applyFont="1" applyFill="1" applyAlignment="1">
      <alignment vertical="center"/>
    </xf>
    <xf numFmtId="0" fontId="17" fillId="0" borderId="0" xfId="0" applyFont="1" applyFill="1" applyBorder="1" applyAlignment="1">
      <alignment vertical="center"/>
    </xf>
    <xf numFmtId="0" fontId="1" fillId="0" borderId="0" xfId="0" applyNumberFormat="1" applyFont="1" applyFill="1" applyAlignment="1">
      <alignment horizontal="center" vertical="center"/>
    </xf>
    <xf numFmtId="0" fontId="2" fillId="0" borderId="0" xfId="0" applyFont="1" applyFill="1" applyAlignment="1">
      <alignment horizontal="left" vertical="center"/>
    </xf>
    <xf numFmtId="0" fontId="2" fillId="0" borderId="0" xfId="0" applyNumberFormat="1" applyFont="1" applyFill="1" applyAlignment="1">
      <alignment horizontal="center" vertical="center"/>
    </xf>
    <xf numFmtId="0" fontId="5" fillId="0" borderId="0" xfId="0" applyFont="1" applyAlignment="1">
      <alignment horizontal="left" vertical="center"/>
    </xf>
    <xf numFmtId="0" fontId="5" fillId="0" borderId="0" xfId="0" applyNumberFormat="1" applyFont="1" applyAlignment="1">
      <alignment horizontal="center" vertical="center"/>
    </xf>
    <xf numFmtId="0" fontId="3" fillId="0" borderId="0" xfId="0" applyFont="1" applyFill="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177" fontId="6" fillId="0" borderId="3" xfId="0" applyNumberFormat="1" applyFont="1" applyFill="1" applyBorder="1" applyAlignment="1">
      <alignment horizontal="center" vertical="center"/>
    </xf>
    <xf numFmtId="177" fontId="25" fillId="0" borderId="0" xfId="0" applyNumberFormat="1" applyFont="1" applyFill="1" applyBorder="1" applyAlignment="1">
      <alignment horizontal="center" vertical="center"/>
    </xf>
    <xf numFmtId="0" fontId="8" fillId="0" borderId="0" xfId="0" applyFont="1" applyFill="1" applyBorder="1" applyAlignment="1">
      <alignment horizontal="left" vertical="center"/>
    </xf>
    <xf numFmtId="0" fontId="8" fillId="0" borderId="0" xfId="0" applyNumberFormat="1" applyFont="1" applyFill="1" applyBorder="1" applyAlignment="1">
      <alignment horizontal="center" vertical="center"/>
    </xf>
    <xf numFmtId="0" fontId="6" fillId="0" borderId="5" xfId="0" applyFont="1" applyFill="1" applyBorder="1" applyAlignment="1">
      <alignment horizontal="center" vertical="center" wrapText="1"/>
    </xf>
    <xf numFmtId="177" fontId="9" fillId="0" borderId="21" xfId="0" applyNumberFormat="1" applyFont="1" applyFill="1" applyBorder="1" applyAlignment="1">
      <alignment horizontal="center" vertical="center"/>
    </xf>
    <xf numFmtId="177" fontId="9" fillId="0" borderId="3" xfId="0" applyNumberFormat="1" applyFont="1" applyFill="1" applyBorder="1" applyAlignment="1">
      <alignment horizontal="left" vertical="center"/>
    </xf>
    <xf numFmtId="0" fontId="9" fillId="0" borderId="3" xfId="0" applyNumberFormat="1" applyFont="1" applyFill="1" applyBorder="1" applyAlignment="1">
      <alignment horizontal="center" vertical="center"/>
    </xf>
    <xf numFmtId="177" fontId="9" fillId="0" borderId="0" xfId="0" applyNumberFormat="1" applyFont="1" applyFill="1" applyBorder="1" applyAlignment="1">
      <alignment horizontal="center" vertical="center"/>
    </xf>
    <xf numFmtId="177" fontId="9" fillId="0" borderId="22" xfId="0" applyNumberFormat="1" applyFont="1" applyFill="1" applyBorder="1" applyAlignment="1">
      <alignment horizontal="center" vertical="center"/>
    </xf>
    <xf numFmtId="177" fontId="9" fillId="0" borderId="1" xfId="0" applyNumberFormat="1" applyFont="1" applyFill="1" applyBorder="1" applyAlignment="1">
      <alignment horizontal="left" vertical="center"/>
    </xf>
    <xf numFmtId="0" fontId="9" fillId="0" borderId="1"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0" fontId="25" fillId="0" borderId="1" xfId="0" applyFont="1" applyFill="1" applyBorder="1" applyAlignment="1">
      <alignment horizontal="center" vertical="center"/>
    </xf>
    <xf numFmtId="0" fontId="9" fillId="0" borderId="1" xfId="0" applyNumberFormat="1" applyFont="1" applyFill="1" applyBorder="1" applyAlignment="1">
      <alignment horizontal="center" vertical="center" wrapText="1"/>
    </xf>
    <xf numFmtId="0" fontId="9" fillId="0" borderId="22" xfId="0" applyFont="1" applyFill="1" applyBorder="1" applyAlignment="1">
      <alignment horizontal="center" vertical="center" wrapText="1"/>
    </xf>
    <xf numFmtId="0" fontId="10" fillId="0" borderId="1" xfId="0" applyFont="1" applyFill="1" applyBorder="1" applyAlignment="1">
      <alignment horizontal="left" vertical="center" wrapText="1"/>
    </xf>
    <xf numFmtId="177" fontId="10" fillId="0" borderId="0" xfId="0" applyNumberFormat="1" applyFont="1" applyFill="1" applyBorder="1" applyAlignment="1">
      <alignment horizontal="center" vertical="center"/>
    </xf>
    <xf numFmtId="0" fontId="10" fillId="0" borderId="22" xfId="0"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9" fillId="0" borderId="9" xfId="0" applyFont="1" applyFill="1" applyBorder="1" applyAlignment="1">
      <alignment horizontal="center" vertical="center" wrapText="1"/>
    </xf>
    <xf numFmtId="0" fontId="9" fillId="0" borderId="10" xfId="0" applyFont="1" applyFill="1" applyBorder="1" applyAlignment="1">
      <alignment horizontal="center" vertical="center" wrapText="1"/>
    </xf>
    <xf numFmtId="0" fontId="9" fillId="0" borderId="10" xfId="0" applyFont="1" applyFill="1" applyBorder="1" applyAlignment="1">
      <alignment horizontal="left" vertical="center" wrapText="1"/>
    </xf>
    <xf numFmtId="177" fontId="10" fillId="0" borderId="11" xfId="0" applyNumberFormat="1" applyFont="1" applyFill="1" applyBorder="1" applyAlignment="1">
      <alignment horizontal="center" vertical="center"/>
    </xf>
    <xf numFmtId="0" fontId="16" fillId="0" borderId="0" xfId="0" applyFont="1" applyFill="1" applyAlignment="1">
      <alignment vertical="center"/>
    </xf>
    <xf numFmtId="0" fontId="3" fillId="0" borderId="0" xfId="0" applyFont="1" applyFill="1" applyAlignment="1">
      <alignment horizontal="center" vertical="center"/>
    </xf>
    <xf numFmtId="0" fontId="27" fillId="0" borderId="0" xfId="0" applyFont="1" applyFill="1" applyBorder="1" applyAlignment="1">
      <alignment horizontal="center" vertical="center"/>
    </xf>
    <xf numFmtId="177" fontId="27" fillId="0" borderId="0" xfId="0" applyNumberFormat="1" applyFont="1" applyFill="1" applyBorder="1" applyAlignment="1">
      <alignment horizontal="center" vertical="center"/>
    </xf>
    <xf numFmtId="0" fontId="26" fillId="0" borderId="1" xfId="0" applyFont="1" applyFill="1" applyBorder="1" applyAlignment="1">
      <alignment vertical="center"/>
    </xf>
    <xf numFmtId="0" fontId="15" fillId="0" borderId="1" xfId="0" applyFont="1" applyFill="1" applyBorder="1" applyAlignment="1">
      <alignment vertical="center"/>
    </xf>
    <xf numFmtId="177" fontId="1" fillId="0" borderId="0" xfId="0" applyNumberFormat="1" applyFont="1" applyFill="1" applyAlignment="1">
      <alignment horizontal="left" vertical="center"/>
    </xf>
    <xf numFmtId="0" fontId="25" fillId="0" borderId="1" xfId="0" applyFont="1" applyFill="1" applyBorder="1" applyAlignment="1">
      <alignment vertical="center"/>
    </xf>
    <xf numFmtId="177" fontId="25" fillId="0" borderId="0" xfId="0" applyNumberFormat="1" applyFont="1" applyFill="1" applyAlignment="1">
      <alignment horizontal="left" vertical="center"/>
    </xf>
    <xf numFmtId="176" fontId="1" fillId="0" borderId="0" xfId="0" applyNumberFormat="1" applyFont="1" applyFill="1" applyAlignment="1">
      <alignment vertical="center"/>
    </xf>
    <xf numFmtId="0" fontId="0" fillId="0" borderId="0" xfId="0" applyFill="1" applyAlignment="1">
      <alignment horizontal="center" vertical="center"/>
    </xf>
    <xf numFmtId="176" fontId="2" fillId="0" borderId="0" xfId="0" applyNumberFormat="1" applyFont="1" applyFill="1" applyAlignment="1">
      <alignment vertical="center"/>
    </xf>
    <xf numFmtId="0" fontId="2" fillId="0" borderId="0" xfId="0" applyFont="1" applyFill="1" applyAlignment="1">
      <alignment horizontal="center" vertical="center"/>
    </xf>
    <xf numFmtId="0" fontId="3" fillId="0" borderId="0" xfId="0" applyFont="1" applyFill="1" applyBorder="1" applyAlignment="1">
      <alignment horizontal="center" vertical="center"/>
    </xf>
    <xf numFmtId="176" fontId="7" fillId="0" borderId="0" xfId="0" applyNumberFormat="1" applyFont="1" applyFill="1" applyBorder="1" applyAlignment="1">
      <alignment vertical="center"/>
    </xf>
    <xf numFmtId="176" fontId="9" fillId="0" borderId="0" xfId="0" applyNumberFormat="1" applyFont="1" applyFill="1" applyBorder="1" applyAlignment="1">
      <alignment horizontal="center" vertical="center"/>
    </xf>
    <xf numFmtId="176" fontId="9" fillId="0" borderId="0" xfId="0" applyNumberFormat="1" applyFont="1" applyFill="1" applyAlignment="1">
      <alignment horizontal="center" vertical="center"/>
    </xf>
    <xf numFmtId="0" fontId="0" fillId="0" borderId="0" xfId="0" applyAlignment="1">
      <alignment horizontal="center" vertical="center"/>
    </xf>
    <xf numFmtId="0" fontId="15" fillId="0" borderId="0" xfId="0" applyFont="1" applyAlignment="1">
      <alignment horizontal="center" vertical="center"/>
    </xf>
    <xf numFmtId="0" fontId="28" fillId="0" borderId="0" xfId="0" applyFont="1" applyFill="1" applyAlignment="1">
      <alignment vertical="center"/>
    </xf>
    <xf numFmtId="0" fontId="29" fillId="0" borderId="0" xfId="0" applyFont="1" applyFill="1" applyAlignment="1">
      <alignment vertical="center"/>
    </xf>
    <xf numFmtId="0" fontId="30" fillId="0" borderId="2" xfId="0" applyFont="1" applyBorder="1" applyAlignment="1">
      <alignment horizontal="center" vertical="center"/>
    </xf>
    <xf numFmtId="0" fontId="30" fillId="0" borderId="12" xfId="0" applyFont="1" applyBorder="1" applyAlignment="1">
      <alignment horizontal="center" vertical="center"/>
    </xf>
    <xf numFmtId="0" fontId="30" fillId="0" borderId="3" xfId="0" applyFont="1" applyBorder="1" applyAlignment="1">
      <alignment horizontal="center" vertical="center"/>
    </xf>
    <xf numFmtId="0" fontId="30" fillId="0" borderId="4" xfId="0" applyFont="1" applyBorder="1" applyAlignment="1">
      <alignment horizontal="center" vertical="center"/>
    </xf>
    <xf numFmtId="0" fontId="30" fillId="0" borderId="5" xfId="0" applyFont="1" applyBorder="1" applyAlignment="1">
      <alignment horizontal="center" vertical="center"/>
    </xf>
    <xf numFmtId="0" fontId="30" fillId="0" borderId="1" xfId="0" applyFont="1" applyBorder="1" applyAlignment="1">
      <alignment horizontal="center" vertical="center"/>
    </xf>
    <xf numFmtId="176" fontId="30" fillId="0" borderId="1" xfId="0" applyNumberFormat="1" applyFont="1" applyBorder="1" applyAlignment="1">
      <alignment horizontal="center" vertical="center"/>
    </xf>
    <xf numFmtId="0" fontId="30" fillId="0" borderId="8" xfId="0" applyFont="1" applyBorder="1" applyAlignment="1">
      <alignment horizontal="center" vertical="center"/>
    </xf>
    <xf numFmtId="0" fontId="31" fillId="0" borderId="1" xfId="0" applyFont="1" applyBorder="1" applyAlignment="1">
      <alignment horizontal="center" vertical="center"/>
    </xf>
    <xf numFmtId="176" fontId="31" fillId="0" borderId="1" xfId="0" applyNumberFormat="1" applyFont="1" applyBorder="1" applyAlignment="1">
      <alignment horizontal="center" vertical="center"/>
    </xf>
    <xf numFmtId="0" fontId="32" fillId="0" borderId="8" xfId="0" applyFont="1" applyBorder="1" applyAlignment="1">
      <alignment horizontal="center" vertical="center"/>
    </xf>
    <xf numFmtId="0" fontId="30" fillId="0" borderId="9" xfId="0" applyFont="1" applyBorder="1" applyAlignment="1">
      <alignment horizontal="center" vertical="center"/>
    </xf>
    <xf numFmtId="0" fontId="30" fillId="0" borderId="10" xfId="0" applyFont="1" applyBorder="1" applyAlignment="1">
      <alignment horizontal="center" vertical="center"/>
    </xf>
    <xf numFmtId="176" fontId="30" fillId="0" borderId="10" xfId="0" applyNumberFormat="1" applyFont="1" applyBorder="1" applyAlignment="1">
      <alignment horizontal="center" vertical="center"/>
    </xf>
    <xf numFmtId="0" fontId="30" fillId="0" borderId="11" xfId="0" applyFont="1" applyBorder="1" applyAlignment="1">
      <alignment horizontal="center" vertical="center"/>
    </xf>
    <xf numFmtId="0" fontId="33" fillId="0" borderId="0" xfId="0" applyFont="1" applyAlignment="1">
      <alignment horizontal="center" vertical="center"/>
    </xf>
    <xf numFmtId="0" fontId="33" fillId="0" borderId="0" xfId="0" applyFont="1">
      <alignment vertical="center"/>
    </xf>
    <xf numFmtId="0" fontId="34" fillId="0" borderId="0" xfId="0" applyFont="1">
      <alignment vertical="center"/>
    </xf>
    <xf numFmtId="0" fontId="35" fillId="0" borderId="0" xfId="0" applyFont="1">
      <alignment vertical="center"/>
    </xf>
    <xf numFmtId="0" fontId="33" fillId="0" borderId="0" xfId="0" applyFont="1" applyFill="1">
      <alignment vertical="center"/>
    </xf>
    <xf numFmtId="0" fontId="36" fillId="0" borderId="0" xfId="0" applyFont="1" applyFill="1">
      <alignment vertical="center"/>
    </xf>
    <xf numFmtId="0" fontId="37" fillId="0" borderId="0" xfId="0" applyFont="1" applyAlignment="1">
      <alignment horizontal="justify" vertical="center"/>
    </xf>
    <xf numFmtId="0" fontId="31" fillId="5" borderId="16" xfId="0" applyFont="1" applyFill="1" applyBorder="1" applyAlignment="1">
      <alignment horizontal="center" vertical="center" wrapText="1"/>
    </xf>
    <xf numFmtId="0" fontId="31" fillId="5" borderId="12" xfId="0" applyFont="1" applyFill="1" applyBorder="1" applyAlignment="1">
      <alignment horizontal="center" vertical="center" wrapText="1"/>
    </xf>
    <xf numFmtId="0" fontId="31" fillId="5" borderId="4" xfId="0" applyFont="1" applyFill="1" applyBorder="1" applyAlignment="1">
      <alignment horizontal="center" vertical="center" wrapText="1"/>
    </xf>
    <xf numFmtId="0" fontId="31" fillId="5" borderId="17" xfId="0" applyFont="1" applyFill="1" applyBorder="1" applyAlignment="1">
      <alignment horizontal="center" vertical="center" wrapText="1"/>
    </xf>
    <xf numFmtId="0" fontId="31" fillId="5" borderId="6" xfId="0" applyFont="1" applyFill="1" applyBorder="1" applyAlignment="1">
      <alignment horizontal="center" vertical="center" wrapText="1"/>
    </xf>
    <xf numFmtId="0" fontId="31" fillId="5" borderId="8" xfId="0" applyFont="1" applyFill="1" applyBorder="1" applyAlignment="1">
      <alignment horizontal="center" vertical="center" wrapText="1"/>
    </xf>
    <xf numFmtId="0" fontId="31" fillId="5" borderId="6" xfId="0" applyFont="1" applyFill="1" applyBorder="1" applyAlignment="1">
      <alignment horizontal="left" vertical="center" wrapText="1"/>
    </xf>
    <xf numFmtId="0" fontId="31" fillId="5" borderId="7" xfId="0" applyFont="1" applyFill="1" applyBorder="1" applyAlignment="1">
      <alignment horizontal="left" vertical="center" wrapText="1"/>
    </xf>
    <xf numFmtId="0" fontId="31" fillId="5" borderId="5" xfId="0" applyFont="1" applyFill="1" applyBorder="1" applyAlignment="1">
      <alignment horizontal="center" vertical="center" wrapText="1"/>
    </xf>
    <xf numFmtId="0" fontId="31" fillId="5" borderId="1" xfId="0" applyFont="1" applyFill="1" applyBorder="1" applyAlignment="1">
      <alignment horizontal="left" vertical="center" wrapText="1"/>
    </xf>
    <xf numFmtId="0" fontId="31" fillId="5" borderId="1" xfId="0" applyFont="1" applyFill="1" applyBorder="1" applyAlignment="1">
      <alignment horizontal="center" vertical="center" wrapText="1"/>
    </xf>
    <xf numFmtId="0" fontId="31" fillId="5" borderId="8" xfId="0" applyFont="1" applyFill="1" applyBorder="1" applyAlignment="1">
      <alignment horizontal="left" vertical="center" wrapText="1"/>
    </xf>
    <xf numFmtId="0" fontId="31" fillId="5" borderId="1" xfId="0" applyFont="1" applyFill="1" applyBorder="1" applyAlignment="1">
      <alignment horizontal="justify" vertical="center" wrapText="1"/>
    </xf>
    <xf numFmtId="0" fontId="31" fillId="0" borderId="5" xfId="0" applyFont="1" applyFill="1" applyBorder="1" applyAlignment="1">
      <alignment horizontal="center" vertical="center" wrapText="1"/>
    </xf>
    <xf numFmtId="0" fontId="31" fillId="0" borderId="1" xfId="0" applyFont="1" applyFill="1" applyBorder="1" applyAlignment="1">
      <alignment horizontal="justify" vertical="center" wrapText="1"/>
    </xf>
    <xf numFmtId="0" fontId="31" fillId="0" borderId="1" xfId="0" applyFont="1" applyFill="1" applyBorder="1" applyAlignment="1">
      <alignment horizontal="center" vertical="center" wrapText="1"/>
    </xf>
    <xf numFmtId="0" fontId="31" fillId="0" borderId="8" xfId="0" applyFont="1" applyFill="1" applyBorder="1" applyAlignment="1">
      <alignment horizontal="left" vertical="center" wrapText="1"/>
    </xf>
    <xf numFmtId="0" fontId="38" fillId="0" borderId="5" xfId="0" applyFont="1" applyFill="1" applyBorder="1" applyAlignment="1">
      <alignment horizontal="center" vertical="center" wrapText="1"/>
    </xf>
    <xf numFmtId="0" fontId="31" fillId="5" borderId="1" xfId="0" applyFont="1" applyFill="1" applyBorder="1" applyAlignment="1">
      <alignment horizontal="center" vertical="center"/>
    </xf>
    <xf numFmtId="0" fontId="31" fillId="5" borderId="9" xfId="0" applyFont="1" applyFill="1" applyBorder="1" applyAlignment="1">
      <alignment horizontal="center" vertical="center" wrapText="1"/>
    </xf>
    <xf numFmtId="0" fontId="31" fillId="5" borderId="10" xfId="0" applyFont="1" applyFill="1" applyBorder="1" applyAlignment="1">
      <alignment horizontal="justify" vertical="center" wrapText="1"/>
    </xf>
    <xf numFmtId="0" fontId="31" fillId="5" borderId="10" xfId="0" applyFont="1" applyFill="1" applyBorder="1" applyAlignment="1">
      <alignment horizontal="center" vertical="center"/>
    </xf>
    <xf numFmtId="0" fontId="31" fillId="5" borderId="10" xfId="0" applyFont="1" applyFill="1" applyBorder="1" applyAlignment="1">
      <alignment horizontal="center" vertical="center" wrapText="1"/>
    </xf>
    <xf numFmtId="0" fontId="31" fillId="5" borderId="11" xfId="0" applyFont="1" applyFill="1" applyBorder="1" applyAlignment="1">
      <alignment horizontal="left" vertical="center" wrapText="1"/>
    </xf>
    <xf numFmtId="0" fontId="30" fillId="5" borderId="2" xfId="0" applyFont="1" applyFill="1" applyBorder="1" applyAlignment="1">
      <alignment horizontal="center" vertical="center" wrapText="1"/>
    </xf>
    <xf numFmtId="0" fontId="30" fillId="5" borderId="3" xfId="0" applyFont="1" applyFill="1" applyBorder="1" applyAlignment="1">
      <alignment horizontal="center" vertical="center" wrapText="1"/>
    </xf>
    <xf numFmtId="0" fontId="30" fillId="5" borderId="4" xfId="0" applyFont="1" applyFill="1" applyBorder="1" applyAlignment="1">
      <alignment horizontal="center" vertical="center" wrapText="1"/>
    </xf>
    <xf numFmtId="0" fontId="39" fillId="5" borderId="5" xfId="0" applyFont="1" applyFill="1" applyBorder="1" applyAlignment="1">
      <alignment horizontal="center" vertical="center" wrapText="1"/>
    </xf>
    <xf numFmtId="0" fontId="39" fillId="5" borderId="1" xfId="0" applyFont="1" applyFill="1" applyBorder="1" applyAlignment="1">
      <alignment horizontal="left" vertical="center" wrapText="1"/>
    </xf>
    <xf numFmtId="0" fontId="39" fillId="5" borderId="1" xfId="0" applyFont="1" applyFill="1" applyBorder="1" applyAlignment="1">
      <alignment horizontal="center" vertical="center" wrapText="1"/>
    </xf>
    <xf numFmtId="0" fontId="39" fillId="5" borderId="1" xfId="0" applyFont="1" applyFill="1" applyBorder="1" applyAlignment="1">
      <alignment horizontal="center" vertical="center"/>
    </xf>
    <xf numFmtId="0" fontId="31" fillId="5" borderId="8" xfId="0" applyFont="1" applyFill="1" applyBorder="1" applyAlignment="1">
      <alignment horizontal="left" vertical="center"/>
    </xf>
    <xf numFmtId="0" fontId="39" fillId="5" borderId="9" xfId="0" applyFont="1" applyFill="1" applyBorder="1" applyAlignment="1">
      <alignment horizontal="center" vertical="center" wrapText="1"/>
    </xf>
    <xf numFmtId="0" fontId="39" fillId="5" borderId="10" xfId="0" applyFont="1" applyFill="1" applyBorder="1" applyAlignment="1">
      <alignment horizontal="center" vertical="center" wrapText="1"/>
    </xf>
    <xf numFmtId="0" fontId="31" fillId="5" borderId="11" xfId="0" applyFont="1" applyFill="1" applyBorder="1" applyAlignment="1">
      <alignment horizontal="center" vertical="center" wrapText="1"/>
    </xf>
    <xf numFmtId="0" fontId="30" fillId="0" borderId="0" xfId="0" applyFont="1" applyAlignment="1">
      <alignment horizontal="left" vertical="center" wrapText="1"/>
    </xf>
    <xf numFmtId="0" fontId="30" fillId="0" borderId="0" xfId="0" applyFont="1" applyAlignment="1">
      <alignment horizontal="left" vertical="center"/>
    </xf>
    <xf numFmtId="0" fontId="30" fillId="0" borderId="2"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4"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8" xfId="0" applyFont="1" applyBorder="1" applyAlignment="1">
      <alignment horizontal="center" vertical="center" wrapText="1"/>
    </xf>
    <xf numFmtId="0" fontId="31" fillId="0" borderId="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8" xfId="0" applyFont="1" applyBorder="1" applyAlignment="1">
      <alignment horizontal="center" vertical="center"/>
    </xf>
    <xf numFmtId="0" fontId="31" fillId="0" borderId="9"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0" xfId="0" applyFont="1" applyBorder="1" applyAlignment="1">
      <alignment horizontal="center" vertical="center"/>
    </xf>
    <xf numFmtId="0" fontId="31" fillId="0" borderId="11" xfId="0" applyFont="1" applyBorder="1" applyAlignment="1">
      <alignment horizontal="center" vertical="center"/>
    </xf>
    <xf numFmtId="0" fontId="30" fillId="0" borderId="0" xfId="0" applyFont="1">
      <alignment vertical="center"/>
    </xf>
    <xf numFmtId="0" fontId="30" fillId="0" borderId="23" xfId="0" applyFont="1" applyBorder="1" applyAlignment="1">
      <alignment horizontal="center" vertical="center" wrapText="1"/>
    </xf>
    <xf numFmtId="0" fontId="30" fillId="0" borderId="24"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9"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1" xfId="0" applyFont="1" applyBorder="1" applyAlignment="1">
      <alignment horizontal="center" vertical="center" wrapText="1"/>
    </xf>
    <xf numFmtId="0" fontId="17" fillId="0" borderId="0" xfId="0" applyFont="1" applyAlignment="1">
      <alignment horizontal="left" vertical="center" wrapText="1"/>
    </xf>
    <xf numFmtId="0" fontId="30" fillId="0" borderId="25" xfId="0" applyFont="1" applyBorder="1" applyAlignment="1">
      <alignment horizontal="center" vertical="center" wrapText="1"/>
    </xf>
    <xf numFmtId="0" fontId="40" fillId="0" borderId="0" xfId="0" applyFont="1" applyFill="1" applyAlignment="1">
      <alignment horizontal="center" vertical="center"/>
    </xf>
    <xf numFmtId="0" fontId="18" fillId="0" borderId="2" xfId="0" applyFont="1" applyFill="1" applyBorder="1" applyAlignment="1">
      <alignment horizontal="center" vertical="center"/>
    </xf>
    <xf numFmtId="0" fontId="18" fillId="0" borderId="4" xfId="0" applyFont="1" applyFill="1" applyBorder="1" applyAlignment="1">
      <alignment horizontal="center" vertical="center"/>
    </xf>
    <xf numFmtId="0" fontId="18" fillId="0" borderId="5" xfId="0" applyFont="1" applyFill="1" applyBorder="1" applyAlignment="1">
      <alignment horizontal="center" vertical="center"/>
    </xf>
    <xf numFmtId="0" fontId="18" fillId="0" borderId="8" xfId="0" applyFont="1" applyFill="1" applyBorder="1" applyAlignment="1">
      <alignment horizontal="center" vertical="center"/>
    </xf>
    <xf numFmtId="0" fontId="18" fillId="0" borderId="9" xfId="0" applyFont="1" applyFill="1" applyBorder="1" applyAlignment="1">
      <alignment horizontal="center" vertical="center"/>
    </xf>
    <xf numFmtId="0" fontId="18" fillId="0" borderId="11" xfId="0" applyFont="1" applyFill="1" applyBorder="1" applyAlignment="1">
      <alignment horizontal="center" vertical="center"/>
    </xf>
    <xf numFmtId="0" fontId="41" fillId="0" borderId="26" xfId="0" applyFont="1" applyFill="1" applyBorder="1">
      <alignment vertical="center"/>
    </xf>
    <xf numFmtId="0" fontId="0" fillId="0" borderId="27" xfId="0" applyFill="1" applyBorder="1">
      <alignment vertical="center"/>
    </xf>
    <xf numFmtId="0" fontId="0" fillId="0" borderId="28" xfId="0" applyFill="1" applyBorder="1">
      <alignment vertical="center"/>
    </xf>
    <xf numFmtId="0" fontId="0" fillId="0" borderId="5" xfId="0" applyFill="1" applyBorder="1">
      <alignment vertical="center"/>
    </xf>
    <xf numFmtId="0" fontId="0" fillId="0" borderId="1" xfId="0" applyFill="1" applyBorder="1">
      <alignment vertical="center"/>
    </xf>
    <xf numFmtId="0" fontId="0" fillId="2" borderId="1" xfId="0" applyFill="1" applyBorder="1" applyAlignment="1">
      <alignment horizontal="center" vertical="center"/>
    </xf>
    <xf numFmtId="0" fontId="0" fillId="0" borderId="29" xfId="0" applyFill="1" applyBorder="1" applyAlignment="1">
      <alignment horizontal="center" vertical="center"/>
    </xf>
    <xf numFmtId="176" fontId="0" fillId="0" borderId="1" xfId="0" applyNumberFormat="1" applyFill="1" applyBorder="1">
      <alignment vertical="center"/>
    </xf>
    <xf numFmtId="178" fontId="0" fillId="2" borderId="1" xfId="0" applyNumberFormat="1" applyFill="1" applyBorder="1" applyAlignment="1">
      <alignment horizontal="center" vertical="center"/>
    </xf>
    <xf numFmtId="0" fontId="0" fillId="0" borderId="30" xfId="0" applyFill="1" applyBorder="1">
      <alignment vertical="center"/>
    </xf>
    <xf numFmtId="0" fontId="0" fillId="0" borderId="31" xfId="0" applyFill="1" applyBorder="1">
      <alignment vertical="center"/>
    </xf>
    <xf numFmtId="176" fontId="0" fillId="0" borderId="31" xfId="0" applyNumberFormat="1" applyFill="1" applyBorder="1">
      <alignment vertical="center"/>
    </xf>
    <xf numFmtId="0" fontId="0" fillId="2" borderId="31" xfId="0" applyFill="1" applyBorder="1" applyAlignment="1">
      <alignment horizontal="center" vertical="center"/>
    </xf>
    <xf numFmtId="178" fontId="0" fillId="2" borderId="31" xfId="0" applyNumberFormat="1" applyFill="1" applyBorder="1" applyAlignment="1">
      <alignment horizontal="center" vertical="center"/>
    </xf>
    <xf numFmtId="0" fontId="0" fillId="0" borderId="32" xfId="0" applyFill="1" applyBorder="1" applyAlignment="1">
      <alignment horizontal="center" vertical="center"/>
    </xf>
    <xf numFmtId="9" fontId="0" fillId="0" borderId="0" xfId="3" applyFill="1">
      <alignment vertical="center"/>
    </xf>
    <xf numFmtId="178" fontId="0" fillId="0" borderId="0" xfId="0" applyNumberFormat="1" applyFill="1" applyAlignment="1">
      <alignment horizontal="center" vertical="center"/>
    </xf>
    <xf numFmtId="176" fontId="0" fillId="0" borderId="27" xfId="0" applyNumberFormat="1" applyFill="1" applyBorder="1">
      <alignment vertical="center"/>
    </xf>
    <xf numFmtId="9" fontId="0" fillId="0" borderId="27" xfId="3" applyFill="1" applyBorder="1">
      <alignment vertical="center"/>
    </xf>
    <xf numFmtId="0" fontId="0" fillId="0" borderId="27" xfId="0" applyFill="1" applyBorder="1" applyAlignment="1">
      <alignment horizontal="center" vertical="center"/>
    </xf>
    <xf numFmtId="0" fontId="0" fillId="0" borderId="29" xfId="0" applyFill="1" applyBorder="1">
      <alignment vertical="center"/>
    </xf>
    <xf numFmtId="43" fontId="0" fillId="0" borderId="1" xfId="0" applyNumberFormat="1" applyFill="1" applyBorder="1">
      <alignment vertical="center"/>
    </xf>
    <xf numFmtId="0" fontId="0" fillId="0" borderId="31" xfId="0" applyFill="1" applyBorder="1" applyAlignment="1">
      <alignment horizontal="center" vertical="center"/>
    </xf>
    <xf numFmtId="0" fontId="0" fillId="0" borderId="32" xfId="0" applyFill="1" applyBorder="1">
      <alignment vertical="center"/>
    </xf>
    <xf numFmtId="0" fontId="0" fillId="0" borderId="26" xfId="0" applyFill="1" applyBorder="1">
      <alignment vertical="center"/>
    </xf>
    <xf numFmtId="0" fontId="41" fillId="0" borderId="27" xfId="0" applyFont="1" applyFill="1" applyBorder="1">
      <alignment vertical="center"/>
    </xf>
    <xf numFmtId="0" fontId="0" fillId="0" borderId="28" xfId="0" applyFill="1" applyBorder="1" applyAlignment="1">
      <alignment horizontal="center" vertical="center"/>
    </xf>
    <xf numFmtId="0" fontId="0" fillId="0" borderId="33" xfId="0" applyFill="1" applyBorder="1">
      <alignment vertical="center"/>
    </xf>
    <xf numFmtId="0" fontId="41" fillId="0"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fgColor rgb="FFFFC7CE"/>
          <bgColor rgb="FFFFC7CE"/>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5" Type="http://schemas.openxmlformats.org/officeDocument/2006/relationships/styles" Target="styles.xml"/><Relationship Id="rId34" Type="http://schemas.openxmlformats.org/officeDocument/2006/relationships/customXml" Target="../customXml/item5.xml"/><Relationship Id="rId33" Type="http://schemas.openxmlformats.org/officeDocument/2006/relationships/sharedStrings" Target="sharedStrings.xml"/><Relationship Id="rId32" Type="http://schemas.openxmlformats.org/officeDocument/2006/relationships/theme" Target="theme/theme1.xml"/><Relationship Id="rId31" Type="http://schemas.openxmlformats.org/officeDocument/2006/relationships/externalLink" Target="externalLinks/externalLink1.xml"/><Relationship Id="rId30" Type="http://schemas.openxmlformats.org/officeDocument/2006/relationships/customXml" Target="../customXml/item4.xml"/><Relationship Id="rId3" Type="http://schemas.openxmlformats.org/officeDocument/2006/relationships/worksheet" Target="worksheets/sheet3.xml"/><Relationship Id="rId29" Type="http://schemas.openxmlformats.org/officeDocument/2006/relationships/customXml" Target="../customXml/item3.xml"/><Relationship Id="rId28" Type="http://schemas.openxmlformats.org/officeDocument/2006/relationships/customXml" Target="../customXml/item2.xml"/><Relationship Id="rId27" Type="http://schemas.openxmlformats.org/officeDocument/2006/relationships/customXml" Target="../customXml/item1.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86188\Documents\WPS%20MiniCloud%20Files\96\&#22242;&#38431;&#25991;&#26723;\&#20225;&#21010;&#36130;&#21153;&#37096;&#65288;&#20225;&#21010;&#65289;\1.%20&#32463;&#33829;&#32771;&#26680;\2026&#24180;\&#32463;&#33829;&#25919;&#31574;\2026&#24180;&#25919;&#31574;&#20462;&#35746;\&#38468;&#20214;1&#65306;&#32771;&#26680;&#26631;&#20934;&#21450;&#30456;&#20851;&#23450;&#3906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01奖金系数表"/>
      <sheetName val="02人员定额"/>
      <sheetName val="03机关部门、直属单位通用管理指标考核表"/>
      <sheetName val="04机关部门、直属单位专业管理指标考核细则"/>
      <sheetName val="05工序定额"/>
      <sheetName val="06米费定额 "/>
      <sheetName val="07一般材料定额"/>
      <sheetName val="纯柴油+转化柴油定额 (2)"/>
      <sheetName val="纯网电+转化网电定额 (4)"/>
      <sheetName val="柴油定额"/>
      <sheetName val="08能耗定额"/>
      <sheetName val="08能耗定额（2）"/>
      <sheetName val="09润滑油定额 "/>
      <sheetName val="10项修定额"/>
      <sheetName val="11生产水定额"/>
      <sheetName val="12生活污水定额"/>
      <sheetName val="13土工膜定额"/>
      <sheetName val="14钻机挂钩系数"/>
      <sheetName val="15区块平均日进尺"/>
      <sheetName val="16区块毛益率指标"/>
      <sheetName val="17事故复杂率指标"/>
      <sheetName val="18主体单位经营指标"/>
    </sheetNames>
    <sheetDataSet>
      <sheetData sheetId="0"/>
      <sheetData sheetId="1"/>
      <sheetData sheetId="2"/>
      <sheetData sheetId="3"/>
      <sheetData sheetId="4"/>
      <sheetData sheetId="5">
        <row r="8">
          <cell r="E8" t="str">
            <v>冬季上浮20%</v>
          </cell>
        </row>
      </sheetData>
      <sheetData sheetId="6">
        <row r="5">
          <cell r="E5">
            <v>0.42831377808662</v>
          </cell>
        </row>
        <row r="20">
          <cell r="E20">
            <v>0.349968462217738</v>
          </cell>
        </row>
        <row r="31">
          <cell r="E31">
            <v>0.448419113205127</v>
          </cell>
        </row>
        <row r="33">
          <cell r="E33">
            <v>0.383214385671935</v>
          </cell>
        </row>
      </sheetData>
      <sheetData sheetId="7">
        <row r="5">
          <cell r="F5">
            <v>21.2160088213069</v>
          </cell>
        </row>
        <row r="20">
          <cell r="E20">
            <v>15.2958243976284</v>
          </cell>
        </row>
        <row r="31">
          <cell r="F31">
            <v>22.2119024606269</v>
          </cell>
        </row>
        <row r="33">
          <cell r="E33">
            <v>16.7488804926545</v>
          </cell>
        </row>
      </sheetData>
      <sheetData sheetId="8"/>
      <sheetData sheetId="9"/>
      <sheetData sheetId="10"/>
      <sheetData sheetId="11">
        <row r="5">
          <cell r="G5">
            <v>98.01</v>
          </cell>
        </row>
        <row r="20">
          <cell r="G20">
            <v>81.7</v>
          </cell>
        </row>
        <row r="25">
          <cell r="G25">
            <v>100.58</v>
          </cell>
        </row>
        <row r="26">
          <cell r="G26">
            <v>144.91</v>
          </cell>
        </row>
        <row r="31">
          <cell r="G31">
            <v>134.87</v>
          </cell>
        </row>
      </sheetData>
      <sheetData sheetId="12"/>
      <sheetData sheetId="13">
        <row r="5">
          <cell r="E5">
            <v>5.24160217938172</v>
          </cell>
        </row>
        <row r="20">
          <cell r="E20">
            <v>4.28283083133595</v>
          </cell>
        </row>
        <row r="31">
          <cell r="E31">
            <v>5.48764649027254</v>
          </cell>
        </row>
        <row r="33">
          <cell r="E33">
            <v>4.68968653794326</v>
          </cell>
        </row>
      </sheetData>
      <sheetData sheetId="14">
        <row r="5">
          <cell r="E5">
            <v>2.49600103780082</v>
          </cell>
        </row>
        <row r="20">
          <cell r="E20">
            <v>2.03944325301712</v>
          </cell>
        </row>
        <row r="31">
          <cell r="E31">
            <v>2.61316499536787</v>
          </cell>
        </row>
        <row r="33">
          <cell r="E33">
            <v>2.23318406568727</v>
          </cell>
        </row>
      </sheetData>
      <sheetData sheetId="15">
        <row r="5">
          <cell r="E5">
            <v>4.6018159362396</v>
          </cell>
        </row>
        <row r="20">
          <cell r="E20">
            <v>4.60177242336319</v>
          </cell>
        </row>
        <row r="31">
          <cell r="E31">
            <v>5.53486770569047</v>
          </cell>
        </row>
        <row r="33">
          <cell r="E33">
            <v>4.26912560982148</v>
          </cell>
        </row>
      </sheetData>
      <sheetData sheetId="16">
        <row r="5">
          <cell r="E5">
            <v>2.49600103780082</v>
          </cell>
        </row>
        <row r="20">
          <cell r="E20">
            <v>2.03944325301712</v>
          </cell>
        </row>
        <row r="31">
          <cell r="E31">
            <v>2.61316499536787</v>
          </cell>
        </row>
        <row r="33">
          <cell r="E33">
            <v>2.23318406568727</v>
          </cell>
        </row>
      </sheetData>
      <sheetData sheetId="17">
        <row r="5">
          <cell r="G5">
            <v>11500.5</v>
          </cell>
        </row>
        <row r="6">
          <cell r="G6">
            <v>12546</v>
          </cell>
        </row>
      </sheetData>
      <sheetData sheetId="18">
        <row r="5">
          <cell r="D5">
            <v>0.68771345</v>
          </cell>
          <cell r="E5">
            <v>1.35</v>
          </cell>
        </row>
        <row r="7">
          <cell r="D7">
            <v>1.37269245</v>
          </cell>
          <cell r="E7">
            <v>1.5</v>
          </cell>
        </row>
      </sheetData>
      <sheetData sheetId="19"/>
      <sheetData sheetId="20"/>
      <sheetData sheetId="21"/>
      <sheetData sheetId="2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AH49"/>
  <sheetViews>
    <sheetView workbookViewId="0">
      <selection activeCell="T32" sqref="T32"/>
    </sheetView>
  </sheetViews>
  <sheetFormatPr defaultColWidth="9" defaultRowHeight="14.4"/>
  <cols>
    <col min="1" max="1" width="2.5" style="5" customWidth="1"/>
    <col min="2" max="2" width="5.12962962962963" style="5" customWidth="1"/>
    <col min="3" max="13" width="9" style="5"/>
    <col min="14" max="15" width="12.6296296296296" style="5"/>
    <col min="16" max="16" width="17.1296296296296" style="5"/>
    <col min="17" max="17" width="16" style="5" customWidth="1"/>
    <col min="18" max="18" width="13.7592592592593" style="5"/>
    <col min="19" max="22" width="12.6296296296296" style="5"/>
    <col min="23" max="25" width="14" style="5" customWidth="1"/>
    <col min="26" max="26" width="16.1296296296296" style="5" customWidth="1"/>
    <col min="27" max="27" width="20.3796296296296" style="5"/>
    <col min="28" max="28" width="17.1296296296296" style="5" customWidth="1"/>
    <col min="29" max="29" width="12.6296296296296" style="5"/>
    <col min="30" max="30" width="15" style="5" customWidth="1"/>
    <col min="31" max="31" width="2" style="5" customWidth="1"/>
    <col min="32" max="33" width="9" style="5"/>
    <col min="34" max="34" width="12.6296296296296" style="5"/>
    <col min="35" max="16384" width="9" style="5"/>
  </cols>
  <sheetData>
    <row r="1" ht="15.15"/>
    <row r="2" ht="17.4" spans="2:31">
      <c r="B2" s="307" t="s">
        <v>0</v>
      </c>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9"/>
    </row>
    <row r="3" spans="2:31">
      <c r="B3" s="310" t="s">
        <v>1</v>
      </c>
      <c r="C3" s="311" t="s">
        <v>2</v>
      </c>
      <c r="D3" s="311" t="s">
        <v>3</v>
      </c>
      <c r="E3" s="311" t="s">
        <v>4</v>
      </c>
      <c r="F3" s="311" t="s">
        <v>5</v>
      </c>
      <c r="G3" s="311" t="s">
        <v>6</v>
      </c>
      <c r="H3" s="311" t="s">
        <v>7</v>
      </c>
      <c r="I3" s="311" t="s">
        <v>8</v>
      </c>
      <c r="J3" s="311" t="s">
        <v>9</v>
      </c>
      <c r="K3" s="311" t="s">
        <v>10</v>
      </c>
      <c r="L3" s="311" t="s">
        <v>11</v>
      </c>
      <c r="M3" s="311" t="s">
        <v>12</v>
      </c>
      <c r="N3" s="311" t="s">
        <v>13</v>
      </c>
      <c r="O3" s="311" t="s">
        <v>14</v>
      </c>
      <c r="P3" s="311" t="s">
        <v>15</v>
      </c>
      <c r="Q3" s="311" t="s">
        <v>16</v>
      </c>
      <c r="R3" s="311" t="s">
        <v>17</v>
      </c>
      <c r="S3" s="311" t="s">
        <v>18</v>
      </c>
      <c r="T3" s="311" t="s">
        <v>19</v>
      </c>
      <c r="U3" s="311" t="s">
        <v>20</v>
      </c>
      <c r="V3" s="311" t="s">
        <v>21</v>
      </c>
      <c r="W3" s="311" t="s">
        <v>22</v>
      </c>
      <c r="X3" s="311"/>
      <c r="Y3" s="312" t="s">
        <v>5</v>
      </c>
      <c r="Z3" s="312" t="s">
        <v>23</v>
      </c>
      <c r="AA3" s="312" t="s">
        <v>24</v>
      </c>
      <c r="AB3" s="312" t="s">
        <v>25</v>
      </c>
      <c r="AC3" s="313"/>
      <c r="AD3" s="208"/>
    </row>
    <row r="4" spans="2:31">
      <c r="B4" s="310">
        <v>1</v>
      </c>
      <c r="C4" s="311">
        <v>2025</v>
      </c>
      <c r="D4" s="311" t="s">
        <v>26</v>
      </c>
      <c r="E4" s="311" t="s">
        <v>27</v>
      </c>
      <c r="F4" s="311">
        <v>70520</v>
      </c>
      <c r="G4" s="311" t="s">
        <v>28</v>
      </c>
      <c r="H4" s="311" t="s">
        <v>29</v>
      </c>
      <c r="I4" s="311" t="s">
        <v>30</v>
      </c>
      <c r="J4" s="311" t="s">
        <v>31</v>
      </c>
      <c r="K4" s="311" t="s">
        <v>32</v>
      </c>
      <c r="L4" s="311">
        <v>2</v>
      </c>
      <c r="M4" s="311">
        <v>2925</v>
      </c>
      <c r="N4" s="311">
        <v>7</v>
      </c>
      <c r="O4" s="311">
        <v>25.5</v>
      </c>
      <c r="P4" s="314">
        <v>66.1173333333333</v>
      </c>
      <c r="Q4" s="311">
        <v>1.07</v>
      </c>
      <c r="R4" s="314">
        <v>68221.6266666667</v>
      </c>
      <c r="S4" s="314">
        <v>19891.6666666667</v>
      </c>
      <c r="T4" s="311">
        <v>0</v>
      </c>
      <c r="U4" s="311">
        <v>1.16</v>
      </c>
      <c r="V4" s="311"/>
      <c r="W4" s="311"/>
      <c r="X4" s="311"/>
      <c r="Y4" s="312">
        <v>70520</v>
      </c>
      <c r="Z4" s="315">
        <f t="shared" ref="Z4:Z13" si="0">O4*10*120+O4*28*80</f>
        <v>87720</v>
      </c>
      <c r="AA4" s="315">
        <f t="shared" ref="AA4:AA12" si="1">P4/2.67*10000+Q4*20000+R4+S4+T4+U4*400+V4*100+W4*50</f>
        <v>357607.75525593</v>
      </c>
      <c r="AB4" s="315">
        <f t="shared" ref="AB4:AB13" si="2">SUM(Z4:AA4)</f>
        <v>445327.75525593</v>
      </c>
      <c r="AC4" s="313"/>
      <c r="AD4" s="208"/>
    </row>
    <row r="5" spans="2:31">
      <c r="B5" s="310">
        <v>2</v>
      </c>
      <c r="C5" s="311">
        <v>2025</v>
      </c>
      <c r="D5" s="311" t="s">
        <v>33</v>
      </c>
      <c r="E5" s="311" t="s">
        <v>27</v>
      </c>
      <c r="F5" s="311">
        <v>70520</v>
      </c>
      <c r="G5" s="311" t="s">
        <v>28</v>
      </c>
      <c r="H5" s="311" t="s">
        <v>34</v>
      </c>
      <c r="I5" s="311" t="s">
        <v>30</v>
      </c>
      <c r="J5" s="311" t="s">
        <v>31</v>
      </c>
      <c r="K5" s="311" t="s">
        <v>32</v>
      </c>
      <c r="L5" s="311">
        <v>2</v>
      </c>
      <c r="M5" s="311">
        <v>2915</v>
      </c>
      <c r="N5" s="311">
        <v>5.79166666670062</v>
      </c>
      <c r="O5" s="311">
        <v>26</v>
      </c>
      <c r="P5" s="314">
        <v>71.4725</v>
      </c>
      <c r="Q5" s="311">
        <v>1.11</v>
      </c>
      <c r="R5" s="314">
        <v>66804.98</v>
      </c>
      <c r="S5" s="314">
        <v>18900</v>
      </c>
      <c r="T5" s="311">
        <v>0</v>
      </c>
      <c r="U5" s="311">
        <v>60</v>
      </c>
      <c r="V5" s="311">
        <v>24</v>
      </c>
      <c r="W5" s="311">
        <v>1.2</v>
      </c>
      <c r="X5" s="311"/>
      <c r="Y5" s="312">
        <v>70520</v>
      </c>
      <c r="Z5" s="315">
        <f t="shared" si="0"/>
        <v>89440</v>
      </c>
      <c r="AA5" s="315">
        <f t="shared" si="1"/>
        <v>402052.245917603</v>
      </c>
      <c r="AB5" s="315">
        <f t="shared" si="2"/>
        <v>491492.245917603</v>
      </c>
      <c r="AC5" s="313"/>
      <c r="AD5" s="208"/>
    </row>
    <row r="6" spans="2:31">
      <c r="B6" s="310">
        <v>3</v>
      </c>
      <c r="C6" s="311">
        <v>2025</v>
      </c>
      <c r="D6" s="311" t="s">
        <v>35</v>
      </c>
      <c r="E6" s="311" t="s">
        <v>27</v>
      </c>
      <c r="F6" s="311">
        <v>50537</v>
      </c>
      <c r="G6" s="311" t="s">
        <v>36</v>
      </c>
      <c r="H6" s="311" t="s">
        <v>37</v>
      </c>
      <c r="I6" s="311" t="s">
        <v>30</v>
      </c>
      <c r="J6" s="311" t="s">
        <v>31</v>
      </c>
      <c r="K6" s="311" t="s">
        <v>38</v>
      </c>
      <c r="L6" s="311">
        <v>3</v>
      </c>
      <c r="M6" s="311">
        <v>2382</v>
      </c>
      <c r="N6" s="311">
        <v>5.5</v>
      </c>
      <c r="O6" s="311">
        <v>18.25</v>
      </c>
      <c r="P6" s="314">
        <v>44.5333333333333</v>
      </c>
      <c r="Q6" s="311">
        <v>0.48</v>
      </c>
      <c r="R6" s="314">
        <v>46112.8</v>
      </c>
      <c r="S6" s="314">
        <v>17233.3333333333</v>
      </c>
      <c r="T6" s="311">
        <v>0</v>
      </c>
      <c r="U6" s="311">
        <v>0.92</v>
      </c>
      <c r="V6" s="311">
        <v>46</v>
      </c>
      <c r="W6" s="311">
        <v>18.4</v>
      </c>
      <c r="X6" s="311"/>
      <c r="Y6" s="312">
        <v>50537</v>
      </c>
      <c r="Z6" s="315">
        <f t="shared" si="0"/>
        <v>62780</v>
      </c>
      <c r="AA6" s="315">
        <f t="shared" si="1"/>
        <v>245625.643945069</v>
      </c>
      <c r="AB6" s="315">
        <f t="shared" si="2"/>
        <v>308405.643945069</v>
      </c>
      <c r="AC6" s="313"/>
      <c r="AD6" s="208"/>
    </row>
    <row r="7" spans="2:31">
      <c r="B7" s="310">
        <v>4</v>
      </c>
      <c r="C7" s="311">
        <v>2025</v>
      </c>
      <c r="D7" s="311" t="s">
        <v>39</v>
      </c>
      <c r="E7" s="311" t="s">
        <v>27</v>
      </c>
      <c r="F7" s="311">
        <v>50537</v>
      </c>
      <c r="G7" s="311" t="s">
        <v>36</v>
      </c>
      <c r="H7" s="311" t="s">
        <v>40</v>
      </c>
      <c r="I7" s="311" t="s">
        <v>30</v>
      </c>
      <c r="J7" s="311" t="s">
        <v>41</v>
      </c>
      <c r="K7" s="311" t="s">
        <v>32</v>
      </c>
      <c r="L7" s="311">
        <v>2</v>
      </c>
      <c r="M7" s="311">
        <v>3523</v>
      </c>
      <c r="N7" s="311">
        <v>5.8125</v>
      </c>
      <c r="O7" s="311">
        <v>26.5</v>
      </c>
      <c r="P7" s="314">
        <v>76.2666666666667</v>
      </c>
      <c r="Q7" s="311">
        <v>0.78</v>
      </c>
      <c r="R7" s="314">
        <v>67987.8</v>
      </c>
      <c r="S7" s="314">
        <v>28200</v>
      </c>
      <c r="T7" s="311">
        <v>0</v>
      </c>
      <c r="U7" s="311">
        <v>78</v>
      </c>
      <c r="V7" s="311">
        <v>31.2</v>
      </c>
      <c r="W7" s="311">
        <v>1.56</v>
      </c>
      <c r="X7" s="311"/>
      <c r="Y7" s="312">
        <v>50537</v>
      </c>
      <c r="Z7" s="315">
        <f t="shared" si="0"/>
        <v>91160</v>
      </c>
      <c r="AA7" s="315">
        <f t="shared" si="1"/>
        <v>431828.746317104</v>
      </c>
      <c r="AB7" s="315">
        <f t="shared" si="2"/>
        <v>522988.746317104</v>
      </c>
      <c r="AC7" s="313"/>
      <c r="AD7" s="208"/>
    </row>
    <row r="8" spans="2:31">
      <c r="B8" s="310">
        <v>5</v>
      </c>
      <c r="C8" s="311">
        <v>2025</v>
      </c>
      <c r="D8" s="311" t="s">
        <v>39</v>
      </c>
      <c r="E8" s="311" t="s">
        <v>27</v>
      </c>
      <c r="F8" s="311">
        <v>50537</v>
      </c>
      <c r="G8" s="311" t="s">
        <v>36</v>
      </c>
      <c r="H8" s="311" t="s">
        <v>42</v>
      </c>
      <c r="I8" s="311" t="s">
        <v>30</v>
      </c>
      <c r="J8" s="311" t="s">
        <v>31</v>
      </c>
      <c r="K8" s="311" t="s">
        <v>38</v>
      </c>
      <c r="L8" s="311">
        <v>2</v>
      </c>
      <c r="M8" s="311">
        <v>2314</v>
      </c>
      <c r="N8" s="311">
        <v>4</v>
      </c>
      <c r="O8" s="311">
        <v>19.5</v>
      </c>
      <c r="P8" s="314">
        <v>51.2</v>
      </c>
      <c r="Q8" s="311">
        <v>0.52</v>
      </c>
      <c r="R8" s="314">
        <v>37500</v>
      </c>
      <c r="S8" s="314">
        <v>18800</v>
      </c>
      <c r="T8" s="311">
        <v>0</v>
      </c>
      <c r="U8" s="311">
        <v>1</v>
      </c>
      <c r="V8" s="311">
        <v>50</v>
      </c>
      <c r="W8" s="311">
        <v>20</v>
      </c>
      <c r="X8" s="311"/>
      <c r="Y8" s="312">
        <v>50537</v>
      </c>
      <c r="Z8" s="315">
        <f t="shared" si="0"/>
        <v>67080</v>
      </c>
      <c r="AA8" s="315">
        <f t="shared" si="1"/>
        <v>264860.299625468</v>
      </c>
      <c r="AB8" s="315">
        <f t="shared" si="2"/>
        <v>331940.299625468</v>
      </c>
      <c r="AC8" s="313"/>
      <c r="AD8" s="208"/>
    </row>
    <row r="9" spans="2:31">
      <c r="B9" s="310">
        <v>6</v>
      </c>
      <c r="C9" s="311">
        <v>2025</v>
      </c>
      <c r="D9" s="311" t="s">
        <v>39</v>
      </c>
      <c r="E9" s="311" t="s">
        <v>27</v>
      </c>
      <c r="F9" s="311">
        <v>70520</v>
      </c>
      <c r="G9" s="311" t="s">
        <v>28</v>
      </c>
      <c r="H9" s="311" t="s">
        <v>43</v>
      </c>
      <c r="I9" s="311" t="s">
        <v>44</v>
      </c>
      <c r="J9" s="311" t="s">
        <v>31</v>
      </c>
      <c r="K9" s="311" t="s">
        <v>32</v>
      </c>
      <c r="L9" s="311">
        <v>3</v>
      </c>
      <c r="M9" s="311">
        <v>4210</v>
      </c>
      <c r="N9" s="311">
        <v>6.79166666670062</v>
      </c>
      <c r="O9" s="311">
        <v>41.5</v>
      </c>
      <c r="P9" s="314">
        <v>142.258333333333</v>
      </c>
      <c r="Q9" s="311">
        <v>2.16</v>
      </c>
      <c r="R9" s="314">
        <v>129471.626666667</v>
      </c>
      <c r="S9" s="314">
        <v>36750</v>
      </c>
      <c r="T9" s="311">
        <v>0</v>
      </c>
      <c r="U9" s="311">
        <v>117</v>
      </c>
      <c r="V9" s="311">
        <v>46.8</v>
      </c>
      <c r="W9" s="311">
        <v>2.34</v>
      </c>
      <c r="X9" s="311"/>
      <c r="Y9" s="312">
        <v>70520</v>
      </c>
      <c r="Z9" s="315">
        <f t="shared" si="0"/>
        <v>142760</v>
      </c>
      <c r="AA9" s="315">
        <f t="shared" si="1"/>
        <v>793821.373233457</v>
      </c>
      <c r="AB9" s="315">
        <f t="shared" si="2"/>
        <v>936581.373233457</v>
      </c>
      <c r="AC9" s="313"/>
      <c r="AD9" s="208"/>
    </row>
    <row r="10" spans="2:31">
      <c r="B10" s="310">
        <v>7</v>
      </c>
      <c r="C10" s="311">
        <v>2025</v>
      </c>
      <c r="D10" s="311" t="s">
        <v>45</v>
      </c>
      <c r="E10" s="311" t="s">
        <v>27</v>
      </c>
      <c r="F10" s="311">
        <v>50537</v>
      </c>
      <c r="G10" s="311" t="s">
        <v>36</v>
      </c>
      <c r="H10" s="311" t="s">
        <v>46</v>
      </c>
      <c r="I10" s="311" t="s">
        <v>30</v>
      </c>
      <c r="J10" s="311" t="s">
        <v>31</v>
      </c>
      <c r="K10" s="311" t="s">
        <v>38</v>
      </c>
      <c r="L10" s="311">
        <v>2</v>
      </c>
      <c r="M10" s="311">
        <v>2850</v>
      </c>
      <c r="N10" s="311">
        <v>4</v>
      </c>
      <c r="O10" s="311">
        <v>20.5</v>
      </c>
      <c r="P10" s="314">
        <v>53.7833333333333</v>
      </c>
      <c r="Q10" s="311">
        <v>0.55</v>
      </c>
      <c r="R10" s="314">
        <v>40000</v>
      </c>
      <c r="S10" s="314">
        <v>20053.3333333333</v>
      </c>
      <c r="T10" s="311">
        <v>0</v>
      </c>
      <c r="U10" s="311">
        <v>1.06</v>
      </c>
      <c r="V10" s="311">
        <v>53</v>
      </c>
      <c r="W10" s="311">
        <v>21.2</v>
      </c>
      <c r="X10" s="311"/>
      <c r="Y10" s="312">
        <v>50537</v>
      </c>
      <c r="Z10" s="315">
        <f t="shared" si="0"/>
        <v>70520</v>
      </c>
      <c r="AA10" s="315">
        <f t="shared" si="1"/>
        <v>279273.038701623</v>
      </c>
      <c r="AB10" s="315">
        <f t="shared" si="2"/>
        <v>349793.038701623</v>
      </c>
      <c r="AC10" s="313"/>
      <c r="AD10" s="208"/>
    </row>
    <row r="11" spans="2:31">
      <c r="B11" s="310">
        <v>8</v>
      </c>
      <c r="C11" s="311">
        <v>2025</v>
      </c>
      <c r="D11" s="311" t="s">
        <v>47</v>
      </c>
      <c r="E11" s="311" t="s">
        <v>27</v>
      </c>
      <c r="F11" s="311">
        <v>50537</v>
      </c>
      <c r="G11" s="311" t="s">
        <v>36</v>
      </c>
      <c r="H11" s="311" t="s">
        <v>48</v>
      </c>
      <c r="I11" s="311" t="s">
        <v>30</v>
      </c>
      <c r="J11" s="311" t="s">
        <v>31</v>
      </c>
      <c r="K11" s="311" t="s">
        <v>38</v>
      </c>
      <c r="L11" s="311">
        <v>2</v>
      </c>
      <c r="M11" s="311">
        <v>2278</v>
      </c>
      <c r="N11" s="311">
        <v>8.58333333340124</v>
      </c>
      <c r="O11" s="311">
        <v>17.5</v>
      </c>
      <c r="P11" s="314">
        <v>44.1</v>
      </c>
      <c r="Q11" s="311">
        <v>0.45</v>
      </c>
      <c r="R11" s="314">
        <v>32500</v>
      </c>
      <c r="S11" s="314">
        <v>16293.3333333333</v>
      </c>
      <c r="T11" s="311">
        <v>0</v>
      </c>
      <c r="U11" s="311">
        <v>0.86</v>
      </c>
      <c r="V11" s="311">
        <v>43</v>
      </c>
      <c r="W11" s="311">
        <v>17.2</v>
      </c>
      <c r="X11" s="311"/>
      <c r="Y11" s="312">
        <v>50537</v>
      </c>
      <c r="Z11" s="315">
        <f t="shared" si="0"/>
        <v>60200</v>
      </c>
      <c r="AA11" s="315">
        <f t="shared" si="1"/>
        <v>228465.872659176</v>
      </c>
      <c r="AB11" s="315">
        <f t="shared" si="2"/>
        <v>288665.872659176</v>
      </c>
      <c r="AC11" s="313"/>
      <c r="AD11" s="208"/>
    </row>
    <row r="12" spans="2:31">
      <c r="B12" s="310">
        <v>9</v>
      </c>
      <c r="C12" s="311">
        <v>2025</v>
      </c>
      <c r="D12" s="311" t="s">
        <v>47</v>
      </c>
      <c r="E12" s="311" t="s">
        <v>27</v>
      </c>
      <c r="F12" s="311">
        <v>70520</v>
      </c>
      <c r="G12" s="311" t="s">
        <v>28</v>
      </c>
      <c r="H12" s="311" t="s">
        <v>49</v>
      </c>
      <c r="I12" s="311" t="s">
        <v>44</v>
      </c>
      <c r="J12" s="311" t="s">
        <v>41</v>
      </c>
      <c r="K12" s="311" t="s">
        <v>32</v>
      </c>
      <c r="L12" s="311">
        <v>3</v>
      </c>
      <c r="M12" s="311">
        <v>3945</v>
      </c>
      <c r="N12" s="311">
        <v>5.75</v>
      </c>
      <c r="O12" s="311">
        <v>31.5</v>
      </c>
      <c r="P12" s="314">
        <v>90.9916666666667</v>
      </c>
      <c r="Q12" s="311">
        <v>1.66</v>
      </c>
      <c r="R12" s="314">
        <v>83333.3333333333</v>
      </c>
      <c r="S12" s="314">
        <v>26250</v>
      </c>
      <c r="T12" s="311">
        <v>0</v>
      </c>
      <c r="U12" s="311">
        <v>83</v>
      </c>
      <c r="V12" s="311">
        <v>33.2</v>
      </c>
      <c r="W12" s="311">
        <v>1.66</v>
      </c>
      <c r="X12" s="311"/>
      <c r="Y12" s="312">
        <v>70520</v>
      </c>
      <c r="Z12" s="315">
        <f t="shared" si="0"/>
        <v>108360</v>
      </c>
      <c r="AA12" s="315">
        <f t="shared" si="1"/>
        <v>520179.092384519</v>
      </c>
      <c r="AB12" s="315">
        <f t="shared" si="2"/>
        <v>628539.09238452</v>
      </c>
      <c r="AC12" s="313"/>
      <c r="AD12" s="208"/>
    </row>
    <row r="13" spans="2:31">
      <c r="B13" s="310">
        <v>10</v>
      </c>
      <c r="C13" s="311">
        <v>2025</v>
      </c>
      <c r="D13" s="311" t="s">
        <v>50</v>
      </c>
      <c r="E13" s="311" t="s">
        <v>27</v>
      </c>
      <c r="F13" s="311">
        <v>70520</v>
      </c>
      <c r="G13" s="311" t="s">
        <v>28</v>
      </c>
      <c r="H13" s="311" t="s">
        <v>51</v>
      </c>
      <c r="I13" s="311" t="s">
        <v>44</v>
      </c>
      <c r="J13" s="311" t="s">
        <v>41</v>
      </c>
      <c r="K13" s="311" t="s">
        <v>32</v>
      </c>
      <c r="L13" s="311">
        <v>3</v>
      </c>
      <c r="M13" s="311">
        <v>5580</v>
      </c>
      <c r="N13" s="311">
        <v>16.3333333332994</v>
      </c>
      <c r="O13" s="311">
        <v>42</v>
      </c>
      <c r="P13" s="314">
        <v>553612</v>
      </c>
      <c r="Q13" s="311">
        <v>0.66</v>
      </c>
      <c r="R13" s="314">
        <v>95000</v>
      </c>
      <c r="S13" s="314">
        <v>29925</v>
      </c>
      <c r="T13" s="311">
        <v>0</v>
      </c>
      <c r="U13" s="311">
        <v>118.333333333333</v>
      </c>
      <c r="V13" s="311">
        <v>47.3333333333333</v>
      </c>
      <c r="W13" s="311">
        <v>2.36666666666667</v>
      </c>
      <c r="X13" s="311"/>
      <c r="Y13" s="312">
        <v>70520</v>
      </c>
      <c r="Z13" s="315">
        <f t="shared" si="0"/>
        <v>144480</v>
      </c>
      <c r="AA13" s="315">
        <f>P13+Q13*20000+R13+S13+T13+U13*400+V13*100+W13*50</f>
        <v>743922</v>
      </c>
      <c r="AB13" s="315">
        <f t="shared" si="2"/>
        <v>888402</v>
      </c>
      <c r="AC13" s="313"/>
      <c r="AD13" s="208"/>
    </row>
    <row r="14" ht="15.15" spans="2:31">
      <c r="B14" s="316"/>
      <c r="C14" s="317"/>
      <c r="D14" s="317"/>
      <c r="E14" s="317"/>
      <c r="F14" s="317"/>
      <c r="G14" s="317"/>
      <c r="H14" s="317"/>
      <c r="I14" s="317"/>
      <c r="J14" s="317"/>
      <c r="K14" s="317"/>
      <c r="L14" s="317"/>
      <c r="M14" s="317"/>
      <c r="N14" s="317"/>
      <c r="O14" s="317"/>
      <c r="P14" s="318"/>
      <c r="Q14" s="317"/>
      <c r="R14" s="318"/>
      <c r="S14" s="318"/>
      <c r="T14" s="317"/>
      <c r="U14" s="317"/>
      <c r="V14" s="317"/>
      <c r="W14" s="317"/>
      <c r="X14" s="317"/>
      <c r="Y14" s="319"/>
      <c r="Z14" s="320"/>
      <c r="AA14" s="320">
        <f>SUM(AA4:AA13)</f>
        <v>4267636.06803995</v>
      </c>
      <c r="AB14" s="320">
        <f>SUM(AB4:AB13)</f>
        <v>5192136.06803995</v>
      </c>
      <c r="AC14" s="321"/>
      <c r="AD14" s="208"/>
    </row>
    <row r="15" ht="15.15" spans="2:31">
      <c r="P15" s="7"/>
      <c r="R15" s="322"/>
      <c r="S15" s="7"/>
      <c r="Z15" s="323"/>
      <c r="AA15" s="323"/>
      <c r="AB15" s="323"/>
      <c r="AC15" s="208"/>
      <c r="AD15" s="208"/>
    </row>
    <row r="16" ht="17.4" spans="2:31">
      <c r="B16" s="307" t="s">
        <v>52</v>
      </c>
      <c r="C16" s="308"/>
      <c r="D16" s="308"/>
      <c r="E16" s="308"/>
      <c r="F16" s="308"/>
      <c r="G16" s="308"/>
      <c r="H16" s="308"/>
      <c r="I16" s="308"/>
      <c r="J16" s="308"/>
      <c r="K16" s="308"/>
      <c r="L16" s="308"/>
      <c r="M16" s="308"/>
      <c r="N16" s="308"/>
      <c r="O16" s="308">
        <f>(P16+Q16)/M27/2</f>
        <v>0</v>
      </c>
      <c r="P16" s="324"/>
      <c r="Q16" s="308"/>
      <c r="R16" s="325"/>
      <c r="S16" s="308"/>
      <c r="T16" s="308"/>
      <c r="U16" s="308"/>
      <c r="V16" s="308"/>
      <c r="W16" s="308"/>
      <c r="X16" s="308"/>
      <c r="Y16" s="308"/>
      <c r="Z16" s="326"/>
      <c r="AA16" s="326"/>
      <c r="AB16" s="326"/>
      <c r="AC16" s="326"/>
      <c r="AD16" s="326"/>
      <c r="AE16" s="309"/>
    </row>
    <row r="17" spans="2:34">
      <c r="B17" s="310" t="s">
        <v>1</v>
      </c>
      <c r="C17" s="311" t="s">
        <v>2</v>
      </c>
      <c r="D17" s="311" t="s">
        <v>3</v>
      </c>
      <c r="E17" s="311" t="s">
        <v>4</v>
      </c>
      <c r="F17" s="311" t="s">
        <v>5</v>
      </c>
      <c r="G17" s="311" t="s">
        <v>6</v>
      </c>
      <c r="H17" s="311" t="s">
        <v>7</v>
      </c>
      <c r="I17" s="311" t="s">
        <v>8</v>
      </c>
      <c r="J17" s="311" t="s">
        <v>9</v>
      </c>
      <c r="K17" s="311" t="s">
        <v>10</v>
      </c>
      <c r="L17" s="311" t="s">
        <v>11</v>
      </c>
      <c r="M17" s="311" t="s">
        <v>12</v>
      </c>
      <c r="N17" s="311" t="s">
        <v>53</v>
      </c>
      <c r="O17" s="311" t="s">
        <v>54</v>
      </c>
      <c r="P17" s="311" t="s">
        <v>17</v>
      </c>
      <c r="Q17" s="311" t="s">
        <v>55</v>
      </c>
      <c r="R17" s="311" t="s">
        <v>56</v>
      </c>
      <c r="S17" s="311" t="s">
        <v>57</v>
      </c>
      <c r="T17" s="311" t="s">
        <v>58</v>
      </c>
      <c r="U17" s="311" t="s">
        <v>59</v>
      </c>
      <c r="V17" s="311" t="s">
        <v>60</v>
      </c>
      <c r="Y17" s="312" t="s">
        <v>5</v>
      </c>
      <c r="Z17" s="312" t="s">
        <v>61</v>
      </c>
      <c r="AA17" s="312" t="s">
        <v>24</v>
      </c>
      <c r="AB17" s="312" t="s">
        <v>25</v>
      </c>
      <c r="AC17" s="312" t="s">
        <v>62</v>
      </c>
      <c r="AD17" s="312" t="s">
        <v>63</v>
      </c>
      <c r="AE17" s="327"/>
    </row>
    <row r="18" spans="2:34">
      <c r="B18" s="310">
        <v>1</v>
      </c>
      <c r="C18" s="311">
        <v>2025</v>
      </c>
      <c r="D18" s="311" t="s">
        <v>26</v>
      </c>
      <c r="E18" s="311" t="s">
        <v>27</v>
      </c>
      <c r="F18" s="311">
        <v>70520</v>
      </c>
      <c r="G18" s="311" t="s">
        <v>28</v>
      </c>
      <c r="H18" s="311" t="s">
        <v>29</v>
      </c>
      <c r="I18" s="311" t="s">
        <v>30</v>
      </c>
      <c r="J18" s="311" t="s">
        <v>31</v>
      </c>
      <c r="K18" s="311" t="s">
        <v>32</v>
      </c>
      <c r="L18" s="311">
        <v>2</v>
      </c>
      <c r="M18" s="311">
        <v>2925</v>
      </c>
      <c r="N18" s="311">
        <f>'[1]05工序定额'!$E$9+'[1]05工序定额'!$E$5+'[1]05工序定额'!$E$13+'[1]05工序定额'!$E$14</f>
        <v>0</v>
      </c>
      <c r="O18" s="328">
        <f>'[1]06米费定额 '!$E$5*M18*38</f>
        <v>47607.0764343278</v>
      </c>
      <c r="P18" s="328">
        <f>'[1]07一般材料定额'!$F$5*M18</f>
        <v>62056.8258023227</v>
      </c>
      <c r="Q18" s="328">
        <f>'[1]08能耗定额'!$G$5*M18</f>
        <v>286679.25</v>
      </c>
      <c r="R18" s="328">
        <f>M18*'[1]09润滑油定额 '!$E$5*'[1]14钻机挂钩系数'!$D$7</f>
        <v>21045.6901323069</v>
      </c>
      <c r="S18" s="328">
        <f>M18*'[1]10项修定额'!$E$5*'[1]14钻机挂钩系数'!$E$7</f>
        <v>10951.2045533511</v>
      </c>
      <c r="T18" s="328">
        <f>M18*'[1]11生产水定额'!$E$5</f>
        <v>13460.3116135008</v>
      </c>
      <c r="U18" s="328">
        <f>'[1]12生活污水定额'!$E$5*M18</f>
        <v>7300.8030355674</v>
      </c>
      <c r="V18" s="328">
        <f>'[1]13土工膜定额'!$G$6</f>
        <v>12546</v>
      </c>
      <c r="Y18" s="312">
        <v>70520</v>
      </c>
      <c r="Z18" s="315">
        <f t="shared" ref="Z18:Z27" si="3">N18+O18</f>
        <v>47607.0764343278</v>
      </c>
      <c r="AA18" s="315">
        <f t="shared" ref="AA18:AA27" si="4">P18+Q18+R18+S18</f>
        <v>380732.970487981</v>
      </c>
      <c r="AB18" s="315">
        <f t="shared" ref="AB18:AB27" si="5">Z18+AA18</f>
        <v>428340.046922309</v>
      </c>
      <c r="AC18" s="315">
        <f t="shared" ref="AC18:AC27" si="6">Z18+AD18+AA18</f>
        <v>461647.161571377</v>
      </c>
      <c r="AD18" s="315">
        <f t="shared" ref="AD18:AD27" si="7">T18+U18+V18</f>
        <v>33307.1146490682</v>
      </c>
      <c r="AE18" s="327"/>
    </row>
    <row r="19" spans="2:34">
      <c r="B19" s="310">
        <v>2</v>
      </c>
      <c r="C19" s="311">
        <v>2025</v>
      </c>
      <c r="D19" s="311" t="s">
        <v>33</v>
      </c>
      <c r="E19" s="311" t="s">
        <v>27</v>
      </c>
      <c r="F19" s="311">
        <v>70520</v>
      </c>
      <c r="G19" s="311" t="s">
        <v>28</v>
      </c>
      <c r="H19" s="311" t="s">
        <v>34</v>
      </c>
      <c r="I19" s="311" t="s">
        <v>30</v>
      </c>
      <c r="J19" s="311" t="s">
        <v>31</v>
      </c>
      <c r="K19" s="311" t="s">
        <v>32</v>
      </c>
      <c r="L19" s="311">
        <v>2</v>
      </c>
      <c r="M19" s="311">
        <v>2915</v>
      </c>
      <c r="N19" s="311">
        <f>'[1]05工序定额'!$E$9+'[1]05工序定额'!$E$5+'[1]05工序定额'!$E$13+'[1]05工序定额'!$E$14</f>
        <v>0</v>
      </c>
      <c r="O19" s="328">
        <f>'[1]06米费定额 '!$E$5*M19*38</f>
        <v>47444.3171986549</v>
      </c>
      <c r="P19" s="328">
        <f>'[1]07一般材料定额'!$F$5*M19</f>
        <v>61844.6657141096</v>
      </c>
      <c r="Q19" s="328">
        <f>'[1]08能耗定额'!$G$5*M19</f>
        <v>285699.15</v>
      </c>
      <c r="R19" s="328">
        <f>M19*'[1]09润滑油定额 '!$E$5*'[1]14钻机挂钩系数'!$D$7</f>
        <v>20973.7390549315</v>
      </c>
      <c r="S19" s="328">
        <f>M19*'[1]10项修定额'!$E$5*'[1]14钻机挂钩系数'!$E$7</f>
        <v>10913.7645377841</v>
      </c>
      <c r="T19" s="328">
        <f>M19*'[1]11生产水定额'!$E$5</f>
        <v>13414.2934541384</v>
      </c>
      <c r="U19" s="328">
        <f>'[1]12生活污水定额'!$E$5*M19</f>
        <v>7275.84302518939</v>
      </c>
      <c r="V19" s="328">
        <f>'[1]13土工膜定额'!$G$6</f>
        <v>12546</v>
      </c>
      <c r="Y19" s="312">
        <v>70520</v>
      </c>
      <c r="Z19" s="315">
        <f t="shared" si="3"/>
        <v>47444.3171986549</v>
      </c>
      <c r="AA19" s="315">
        <f t="shared" si="4"/>
        <v>379431.319306825</v>
      </c>
      <c r="AB19" s="315">
        <f t="shared" si="5"/>
        <v>426875.63650548</v>
      </c>
      <c r="AC19" s="315">
        <f t="shared" si="6"/>
        <v>460111.772984808</v>
      </c>
      <c r="AD19" s="315">
        <f t="shared" si="7"/>
        <v>33236.1364793278</v>
      </c>
      <c r="AE19" s="327"/>
    </row>
    <row r="20" spans="2:34">
      <c r="B20" s="310">
        <v>3</v>
      </c>
      <c r="C20" s="311">
        <v>2025</v>
      </c>
      <c r="D20" s="311" t="s">
        <v>35</v>
      </c>
      <c r="E20" s="311" t="s">
        <v>27</v>
      </c>
      <c r="F20" s="311">
        <v>50537</v>
      </c>
      <c r="G20" s="311" t="s">
        <v>36</v>
      </c>
      <c r="H20" s="311" t="s">
        <v>37</v>
      </c>
      <c r="I20" s="311" t="s">
        <v>30</v>
      </c>
      <c r="J20" s="311" t="s">
        <v>31</v>
      </c>
      <c r="K20" s="311" t="s">
        <v>38</v>
      </c>
      <c r="L20" s="311">
        <v>3</v>
      </c>
      <c r="M20" s="311">
        <v>2382</v>
      </c>
      <c r="N20" s="311" t="e">
        <f>'[1]05工序定额'!$E$5+'[1]05工序定额'!$E$8+'[1]05工序定额'!$E$13</f>
        <v>#VALUE!</v>
      </c>
      <c r="O20" s="328">
        <f>M20*'[1]06米费定额 '!$E$33*38</f>
        <v>34687.0333334809</v>
      </c>
      <c r="P20" s="328">
        <f>M20*'[1]07一般材料定额'!$E$33</f>
        <v>39895.833333503</v>
      </c>
      <c r="Q20" s="328">
        <f>M20*'[1]08能耗定额'!$G$25</f>
        <v>239581.56</v>
      </c>
      <c r="R20" s="328">
        <f>'[1]09润滑油定额 '!$E$33*M20*'[1]14钻机挂钩系数'!$D$5</f>
        <v>7682.33233107434</v>
      </c>
      <c r="S20" s="328">
        <f>M20*'[1]10项修定额'!$E$33*'[1]14钻机挂钩系数'!$E$5</f>
        <v>7181.25000003055</v>
      </c>
      <c r="T20" s="328">
        <f>M20*'[1]11生产水定额'!$E$33</f>
        <v>10169.0572025948</v>
      </c>
      <c r="U20" s="328">
        <f>M20*'[1]12生活污水定额'!$E$33</f>
        <v>5319.44444446708</v>
      </c>
      <c r="V20" s="328">
        <f>'[1]13土工膜定额'!$G$5</f>
        <v>11500.5</v>
      </c>
      <c r="Y20" s="312">
        <v>50537</v>
      </c>
      <c r="Z20" s="315" t="e">
        <f t="shared" si="3"/>
        <v>#VALUE!</v>
      </c>
      <c r="AA20" s="315">
        <f t="shared" si="4"/>
        <v>294340.975664608</v>
      </c>
      <c r="AB20" s="315" t="e">
        <f t="shared" si="5"/>
        <v>#VALUE!</v>
      </c>
      <c r="AC20" s="315" t="e">
        <f t="shared" si="6"/>
        <v>#VALUE!</v>
      </c>
      <c r="AD20" s="315">
        <f t="shared" si="7"/>
        <v>26989.0016470618</v>
      </c>
      <c r="AE20" s="327"/>
    </row>
    <row r="21" spans="2:34">
      <c r="B21" s="310">
        <v>4</v>
      </c>
      <c r="C21" s="311">
        <v>2025</v>
      </c>
      <c r="D21" s="311" t="s">
        <v>39</v>
      </c>
      <c r="E21" s="311" t="s">
        <v>27</v>
      </c>
      <c r="F21" s="311">
        <v>50537</v>
      </c>
      <c r="G21" s="311" t="s">
        <v>36</v>
      </c>
      <c r="H21" s="311" t="s">
        <v>40</v>
      </c>
      <c r="I21" s="311" t="s">
        <v>30</v>
      </c>
      <c r="J21" s="311" t="s">
        <v>41</v>
      </c>
      <c r="K21" s="311" t="s">
        <v>32</v>
      </c>
      <c r="L21" s="311">
        <v>2</v>
      </c>
      <c r="M21" s="311">
        <v>3523</v>
      </c>
      <c r="N21" s="311" t="e">
        <f>'[1]05工序定额'!$E$5+'[1]05工序定额'!$E$8+'[1]05工序定额'!$E$13</f>
        <v>#VALUE!</v>
      </c>
      <c r="O21" s="328">
        <f>'[1]06米费定额 '!$E$5*M21*38</f>
        <v>57340.0787275682</v>
      </c>
      <c r="P21" s="328">
        <f>'[1]07一般材料定额'!$F$5*M21</f>
        <v>74743.9990774642</v>
      </c>
      <c r="Q21" s="328">
        <f>'[1]08能耗定额'!$G$5*M21</f>
        <v>345289.23</v>
      </c>
      <c r="R21" s="328">
        <f>M21*'[1]09润滑油定额 '!$E$5*'[1]14钻机挂钩系数'!$D$5</f>
        <v>12699.4296814066</v>
      </c>
      <c r="S21" s="328">
        <f>M21*'[1]10项修定额'!$E$5*'[1]14钻机挂钩系数'!$E$5</f>
        <v>11871.1057358326</v>
      </c>
      <c r="T21" s="328">
        <f>M21*'[1]11生产水定额'!$E$5</f>
        <v>16212.1975433721</v>
      </c>
      <c r="U21" s="328">
        <f>'[1]12生活污水定额'!$E$5*M21</f>
        <v>8793.41165617229</v>
      </c>
      <c r="V21" s="328">
        <f>'[1]13土工膜定额'!$G$5</f>
        <v>11500.5</v>
      </c>
      <c r="Y21" s="312">
        <v>50537</v>
      </c>
      <c r="Z21" s="315" t="e">
        <f t="shared" si="3"/>
        <v>#VALUE!</v>
      </c>
      <c r="AA21" s="315">
        <f t="shared" si="4"/>
        <v>444603.764494703</v>
      </c>
      <c r="AB21" s="315" t="e">
        <f t="shared" si="5"/>
        <v>#VALUE!</v>
      </c>
      <c r="AC21" s="315" t="e">
        <f t="shared" si="6"/>
        <v>#VALUE!</v>
      </c>
      <c r="AD21" s="315">
        <f t="shared" si="7"/>
        <v>36506.1091995444</v>
      </c>
      <c r="AE21" s="327"/>
    </row>
    <row r="22" spans="2:34">
      <c r="B22" s="310">
        <v>5</v>
      </c>
      <c r="C22" s="311">
        <v>2025</v>
      </c>
      <c r="D22" s="311" t="s">
        <v>39</v>
      </c>
      <c r="E22" s="311" t="s">
        <v>27</v>
      </c>
      <c r="F22" s="311">
        <v>50537</v>
      </c>
      <c r="G22" s="311" t="s">
        <v>36</v>
      </c>
      <c r="H22" s="311" t="s">
        <v>42</v>
      </c>
      <c r="I22" s="311" t="s">
        <v>30</v>
      </c>
      <c r="J22" s="311" t="s">
        <v>31</v>
      </c>
      <c r="K22" s="311" t="s">
        <v>38</v>
      </c>
      <c r="L22" s="311">
        <v>2</v>
      </c>
      <c r="M22" s="311">
        <v>2314</v>
      </c>
      <c r="N22" s="311" t="e">
        <f>'[1]05工序定额'!$E$5+'[1]05工序定额'!$E$8+'[1]05工序定额'!$E$13</f>
        <v>#VALUE!</v>
      </c>
      <c r="O22" s="328">
        <f>M22*38*'[1]06米费定额 '!$E$20</f>
        <v>30773.4268197301</v>
      </c>
      <c r="P22" s="328">
        <f>M22*'[1]07一般材料定额'!$E$20</f>
        <v>35394.5376561121</v>
      </c>
      <c r="Q22" s="328">
        <f>M22*'[1]08能耗定额'!$G$20</f>
        <v>189053.8</v>
      </c>
      <c r="R22" s="328">
        <f>M22*'[1]09润滑油定额 '!$E$20*'[1]14钻机挂钩系数'!$D$5</f>
        <v>6815.56388873913</v>
      </c>
      <c r="S22" s="328">
        <f>M22*'[1]10项修定额'!$E$20*'[1]14钻机挂钩系数'!$E$5</f>
        <v>6371.01677810018</v>
      </c>
      <c r="T22" s="328">
        <f>M22*'[1]11生产水定额'!$E$20</f>
        <v>10648.5013876624</v>
      </c>
      <c r="U22" s="328">
        <f>M22*'[1]12生活污水定额'!$E$20</f>
        <v>4719.27168748162</v>
      </c>
      <c r="V22" s="328">
        <f>'[1]13土工膜定额'!$G$5</f>
        <v>11500.5</v>
      </c>
      <c r="Y22" s="312">
        <v>50537</v>
      </c>
      <c r="Z22" s="315" t="e">
        <f t="shared" si="3"/>
        <v>#VALUE!</v>
      </c>
      <c r="AA22" s="315">
        <f t="shared" si="4"/>
        <v>237634.918322951</v>
      </c>
      <c r="AB22" s="315" t="e">
        <f t="shared" si="5"/>
        <v>#VALUE!</v>
      </c>
      <c r="AC22" s="315" t="e">
        <f t="shared" si="6"/>
        <v>#VALUE!</v>
      </c>
      <c r="AD22" s="315">
        <f t="shared" si="7"/>
        <v>26868.273075144</v>
      </c>
      <c r="AE22" s="327"/>
    </row>
    <row r="23" s="5" customFormat="1" spans="2:34">
      <c r="B23" s="310">
        <v>6</v>
      </c>
      <c r="C23" s="311">
        <v>2025</v>
      </c>
      <c r="D23" s="311" t="s">
        <v>39</v>
      </c>
      <c r="E23" s="311" t="s">
        <v>27</v>
      </c>
      <c r="F23" s="311">
        <v>70520</v>
      </c>
      <c r="G23" s="311" t="s">
        <v>28</v>
      </c>
      <c r="H23" s="311" t="s">
        <v>43</v>
      </c>
      <c r="I23" s="311" t="s">
        <v>44</v>
      </c>
      <c r="J23" s="311" t="s">
        <v>31</v>
      </c>
      <c r="K23" s="311" t="s">
        <v>32</v>
      </c>
      <c r="L23" s="311">
        <v>3</v>
      </c>
      <c r="M23" s="311">
        <v>4210</v>
      </c>
      <c r="N23" s="311">
        <f>'[1]05工序定额'!$E$9+'[1]05工序定额'!$E$5+'[1]05工序定额'!$E$13+'[1]05工序定额'!$E$14</f>
        <v>0</v>
      </c>
      <c r="O23" s="328">
        <f>M23*38*'[1]06米费定额 '!$E$31</f>
        <v>71738.0897305562</v>
      </c>
      <c r="P23" s="328">
        <f>M23*'[1]07一般材料定额'!$F$31</f>
        <v>93512.1093592392</v>
      </c>
      <c r="Q23" s="328">
        <f>M23*'[1]08能耗定额'!$G$31</f>
        <v>567802.7</v>
      </c>
      <c r="R23" s="328">
        <f>M23*'[1]09润滑油定额 '!$E$31*'[1]14钻机挂钩系数'!$E$7</f>
        <v>34654.4875860711</v>
      </c>
      <c r="S23" s="328">
        <f>M23*'[1]10项修定额'!$E$31*'[1]14钻机挂钩系数'!$E$7</f>
        <v>16502.1369457481</v>
      </c>
      <c r="T23" s="328">
        <f>M23*'[1]11生产水定额'!$E$31</f>
        <v>23301.7930409569</v>
      </c>
      <c r="U23" s="328">
        <f>M23*'[1]12生活污水定额'!$E$31</f>
        <v>11001.4246304987</v>
      </c>
      <c r="V23" s="328">
        <f>'[1]13土工膜定额'!$G$6</f>
        <v>12546</v>
      </c>
      <c r="Y23" s="312">
        <v>70520</v>
      </c>
      <c r="Z23" s="315">
        <f t="shared" si="3"/>
        <v>71738.0897305562</v>
      </c>
      <c r="AA23" s="315">
        <f t="shared" si="4"/>
        <v>712471.433891059</v>
      </c>
      <c r="AB23" s="315">
        <f t="shared" si="5"/>
        <v>784209.523621615</v>
      </c>
      <c r="AC23" s="315">
        <f t="shared" si="6"/>
        <v>831058.74129307</v>
      </c>
      <c r="AD23" s="315">
        <f t="shared" si="7"/>
        <v>46849.2176714556</v>
      </c>
      <c r="AE23" s="327"/>
    </row>
    <row r="24" spans="2:34">
      <c r="B24" s="310">
        <v>7</v>
      </c>
      <c r="C24" s="311">
        <v>2025</v>
      </c>
      <c r="D24" s="311" t="s">
        <v>45</v>
      </c>
      <c r="E24" s="311" t="s">
        <v>27</v>
      </c>
      <c r="F24" s="311">
        <v>50537</v>
      </c>
      <c r="G24" s="311" t="s">
        <v>36</v>
      </c>
      <c r="H24" s="311" t="s">
        <v>46</v>
      </c>
      <c r="I24" s="311" t="s">
        <v>30</v>
      </c>
      <c r="J24" s="311" t="s">
        <v>31</v>
      </c>
      <c r="K24" s="311" t="s">
        <v>38</v>
      </c>
      <c r="L24" s="311">
        <v>2</v>
      </c>
      <c r="M24" s="311">
        <v>2850</v>
      </c>
      <c r="N24" s="311">
        <f>'[1]05工序定额'!$E$9+'[1]05工序定额'!$E$5+'[1]05工序定额'!$E$13+'[1]05工序定额'!$E$14</f>
        <v>0</v>
      </c>
      <c r="O24" s="328">
        <f>M24*38*'[1]06米费定额 '!$E$20</f>
        <v>37901.584458181</v>
      </c>
      <c r="P24" s="328">
        <f>M24*'[1]07一般材料定额'!$E$20</f>
        <v>43593.0995332409</v>
      </c>
      <c r="Q24" s="328">
        <f>M24*'[1]08能耗定额'!$G$20</f>
        <v>232845</v>
      </c>
      <c r="R24" s="328">
        <f>M24*'[1]09润滑油定额 '!$E$20*'[1]14钻机挂钩系数'!$D$5</f>
        <v>8394.27704533558</v>
      </c>
      <c r="S24" s="328">
        <f>M24*'[1]10项修定额'!$E$20*'[1]14钻机挂钩系数'!$E$5</f>
        <v>7846.75791598337</v>
      </c>
      <c r="T24" s="328">
        <f>M24*'[1]11生产水定额'!$E$20</f>
        <v>13115.0514065851</v>
      </c>
      <c r="U24" s="328">
        <f>M24*'[1]12生活污水定额'!$E$20</f>
        <v>5812.41327109879</v>
      </c>
      <c r="V24" s="328">
        <f>'[1]13土工膜定额'!$G$5</f>
        <v>11500.5</v>
      </c>
      <c r="Y24" s="312">
        <v>50537</v>
      </c>
      <c r="Z24" s="315">
        <f t="shared" si="3"/>
        <v>37901.584458181</v>
      </c>
      <c r="AA24" s="315">
        <f t="shared" si="4"/>
        <v>292679.13449456</v>
      </c>
      <c r="AB24" s="315">
        <f t="shared" si="5"/>
        <v>330580.718952741</v>
      </c>
      <c r="AC24" s="315">
        <f t="shared" si="6"/>
        <v>361008.683630425</v>
      </c>
      <c r="AD24" s="315">
        <f t="shared" si="7"/>
        <v>30427.9646776839</v>
      </c>
      <c r="AE24" s="327"/>
    </row>
    <row r="25" spans="2:34">
      <c r="B25" s="310">
        <v>8</v>
      </c>
      <c r="C25" s="311">
        <v>2025</v>
      </c>
      <c r="D25" s="311" t="s">
        <v>47</v>
      </c>
      <c r="E25" s="311" t="s">
        <v>27</v>
      </c>
      <c r="F25" s="311">
        <v>50537</v>
      </c>
      <c r="G25" s="311" t="s">
        <v>36</v>
      </c>
      <c r="H25" s="311" t="s">
        <v>48</v>
      </c>
      <c r="I25" s="311" t="s">
        <v>30</v>
      </c>
      <c r="J25" s="311" t="s">
        <v>31</v>
      </c>
      <c r="K25" s="311" t="s">
        <v>38</v>
      </c>
      <c r="L25" s="311">
        <v>2</v>
      </c>
      <c r="M25" s="311">
        <v>2278</v>
      </c>
      <c r="N25" s="311" t="e">
        <f>'[1]05工序定额'!$E$5+'[1]05工序定额'!$E$8+'[1]05工序定额'!$E$13</f>
        <v>#VALUE!</v>
      </c>
      <c r="O25" s="328">
        <f>M25*38*'[1]06米费定额 '!$E$20</f>
        <v>30294.6699634163</v>
      </c>
      <c r="P25" s="328">
        <f>M25*'[1]07一般材料定额'!$E$20</f>
        <v>34843.8879777975</v>
      </c>
      <c r="Q25" s="328">
        <f>M25*'[1]08能耗定额'!$G$20</f>
        <v>186112.6</v>
      </c>
      <c r="R25" s="328">
        <f>M25*'[1]09润滑油定额 '!$E$20*'[1]14钻机挂钩系数'!$D$5</f>
        <v>6709.5309155349</v>
      </c>
      <c r="S25" s="328">
        <f>M25*'[1]10项修定额'!$E$20*'[1]14钻机挂钩系数'!$E$5</f>
        <v>6271.89983600355</v>
      </c>
      <c r="T25" s="328">
        <f>M25*'[1]11生产水定额'!$E$20</f>
        <v>10482.8375804213</v>
      </c>
      <c r="U25" s="328">
        <f>M25*'[1]12生活污水定额'!$E$20</f>
        <v>4645.851730373</v>
      </c>
      <c r="V25" s="328">
        <f>'[1]13土工膜定额'!$G$5</f>
        <v>11500.5</v>
      </c>
      <c r="Y25" s="312">
        <v>50537</v>
      </c>
      <c r="Z25" s="315" t="e">
        <f t="shared" si="3"/>
        <v>#VALUE!</v>
      </c>
      <c r="AA25" s="315">
        <f t="shared" si="4"/>
        <v>233937.918729336</v>
      </c>
      <c r="AB25" s="315" t="e">
        <f t="shared" si="5"/>
        <v>#VALUE!</v>
      </c>
      <c r="AC25" s="315" t="e">
        <f t="shared" si="6"/>
        <v>#VALUE!</v>
      </c>
      <c r="AD25" s="315">
        <f t="shared" si="7"/>
        <v>26629.1893107943</v>
      </c>
      <c r="AE25" s="327"/>
    </row>
    <row r="26" s="5" customFormat="1" spans="2:34">
      <c r="B26" s="310">
        <v>9</v>
      </c>
      <c r="C26" s="311">
        <v>2025</v>
      </c>
      <c r="D26" s="311" t="s">
        <v>47</v>
      </c>
      <c r="E26" s="311" t="s">
        <v>27</v>
      </c>
      <c r="F26" s="311">
        <v>70520</v>
      </c>
      <c r="G26" s="311" t="s">
        <v>28</v>
      </c>
      <c r="H26" s="311" t="s">
        <v>49</v>
      </c>
      <c r="I26" s="311" t="s">
        <v>44</v>
      </c>
      <c r="J26" s="311" t="s">
        <v>41</v>
      </c>
      <c r="K26" s="311" t="s">
        <v>32</v>
      </c>
      <c r="L26" s="311">
        <v>3</v>
      </c>
      <c r="M26" s="311">
        <v>3945</v>
      </c>
      <c r="N26" s="311">
        <f>'[1]05工序定额'!$E$9+'[1]05工序定额'!$E$5+'[1]05工序定额'!$E$13+'[1]05工序定额'!$E$14</f>
        <v>0</v>
      </c>
      <c r="O26" s="328">
        <f>M26*38*'[1]06米费定额 '!$E$31</f>
        <v>67222.5092605806</v>
      </c>
      <c r="P26" s="328">
        <f>M26*'[1]07一般材料定额'!$F$31</f>
        <v>87625.9552071731</v>
      </c>
      <c r="Q26" s="328">
        <f>M26*'[1]08能耗定额'!$G$31</f>
        <v>532062.15</v>
      </c>
      <c r="R26" s="328">
        <f>M26*'[1]09润滑油定额 '!$E$31*'[1]14钻机挂钩系数'!$E$7</f>
        <v>32473.1481061878</v>
      </c>
      <c r="S26" s="328">
        <f>M26*'[1]10项修定额'!$E$31*'[1]14钻机挂钩系数'!$E$7</f>
        <v>15463.4038600894</v>
      </c>
      <c r="T26" s="328">
        <f>M26*'[1]11生产水定额'!$E$31</f>
        <v>21835.0530989489</v>
      </c>
      <c r="U26" s="328">
        <f>M26*'[1]12生活污水定额'!$E$31</f>
        <v>10308.9359067262</v>
      </c>
      <c r="V26" s="328">
        <f>'[1]13土工膜定额'!$G$6</f>
        <v>12546</v>
      </c>
      <c r="Y26" s="312">
        <v>70520</v>
      </c>
      <c r="Z26" s="315">
        <f t="shared" si="3"/>
        <v>67222.5092605806</v>
      </c>
      <c r="AA26" s="315">
        <f t="shared" si="4"/>
        <v>667624.65717345</v>
      </c>
      <c r="AB26" s="315">
        <f t="shared" si="5"/>
        <v>734847.166434031</v>
      </c>
      <c r="AC26" s="315">
        <f t="shared" si="6"/>
        <v>779537.155439706</v>
      </c>
      <c r="AD26" s="315">
        <f t="shared" si="7"/>
        <v>44689.9890056752</v>
      </c>
      <c r="AE26" s="327"/>
    </row>
    <row r="27" s="5" customFormat="1" spans="2:34">
      <c r="B27" s="310">
        <v>10</v>
      </c>
      <c r="C27" s="311">
        <v>2025</v>
      </c>
      <c r="D27" s="311" t="s">
        <v>50</v>
      </c>
      <c r="E27" s="311" t="s">
        <v>27</v>
      </c>
      <c r="F27" s="311">
        <v>70520</v>
      </c>
      <c r="G27" s="311" t="s">
        <v>28</v>
      </c>
      <c r="H27" s="311" t="s">
        <v>51</v>
      </c>
      <c r="I27" s="311" t="s">
        <v>44</v>
      </c>
      <c r="J27" s="311" t="s">
        <v>41</v>
      </c>
      <c r="K27" s="311" t="s">
        <v>32</v>
      </c>
      <c r="L27" s="311">
        <v>3</v>
      </c>
      <c r="M27" s="311">
        <v>5580</v>
      </c>
      <c r="N27" s="311">
        <f>'[1]05工序定额'!$E$9+'[1]05工序定额'!$E$5+'[1]05工序定额'!$E$13+'[1]05工序定额'!$E$14</f>
        <v>0</v>
      </c>
      <c r="O27" s="328">
        <f>M27*38*'[1]06米费定额 '!$E$31</f>
        <v>95082.7887640151</v>
      </c>
      <c r="P27" s="328">
        <f>M27*'[1]07一般材料定额'!$F$31</f>
        <v>123942.415730298</v>
      </c>
      <c r="Q27" s="328">
        <f>M27*'[1]08能耗定额'!$G$31</f>
        <v>752574.6</v>
      </c>
      <c r="R27" s="328">
        <f>M27*'[1]09润滑油定额 '!$E$31*'[1]14钻机挂钩系数'!$E$7</f>
        <v>45931.6011235812</v>
      </c>
      <c r="S27" s="328">
        <f>M27*'[1]10项修定额'!$E$31*'[1]14钻机挂钩系数'!$E$7</f>
        <v>21872.1910112291</v>
      </c>
      <c r="T27" s="328">
        <f>M27*'[1]11生产水定额'!$E$31</f>
        <v>30884.5617977528</v>
      </c>
      <c r="U27" s="328">
        <f>M27*'[1]12生活污水定额'!$E$31</f>
        <v>14581.4606741527</v>
      </c>
      <c r="V27" s="328">
        <f>'[1]13土工膜定额'!$G$6</f>
        <v>12546</v>
      </c>
      <c r="Y27" s="312">
        <v>70520</v>
      </c>
      <c r="Z27" s="315">
        <f t="shared" si="3"/>
        <v>95082.7887640151</v>
      </c>
      <c r="AA27" s="315">
        <f t="shared" si="4"/>
        <v>944320.807865108</v>
      </c>
      <c r="AB27" s="315">
        <f t="shared" si="5"/>
        <v>1039403.59662912</v>
      </c>
      <c r="AC27" s="315">
        <f t="shared" si="6"/>
        <v>1097415.61910103</v>
      </c>
      <c r="AD27" s="315">
        <f t="shared" si="7"/>
        <v>58012.0224719055</v>
      </c>
      <c r="AE27" s="327"/>
    </row>
    <row r="28" ht="15.15" spans="2:34">
      <c r="B28" s="316"/>
      <c r="C28" s="317"/>
      <c r="D28" s="317"/>
      <c r="E28" s="317"/>
      <c r="F28" s="317"/>
      <c r="G28" s="317"/>
      <c r="H28" s="317"/>
      <c r="I28" s="317"/>
      <c r="J28" s="317"/>
      <c r="K28" s="317"/>
      <c r="L28" s="317"/>
      <c r="M28" s="317"/>
      <c r="N28" s="317"/>
      <c r="O28" s="317"/>
      <c r="P28" s="317"/>
      <c r="Q28" s="317"/>
      <c r="R28" s="317"/>
      <c r="S28" s="317"/>
      <c r="T28" s="317"/>
      <c r="U28" s="317"/>
      <c r="V28" s="317"/>
      <c r="W28" s="317"/>
      <c r="X28" s="317"/>
      <c r="Y28" s="317"/>
      <c r="Z28" s="329"/>
      <c r="AA28" s="329">
        <f>SUM(AA18:AA27)</f>
        <v>4587777.90043058</v>
      </c>
      <c r="AB28" s="329"/>
      <c r="AC28" s="329"/>
      <c r="AD28" s="329">
        <f>SUM(AD18:AD27)</f>
        <v>363515.018187661</v>
      </c>
      <c r="AE28" s="330"/>
      <c r="AH28" s="5">
        <f>(AD28+AA28-AA14)/AA14</f>
        <v>0.160195677344222</v>
      </c>
    </row>
    <row r="29" ht="15.15" spans="2:34">
      <c r="Z29" s="208"/>
      <c r="AA29" s="208"/>
      <c r="AB29" s="208"/>
      <c r="AC29" s="208"/>
      <c r="AD29" s="208"/>
    </row>
    <row r="30" ht="17.4" spans="2:34">
      <c r="X30" s="331"/>
      <c r="Y30" s="332" t="s">
        <v>64</v>
      </c>
      <c r="Z30" s="308"/>
      <c r="AA30" s="326"/>
      <c r="AB30" s="326"/>
      <c r="AC30" s="333"/>
      <c r="AD30" s="208"/>
    </row>
    <row r="31" spans="2:34">
      <c r="H31" s="5" t="s">
        <v>65</v>
      </c>
      <c r="Q31" s="5">
        <f>4318*'[1]08能耗定额'!$G$26</f>
        <v>625721.38</v>
      </c>
      <c r="X31" s="334"/>
      <c r="Y31" s="312" t="s">
        <v>5</v>
      </c>
      <c r="Z31" s="312" t="s">
        <v>66</v>
      </c>
      <c r="AA31" s="312" t="s">
        <v>67</v>
      </c>
      <c r="AB31" s="312" t="s">
        <v>68</v>
      </c>
      <c r="AC31" s="313"/>
      <c r="AD31" s="208"/>
    </row>
    <row r="32" spans="2:34">
      <c r="X32" s="334"/>
      <c r="Y32" s="312">
        <v>70520</v>
      </c>
      <c r="Z32" s="315">
        <f t="shared" ref="Z32:Z41" si="8">Z18-Z4</f>
        <v>-40112.9235656722</v>
      </c>
      <c r="AA32" s="315">
        <f t="shared" ref="AA32:AA41" si="9">AA18+AD18-AA4</f>
        <v>56432.329881119</v>
      </c>
      <c r="AB32" s="315">
        <f t="shared" ref="AB32:AB41" si="10">AC18-AB4</f>
        <v>16319.4063154468</v>
      </c>
      <c r="AC32" s="313"/>
      <c r="AD32" s="208"/>
    </row>
    <row r="33" spans="24:30">
      <c r="X33" s="334"/>
      <c r="Y33" s="312">
        <v>70520</v>
      </c>
      <c r="Z33" s="315">
        <f t="shared" si="8"/>
        <v>-41995.6828013451</v>
      </c>
      <c r="AA33" s="315">
        <f t="shared" si="9"/>
        <v>10615.20986855</v>
      </c>
      <c r="AB33" s="315">
        <f t="shared" si="10"/>
        <v>-31380.4729327951</v>
      </c>
      <c r="AC33" s="313"/>
      <c r="AD33" s="208"/>
    </row>
    <row r="34" spans="24:30">
      <c r="X34" s="334"/>
      <c r="Y34" s="312">
        <v>50537</v>
      </c>
      <c r="Z34" s="315" t="e">
        <f t="shared" si="8"/>
        <v>#VALUE!</v>
      </c>
      <c r="AA34" s="315">
        <f t="shared" si="9"/>
        <v>75704.3333666008</v>
      </c>
      <c r="AB34" s="315" t="e">
        <f t="shared" si="10"/>
        <v>#VALUE!</v>
      </c>
      <c r="AC34" s="313"/>
      <c r="AD34" s="208"/>
    </row>
    <row r="35" spans="24:30">
      <c r="X35" s="334"/>
      <c r="Y35" s="312">
        <v>50537</v>
      </c>
      <c r="Z35" s="315" t="e">
        <f t="shared" si="8"/>
        <v>#VALUE!</v>
      </c>
      <c r="AA35" s="315">
        <f t="shared" si="9"/>
        <v>49281.1273771438</v>
      </c>
      <c r="AB35" s="315" t="e">
        <f t="shared" si="10"/>
        <v>#VALUE!</v>
      </c>
      <c r="AC35" s="313"/>
      <c r="AD35" s="208"/>
    </row>
    <row r="36" spans="24:30">
      <c r="X36" s="334"/>
      <c r="Y36" s="312">
        <v>50537</v>
      </c>
      <c r="Z36" s="315" t="e">
        <f t="shared" si="8"/>
        <v>#VALUE!</v>
      </c>
      <c r="AA36" s="315">
        <f t="shared" si="9"/>
        <v>-357.108227372519</v>
      </c>
      <c r="AB36" s="315" t="e">
        <f t="shared" si="10"/>
        <v>#VALUE!</v>
      </c>
      <c r="AC36" s="313"/>
      <c r="AD36" s="208"/>
    </row>
    <row r="37" spans="24:30">
      <c r="X37" s="334"/>
      <c r="Y37" s="312">
        <v>70520</v>
      </c>
      <c r="Z37" s="315">
        <f t="shared" si="8"/>
        <v>-71021.9102694438</v>
      </c>
      <c r="AA37" s="315">
        <f t="shared" si="9"/>
        <v>-34500.7216709428</v>
      </c>
      <c r="AB37" s="315">
        <f t="shared" si="10"/>
        <v>-105522.631940387</v>
      </c>
      <c r="AC37" s="313"/>
      <c r="AD37" s="208"/>
    </row>
    <row r="38" spans="24:30">
      <c r="X38" s="334"/>
      <c r="Y38" s="312">
        <v>50537</v>
      </c>
      <c r="Z38" s="315">
        <f t="shared" si="8"/>
        <v>-32618.415541819</v>
      </c>
      <c r="AA38" s="315">
        <f t="shared" si="9"/>
        <v>43834.0604706208</v>
      </c>
      <c r="AB38" s="315">
        <f t="shared" si="10"/>
        <v>11215.6449288018</v>
      </c>
      <c r="AC38" s="313"/>
      <c r="AD38" s="208"/>
    </row>
    <row r="39" spans="24:30">
      <c r="X39" s="334"/>
      <c r="Y39" s="312">
        <v>50537</v>
      </c>
      <c r="Z39" s="315" t="e">
        <f t="shared" si="8"/>
        <v>#VALUE!</v>
      </c>
      <c r="AA39" s="315">
        <f t="shared" si="9"/>
        <v>32101.2353809543</v>
      </c>
      <c r="AB39" s="315" t="e">
        <f t="shared" si="10"/>
        <v>#VALUE!</v>
      </c>
      <c r="AC39" s="313"/>
      <c r="AD39" s="208"/>
    </row>
    <row r="40" spans="24:30">
      <c r="X40" s="334"/>
      <c r="Y40" s="312">
        <v>70520</v>
      </c>
      <c r="Z40" s="315">
        <f t="shared" si="8"/>
        <v>-41137.4907394194</v>
      </c>
      <c r="AA40" s="315">
        <f t="shared" si="9"/>
        <v>192135.553794607</v>
      </c>
      <c r="AB40" s="315">
        <f t="shared" si="10"/>
        <v>150998.063055186</v>
      </c>
      <c r="AC40" s="313"/>
      <c r="AD40" s="208"/>
    </row>
    <row r="41" spans="24:30">
      <c r="X41" s="334"/>
      <c r="Y41" s="312">
        <v>70520</v>
      </c>
      <c r="Z41" s="315">
        <f t="shared" si="8"/>
        <v>-49397.2112359849</v>
      </c>
      <c r="AA41" s="315">
        <f t="shared" si="9"/>
        <v>258410.830337014</v>
      </c>
      <c r="AB41" s="315">
        <f t="shared" si="10"/>
        <v>209013.619101029</v>
      </c>
      <c r="AC41" s="313"/>
      <c r="AD41" s="208"/>
    </row>
    <row r="42" spans="24:30">
      <c r="X42" s="334"/>
      <c r="AC42" s="327"/>
    </row>
    <row r="43" spans="24:30">
      <c r="X43" s="334"/>
      <c r="AC43" s="327"/>
    </row>
    <row r="44" spans="24:30">
      <c r="X44" s="334"/>
      <c r="AC44" s="327"/>
    </row>
    <row r="45" ht="17.4" spans="24:30">
      <c r="X45" s="334"/>
      <c r="Y45" s="335" t="s">
        <v>69</v>
      </c>
      <c r="AC45" s="327"/>
    </row>
    <row r="46" spans="24:30">
      <c r="X46" s="334"/>
      <c r="Y46" s="312">
        <v>70520</v>
      </c>
      <c r="Z46" s="315">
        <f>Z32+Z33+Z37+Z40+Z41</f>
        <v>-243665.218611865</v>
      </c>
      <c r="AA46" s="315">
        <f>AA32+AA33+AA37+AA40+AA41</f>
        <v>483093.202210347</v>
      </c>
      <c r="AB46" s="315">
        <f>AB32+AB33+AB37+AB40+AB41</f>
        <v>239427.98359848</v>
      </c>
      <c r="AC46" s="327"/>
    </row>
    <row r="47" spans="24:30">
      <c r="X47" s="334"/>
      <c r="Y47" s="312">
        <f>Y34</f>
        <v>50537</v>
      </c>
      <c r="Z47" s="315" t="e">
        <f>Z34+Z35+Z36+Z38+Z39</f>
        <v>#VALUE!</v>
      </c>
      <c r="AA47" s="315">
        <f>AA34+AA35+AA36+AA38+AA39</f>
        <v>200563.648367947</v>
      </c>
      <c r="AB47" s="315" t="e">
        <f>AB34+AB35+AB36+AB38+AB39</f>
        <v>#VALUE!</v>
      </c>
      <c r="AC47" s="327"/>
    </row>
    <row r="48" spans="24:30">
      <c r="X48" s="334"/>
      <c r="AC48" s="327"/>
    </row>
    <row r="49" ht="15.15" spans="24:29">
      <c r="X49" s="316"/>
      <c r="Y49" s="317"/>
      <c r="Z49" s="317"/>
      <c r="AA49" s="317"/>
      <c r="AB49" s="317"/>
      <c r="AC49" s="330"/>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B21"/>
  <sheetViews>
    <sheetView zoomScale="160" zoomScaleNormal="160" topLeftCell="A3" workbookViewId="0">
      <selection activeCell="T32" sqref="T32"/>
    </sheetView>
  </sheetViews>
  <sheetFormatPr defaultColWidth="9" defaultRowHeight="14.4" outlineLevelCol="1"/>
  <cols>
    <col min="1" max="1" width="7.37962962962963" style="17" customWidth="1"/>
    <col min="2" max="2" width="53.8425925925926" style="17" customWidth="1"/>
    <col min="3" max="16384" width="9" style="17"/>
  </cols>
  <sheetData>
    <row r="1" ht="20.4" spans="1:2">
      <c r="A1" s="25" t="s">
        <v>70</v>
      </c>
      <c r="B1" s="217"/>
    </row>
    <row r="2" ht="20.4" spans="1:2">
      <c r="A2" s="218"/>
      <c r="B2" s="217"/>
    </row>
    <row r="3" ht="30" customHeight="1" spans="1:2">
      <c r="A3" s="300" t="s">
        <v>71</v>
      </c>
      <c r="B3" s="300"/>
    </row>
    <row r="4" ht="15" customHeight="1" spans="1:2">
      <c r="A4" s="301" t="s">
        <v>1</v>
      </c>
      <c r="B4" s="302" t="s">
        <v>72</v>
      </c>
    </row>
    <row r="5" ht="15" customHeight="1" spans="1:2">
      <c r="A5" s="303">
        <v>1</v>
      </c>
      <c r="B5" s="304" t="s">
        <v>73</v>
      </c>
    </row>
    <row r="6" ht="15" customHeight="1" spans="1:2">
      <c r="A6" s="303">
        <v>2</v>
      </c>
      <c r="B6" s="304" t="s">
        <v>74</v>
      </c>
    </row>
    <row r="7" ht="15" customHeight="1" spans="1:2">
      <c r="A7" s="303">
        <v>3</v>
      </c>
      <c r="B7" s="304" t="s">
        <v>75</v>
      </c>
    </row>
    <row r="8" ht="15" customHeight="1" spans="1:2">
      <c r="A8" s="303">
        <v>4</v>
      </c>
      <c r="B8" s="304" t="s">
        <v>76</v>
      </c>
    </row>
    <row r="9" ht="15" customHeight="1" spans="1:2">
      <c r="A9" s="303">
        <v>5</v>
      </c>
      <c r="B9" s="304" t="s">
        <v>77</v>
      </c>
    </row>
    <row r="10" ht="15" customHeight="1" spans="1:2">
      <c r="A10" s="303">
        <v>6</v>
      </c>
      <c r="B10" s="304" t="s">
        <v>78</v>
      </c>
    </row>
    <row r="11" ht="15" customHeight="1" spans="1:2">
      <c r="A11" s="303">
        <v>7</v>
      </c>
      <c r="B11" s="304" t="s">
        <v>79</v>
      </c>
    </row>
    <row r="12" ht="15" customHeight="1" spans="1:2">
      <c r="A12" s="303">
        <v>8</v>
      </c>
      <c r="B12" s="304" t="s">
        <v>80</v>
      </c>
    </row>
    <row r="13" ht="15" customHeight="1" spans="1:2">
      <c r="A13" s="303">
        <v>9</v>
      </c>
      <c r="B13" s="304" t="s">
        <v>81</v>
      </c>
    </row>
    <row r="14" ht="15" customHeight="1" spans="1:2">
      <c r="A14" s="303">
        <v>10</v>
      </c>
      <c r="B14" s="304" t="s">
        <v>82</v>
      </c>
    </row>
    <row r="15" ht="15" customHeight="1" spans="1:2">
      <c r="A15" s="303">
        <v>11</v>
      </c>
      <c r="B15" s="304" t="s">
        <v>83</v>
      </c>
    </row>
    <row r="16" ht="15" customHeight="1" spans="1:2">
      <c r="A16" s="303">
        <v>12</v>
      </c>
      <c r="B16" s="304" t="s">
        <v>84</v>
      </c>
    </row>
    <row r="17" ht="15" customHeight="1" spans="1:2">
      <c r="A17" s="303">
        <v>13</v>
      </c>
      <c r="B17" s="304" t="s">
        <v>85</v>
      </c>
    </row>
    <row r="18" ht="15" customHeight="1" spans="1:2">
      <c r="A18" s="303">
        <v>14</v>
      </c>
      <c r="B18" s="304" t="s">
        <v>86</v>
      </c>
    </row>
    <row r="19" ht="15" customHeight="1" spans="1:2">
      <c r="A19" s="303">
        <v>15</v>
      </c>
      <c r="B19" s="304" t="s">
        <v>87</v>
      </c>
    </row>
    <row r="20" ht="15" customHeight="1" spans="1:2">
      <c r="A20" s="303">
        <v>16</v>
      </c>
      <c r="B20" s="304" t="s">
        <v>88</v>
      </c>
    </row>
    <row r="21" ht="15" customHeight="1" spans="1:2">
      <c r="A21" s="305">
        <v>17</v>
      </c>
      <c r="B21" s="306" t="s">
        <v>89</v>
      </c>
    </row>
  </sheetData>
  <sheetProtection formatCells="0" formatColumns="0" formatRows="0" insertRows="0" insertColumns="0" insertHyperlinks="0" deleteColumns="0" deleteRows="0" sort="0" autoFilter="0" pivotTables="0"/>
  <mergeCells count="1">
    <mergeCell ref="A3:B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D41"/>
  <sheetViews>
    <sheetView zoomScale="145" zoomScaleNormal="145" topLeftCell="A25" workbookViewId="0">
      <selection activeCell="T32" sqref="T32"/>
    </sheetView>
  </sheetViews>
  <sheetFormatPr defaultColWidth="33.7592592592593" defaultRowHeight="14.4" outlineLevelCol="3"/>
  <cols>
    <col min="1" max="1" width="20.8796296296296" customWidth="1"/>
    <col min="2" max="2" width="28.7407407407407" customWidth="1"/>
    <col min="3" max="3" width="5.37962962962963" customWidth="1"/>
    <col min="4" max="4" width="41.25" customWidth="1"/>
    <col min="5" max="16384" width="33.7592592592593" customWidth="1"/>
  </cols>
  <sheetData>
    <row r="1" ht="20.4" spans="1:4">
      <c r="A1" s="64" t="s">
        <v>90</v>
      </c>
      <c r="B1" s="235"/>
      <c r="C1" s="235"/>
    </row>
    <row r="2" ht="20.4" spans="1:4">
      <c r="A2" s="240"/>
      <c r="B2" s="235"/>
      <c r="C2" s="235"/>
    </row>
    <row r="3" ht="30.15" spans="1:4">
      <c r="A3" s="26" t="s">
        <v>91</v>
      </c>
      <c r="B3" s="26"/>
      <c r="C3" s="26"/>
    </row>
    <row r="4" spans="1:4">
      <c r="A4" s="278" t="s">
        <v>92</v>
      </c>
      <c r="B4" s="279" t="s">
        <v>93</v>
      </c>
      <c r="C4" s="280" t="s">
        <v>94</v>
      </c>
    </row>
    <row r="5" spans="1:4">
      <c r="A5" s="292" t="s">
        <v>95</v>
      </c>
      <c r="B5" s="282" t="s">
        <v>96</v>
      </c>
      <c r="C5" s="283">
        <v>1.1</v>
      </c>
    </row>
    <row r="6" spans="1:4">
      <c r="A6" s="293"/>
      <c r="B6" s="282" t="s">
        <v>97</v>
      </c>
      <c r="C6" s="283">
        <v>1.2</v>
      </c>
    </row>
    <row r="7" spans="1:4">
      <c r="A7" s="294"/>
      <c r="B7" s="282" t="s">
        <v>98</v>
      </c>
      <c r="C7" s="283">
        <v>2</v>
      </c>
      <c r="D7" t="s">
        <v>99</v>
      </c>
    </row>
    <row r="8" spans="1:4">
      <c r="A8" s="281" t="s">
        <v>100</v>
      </c>
      <c r="B8" s="282" t="s">
        <v>101</v>
      </c>
      <c r="C8" s="283">
        <v>1.3</v>
      </c>
    </row>
    <row r="9" spans="1:4">
      <c r="A9" s="281"/>
      <c r="B9" s="282" t="s">
        <v>102</v>
      </c>
      <c r="C9" s="283">
        <v>1.5</v>
      </c>
    </row>
    <row r="10" spans="1:4">
      <c r="A10" s="281" t="s">
        <v>103</v>
      </c>
      <c r="B10" s="282" t="s">
        <v>104</v>
      </c>
      <c r="C10" s="283">
        <v>1.1</v>
      </c>
    </row>
    <row r="11" ht="24" spans="1:4">
      <c r="A11" s="281"/>
      <c r="B11" s="282" t="s">
        <v>105</v>
      </c>
      <c r="C11" s="283">
        <v>0.9</v>
      </c>
    </row>
    <row r="12" spans="1:4">
      <c r="A12" s="281"/>
      <c r="B12" s="282" t="s">
        <v>106</v>
      </c>
      <c r="C12" s="283">
        <v>0.75</v>
      </c>
    </row>
    <row r="13" spans="1:4">
      <c r="A13" s="281"/>
      <c r="B13" s="282" t="s">
        <v>107</v>
      </c>
      <c r="C13" s="283">
        <v>0.65</v>
      </c>
    </row>
    <row r="14" spans="1:4">
      <c r="A14" s="281"/>
      <c r="B14" s="282" t="s">
        <v>108</v>
      </c>
      <c r="C14" s="283">
        <v>0.6</v>
      </c>
    </row>
    <row r="15" spans="1:4">
      <c r="A15" s="281"/>
      <c r="B15" s="282" t="s">
        <v>109</v>
      </c>
      <c r="C15" s="283">
        <v>1</v>
      </c>
    </row>
    <row r="16" spans="1:4">
      <c r="A16" s="281"/>
      <c r="B16" s="282" t="s">
        <v>110</v>
      </c>
      <c r="C16" s="283">
        <v>0.9</v>
      </c>
    </row>
    <row r="17" spans="1:4">
      <c r="A17" s="281"/>
      <c r="B17" s="282" t="s">
        <v>111</v>
      </c>
      <c r="C17" s="283">
        <v>0.75</v>
      </c>
    </row>
    <row r="18" spans="1:4">
      <c r="A18" s="281" t="s">
        <v>112</v>
      </c>
      <c r="B18" s="282" t="s">
        <v>113</v>
      </c>
      <c r="C18" s="283">
        <v>1</v>
      </c>
    </row>
    <row r="19" ht="24" spans="1:4">
      <c r="A19" s="281"/>
      <c r="B19" s="282" t="s">
        <v>114</v>
      </c>
      <c r="C19" s="283">
        <v>0.9</v>
      </c>
    </row>
    <row r="20" spans="1:4">
      <c r="A20" s="281"/>
      <c r="B20" s="282" t="s">
        <v>115</v>
      </c>
      <c r="C20" s="283">
        <v>0.8</v>
      </c>
    </row>
    <row r="21" spans="1:4">
      <c r="A21" s="281" t="s">
        <v>116</v>
      </c>
      <c r="B21" s="282" t="s">
        <v>117</v>
      </c>
      <c r="C21" s="283">
        <v>1.6</v>
      </c>
      <c r="D21" t="s">
        <v>118</v>
      </c>
    </row>
    <row r="22" ht="24" spans="1:4">
      <c r="A22" s="294" t="s">
        <v>119</v>
      </c>
      <c r="B22" s="282" t="s">
        <v>120</v>
      </c>
      <c r="C22" s="283">
        <v>1.4</v>
      </c>
      <c r="D22" t="s">
        <v>121</v>
      </c>
    </row>
    <row r="23" spans="1:4">
      <c r="A23" s="281" t="s">
        <v>122</v>
      </c>
      <c r="B23" s="282" t="s">
        <v>123</v>
      </c>
      <c r="C23" s="283">
        <v>2.2</v>
      </c>
    </row>
    <row r="24" ht="15.15" spans="1:4">
      <c r="A24" s="295"/>
      <c r="B24" s="296" t="s">
        <v>124</v>
      </c>
      <c r="C24" s="297">
        <v>2.5</v>
      </c>
    </row>
    <row r="25" spans="1:4">
      <c r="A25" s="298" t="s">
        <v>125</v>
      </c>
      <c r="B25" s="298"/>
      <c r="C25" s="298"/>
    </row>
    <row r="26" spans="1:4">
      <c r="A26" s="235"/>
      <c r="B26" s="235"/>
      <c r="C26" s="235"/>
    </row>
    <row r="27" ht="30.15" spans="1:4">
      <c r="A27" s="26" t="s">
        <v>126</v>
      </c>
      <c r="B27" s="26"/>
      <c r="C27" s="26"/>
    </row>
    <row r="28" spans="1:4">
      <c r="A28" s="278" t="s">
        <v>92</v>
      </c>
      <c r="B28" s="279" t="s">
        <v>93</v>
      </c>
      <c r="C28" s="280" t="s">
        <v>94</v>
      </c>
    </row>
    <row r="29" spans="1:4">
      <c r="A29" s="292" t="s">
        <v>122</v>
      </c>
      <c r="B29" s="282" t="s">
        <v>127</v>
      </c>
      <c r="C29" s="283">
        <v>1.6</v>
      </c>
    </row>
    <row r="30" spans="1:4">
      <c r="A30" s="293"/>
      <c r="B30" s="282" t="s">
        <v>128</v>
      </c>
      <c r="C30" s="283">
        <v>1.4</v>
      </c>
    </row>
    <row r="31" spans="1:4">
      <c r="A31" s="293"/>
      <c r="B31" s="282" t="s">
        <v>129</v>
      </c>
      <c r="C31" s="283">
        <v>1.2</v>
      </c>
    </row>
    <row r="32" ht="15.15" spans="1:4">
      <c r="A32" s="299"/>
      <c r="B32" s="296" t="s">
        <v>130</v>
      </c>
      <c r="C32" s="297">
        <v>0.9</v>
      </c>
    </row>
    <row r="33" spans="1:3">
      <c r="A33" s="235" t="s">
        <v>131</v>
      </c>
      <c r="B33" s="235"/>
      <c r="C33" s="235"/>
    </row>
    <row r="34" spans="1:3">
      <c r="A34" s="235"/>
      <c r="B34" s="235"/>
      <c r="C34" s="235"/>
    </row>
    <row r="35" ht="30.15" spans="1:3">
      <c r="A35" s="26" t="s">
        <v>132</v>
      </c>
      <c r="B35" s="26"/>
      <c r="C35" s="26"/>
    </row>
    <row r="36" spans="1:3">
      <c r="A36" s="278" t="s">
        <v>92</v>
      </c>
      <c r="B36" s="279" t="s">
        <v>93</v>
      </c>
      <c r="C36" s="280" t="s">
        <v>94</v>
      </c>
    </row>
    <row r="37" spans="1:3">
      <c r="A37" s="292" t="s">
        <v>122</v>
      </c>
      <c r="B37" s="282" t="s">
        <v>133</v>
      </c>
      <c r="C37" s="283">
        <v>1.5</v>
      </c>
    </row>
    <row r="38" ht="24" spans="1:3">
      <c r="A38" s="293"/>
      <c r="B38" s="282" t="s">
        <v>134</v>
      </c>
      <c r="C38" s="283">
        <v>1.3</v>
      </c>
    </row>
    <row r="39" spans="1:3">
      <c r="A39" s="293"/>
      <c r="B39" s="282" t="s">
        <v>135</v>
      </c>
      <c r="C39" s="283">
        <v>1.2</v>
      </c>
    </row>
    <row r="40" ht="24.75" spans="1:3">
      <c r="A40" s="299"/>
      <c r="B40" s="296" t="s">
        <v>136</v>
      </c>
      <c r="C40" s="297">
        <v>1.1</v>
      </c>
    </row>
    <row r="41" spans="1:3">
      <c r="A41" s="235" t="s">
        <v>137</v>
      </c>
      <c r="B41" s="235"/>
      <c r="C41" s="235"/>
    </row>
  </sheetData>
  <sheetProtection formatCells="0" formatColumns="0" formatRows="0" insertRows="0" insertColumns="0" insertHyperlinks="0" deleteColumns="0" deleteRows="0" sort="0" autoFilter="0" pivotTables="0"/>
  <mergeCells count="11">
    <mergeCell ref="A3:C3"/>
    <mergeCell ref="A25:C25"/>
    <mergeCell ref="A27:C27"/>
    <mergeCell ref="A35:C35"/>
    <mergeCell ref="A5:A7"/>
    <mergeCell ref="A8:A9"/>
    <mergeCell ref="A10:A17"/>
    <mergeCell ref="A18:A20"/>
    <mergeCell ref="A23:A24"/>
    <mergeCell ref="A29:A32"/>
    <mergeCell ref="A37:A40"/>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E10"/>
  <sheetViews>
    <sheetView zoomScale="190" zoomScaleNormal="190" workbookViewId="0">
      <selection activeCell="T32" sqref="T32"/>
    </sheetView>
  </sheetViews>
  <sheetFormatPr defaultColWidth="27" defaultRowHeight="14.4" outlineLevelCol="4"/>
  <cols>
    <col min="1" max="1" width="5.37962962962963" customWidth="1"/>
    <col min="2" max="2" width="11.1296296296296" customWidth="1"/>
    <col min="3" max="3" width="16" customWidth="1"/>
    <col min="4" max="4" width="12.1296296296296" customWidth="1"/>
    <col min="5" max="16384" width="27" customWidth="1"/>
  </cols>
  <sheetData>
    <row r="1" customFormat="1" ht="20.4" spans="1:5">
      <c r="A1" s="25" t="s">
        <v>138</v>
      </c>
      <c r="B1" s="235"/>
      <c r="C1" s="235"/>
      <c r="D1" s="235"/>
      <c r="E1" s="235"/>
    </row>
    <row r="2" ht="20.4" spans="1:5">
      <c r="A2" s="218"/>
      <c r="B2" s="235"/>
      <c r="C2" s="235"/>
      <c r="D2" s="235"/>
      <c r="E2" s="235"/>
    </row>
    <row r="3" ht="30.15" spans="1:5">
      <c r="A3" s="26" t="s">
        <v>74</v>
      </c>
      <c r="B3" s="26"/>
      <c r="C3" s="26"/>
      <c r="D3" s="26"/>
      <c r="E3" s="26"/>
    </row>
    <row r="4" spans="1:5">
      <c r="A4" s="278" t="s">
        <v>1</v>
      </c>
      <c r="B4" s="279" t="s">
        <v>139</v>
      </c>
      <c r="C4" s="221" t="s">
        <v>140</v>
      </c>
      <c r="D4" s="279" t="s">
        <v>141</v>
      </c>
      <c r="E4" s="280" t="s">
        <v>142</v>
      </c>
    </row>
    <row r="5" spans="1:5">
      <c r="A5" s="281"/>
      <c r="B5" s="282"/>
      <c r="C5" s="224"/>
      <c r="D5" s="282"/>
      <c r="E5" s="283"/>
    </row>
    <row r="6" ht="24" spans="1:5">
      <c r="A6" s="284">
        <v>1</v>
      </c>
      <c r="B6" s="285" t="s">
        <v>143</v>
      </c>
      <c r="C6" s="227" t="s">
        <v>144</v>
      </c>
      <c r="D6" s="227">
        <v>38</v>
      </c>
      <c r="E6" s="286" t="s">
        <v>145</v>
      </c>
    </row>
    <row r="7" spans="1:5">
      <c r="A7" s="284">
        <v>2</v>
      </c>
      <c r="B7" s="285" t="s">
        <v>146</v>
      </c>
      <c r="C7" s="227" t="s">
        <v>147</v>
      </c>
      <c r="D7" s="227">
        <v>44</v>
      </c>
      <c r="E7" s="286">
        <v>88</v>
      </c>
    </row>
    <row r="8" spans="1:5">
      <c r="A8" s="284"/>
      <c r="B8" s="285"/>
      <c r="C8" s="227" t="s">
        <v>148</v>
      </c>
      <c r="D8" s="227">
        <v>38</v>
      </c>
      <c r="E8" s="286"/>
    </row>
    <row r="9" ht="15.15" spans="1:5">
      <c r="A9" s="287">
        <v>3</v>
      </c>
      <c r="B9" s="288" t="s">
        <v>149</v>
      </c>
      <c r="C9" s="289" t="s">
        <v>150</v>
      </c>
      <c r="D9" s="289">
        <v>38</v>
      </c>
      <c r="E9" s="290">
        <v>73</v>
      </c>
    </row>
    <row r="10" spans="1:5">
      <c r="A10" s="291" t="s">
        <v>151</v>
      </c>
      <c r="B10" s="235"/>
      <c r="C10" s="235"/>
      <c r="D10" s="235"/>
      <c r="E10" s="235"/>
    </row>
  </sheetData>
  <sheetProtection formatCells="0" formatColumns="0" formatRows="0" insertRows="0" insertColumns="0" insertHyperlinks="0" deleteColumns="0" deleteRows="0" sort="0" autoFilter="0" pivotTables="0"/>
  <mergeCells count="9">
    <mergeCell ref="A3:E3"/>
    <mergeCell ref="A4:A5"/>
    <mergeCell ref="A7:A8"/>
    <mergeCell ref="B4:B5"/>
    <mergeCell ref="B7:B8"/>
    <mergeCell ref="C4:C5"/>
    <mergeCell ref="D4:D5"/>
    <mergeCell ref="E4:E5"/>
    <mergeCell ref="E7:E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F19"/>
  <sheetViews>
    <sheetView zoomScale="130" zoomScaleNormal="130" workbookViewId="0">
      <selection activeCell="T32" sqref="T32"/>
    </sheetView>
  </sheetViews>
  <sheetFormatPr defaultColWidth="9" defaultRowHeight="14.4" outlineLevelCol="5"/>
  <cols>
    <col min="1" max="1" width="11.5" customWidth="1"/>
    <col min="2" max="2" width="27.5" customWidth="1"/>
    <col min="3" max="5" width="19" customWidth="1"/>
    <col min="6" max="6" width="45.2592592592593" customWidth="1"/>
  </cols>
  <sheetData>
    <row r="1" ht="20.4" spans="1:6">
      <c r="A1" s="25" t="s">
        <v>152</v>
      </c>
      <c r="B1" s="235"/>
      <c r="C1" s="235"/>
      <c r="D1" s="235"/>
      <c r="E1" s="235"/>
      <c r="F1" s="235"/>
    </row>
    <row r="2" ht="20.4" spans="1:6">
      <c r="A2" s="25"/>
      <c r="B2" s="235"/>
      <c r="C2" s="235"/>
      <c r="D2" s="235"/>
      <c r="E2" s="235"/>
      <c r="F2" s="235"/>
    </row>
    <row r="3" ht="30.15" spans="1:6">
      <c r="A3" s="26" t="s">
        <v>75</v>
      </c>
      <c r="B3" s="26"/>
      <c r="C3" s="26"/>
      <c r="D3" s="26"/>
      <c r="E3" s="26"/>
      <c r="F3" s="26"/>
    </row>
    <row r="4" spans="1:6">
      <c r="A4" s="265" t="s">
        <v>1</v>
      </c>
      <c r="B4" s="266" t="s">
        <v>153</v>
      </c>
      <c r="C4" s="266" t="s">
        <v>154</v>
      </c>
      <c r="D4" s="266" t="s">
        <v>155</v>
      </c>
      <c r="E4" s="266" t="s">
        <v>156</v>
      </c>
      <c r="F4" s="267" t="s">
        <v>157</v>
      </c>
    </row>
    <row r="5" spans="1:6">
      <c r="A5" s="268">
        <v>1</v>
      </c>
      <c r="B5" s="269" t="s">
        <v>158</v>
      </c>
      <c r="C5" s="270">
        <v>9</v>
      </c>
      <c r="D5" s="271">
        <v>3300</v>
      </c>
      <c r="E5" s="271">
        <v>31</v>
      </c>
      <c r="F5" s="252" t="s">
        <v>159</v>
      </c>
    </row>
    <row r="6" spans="1:6">
      <c r="A6" s="268">
        <v>2</v>
      </c>
      <c r="B6" s="269" t="s">
        <v>160</v>
      </c>
      <c r="C6" s="270">
        <v>23</v>
      </c>
      <c r="D6" s="271">
        <v>7400</v>
      </c>
      <c r="E6" s="271">
        <v>911</v>
      </c>
      <c r="F6" s="272" t="s">
        <v>161</v>
      </c>
    </row>
    <row r="7" spans="1:6">
      <c r="A7" s="268">
        <v>3</v>
      </c>
      <c r="B7" s="269" t="s">
        <v>162</v>
      </c>
      <c r="C7" s="270">
        <v>17</v>
      </c>
      <c r="D7" s="271">
        <v>5200</v>
      </c>
      <c r="E7" s="271">
        <v>444</v>
      </c>
      <c r="F7" s="272" t="s">
        <v>163</v>
      </c>
    </row>
    <row r="8" spans="1:6">
      <c r="A8" s="268">
        <v>4</v>
      </c>
      <c r="B8" s="269" t="s">
        <v>164</v>
      </c>
      <c r="C8" s="270">
        <v>21</v>
      </c>
      <c r="D8" s="271">
        <v>6190</v>
      </c>
      <c r="E8" s="271">
        <v>600</v>
      </c>
      <c r="F8" s="272" t="s">
        <v>165</v>
      </c>
    </row>
    <row r="9" spans="1:6">
      <c r="A9" s="268">
        <v>5</v>
      </c>
      <c r="B9" s="269" t="s">
        <v>166</v>
      </c>
      <c r="C9" s="270">
        <v>9</v>
      </c>
      <c r="D9" s="271">
        <v>3300</v>
      </c>
      <c r="E9" s="271">
        <v>741</v>
      </c>
      <c r="F9" s="272" t="s">
        <v>167</v>
      </c>
    </row>
    <row r="10" spans="1:6">
      <c r="A10" s="268">
        <v>6</v>
      </c>
      <c r="B10" s="269" t="s">
        <v>168</v>
      </c>
      <c r="C10" s="270">
        <v>12</v>
      </c>
      <c r="D10" s="271">
        <v>6000</v>
      </c>
      <c r="E10" s="271">
        <v>107</v>
      </c>
      <c r="F10" s="272" t="s">
        <v>169</v>
      </c>
    </row>
    <row r="11" spans="1:6">
      <c r="A11" s="268">
        <v>7</v>
      </c>
      <c r="B11" s="269" t="s">
        <v>170</v>
      </c>
      <c r="C11" s="270">
        <v>20</v>
      </c>
      <c r="D11" s="271">
        <v>10000</v>
      </c>
      <c r="E11" s="271">
        <v>82</v>
      </c>
      <c r="F11" s="272"/>
    </row>
    <row r="12" spans="1:6">
      <c r="A12" s="268">
        <v>8</v>
      </c>
      <c r="B12" s="269" t="s">
        <v>171</v>
      </c>
      <c r="C12" s="270">
        <v>15</v>
      </c>
      <c r="D12" s="271">
        <v>6560</v>
      </c>
      <c r="E12" s="271">
        <v>134</v>
      </c>
      <c r="F12" s="272" t="s">
        <v>172</v>
      </c>
    </row>
    <row r="13" spans="1:6">
      <c r="A13" s="268">
        <v>9</v>
      </c>
      <c r="B13" s="269" t="s">
        <v>112</v>
      </c>
      <c r="C13" s="270">
        <v>26</v>
      </c>
      <c r="D13" s="271">
        <v>3820</v>
      </c>
      <c r="E13" s="271">
        <v>317</v>
      </c>
      <c r="F13" s="272" t="s">
        <v>173</v>
      </c>
    </row>
    <row r="14" spans="1:6">
      <c r="A14" s="268">
        <v>10</v>
      </c>
      <c r="B14" s="269" t="s">
        <v>100</v>
      </c>
      <c r="C14" s="270">
        <v>22</v>
      </c>
      <c r="D14" s="271">
        <v>2570</v>
      </c>
      <c r="E14" s="271">
        <v>286</v>
      </c>
      <c r="F14" s="272" t="s">
        <v>174</v>
      </c>
    </row>
    <row r="15" spans="1:6">
      <c r="A15" s="268">
        <v>11</v>
      </c>
      <c r="B15" s="269" t="s">
        <v>175</v>
      </c>
      <c r="C15" s="270">
        <v>6</v>
      </c>
      <c r="D15" s="271">
        <v>1800</v>
      </c>
      <c r="E15" s="271">
        <v>0</v>
      </c>
      <c r="F15" s="252" t="s">
        <v>176</v>
      </c>
    </row>
    <row r="16" spans="1:6">
      <c r="A16" s="268">
        <v>12</v>
      </c>
      <c r="B16" s="269" t="s">
        <v>177</v>
      </c>
      <c r="C16" s="270">
        <v>5</v>
      </c>
      <c r="D16" s="271">
        <v>2500</v>
      </c>
      <c r="E16" s="271">
        <v>20</v>
      </c>
      <c r="F16" s="272"/>
    </row>
    <row r="17" spans="1:6">
      <c r="A17" s="268">
        <v>13</v>
      </c>
      <c r="B17" s="269" t="s">
        <v>103</v>
      </c>
      <c r="C17" s="270">
        <v>112</v>
      </c>
      <c r="D17" s="271">
        <v>75700</v>
      </c>
      <c r="E17" s="271">
        <v>335</v>
      </c>
      <c r="F17" s="272" t="s">
        <v>178</v>
      </c>
    </row>
    <row r="18" ht="15.15" spans="1:6">
      <c r="A18" s="273" t="s">
        <v>179</v>
      </c>
      <c r="B18" s="274"/>
      <c r="C18" s="274">
        <f>SUM(C5:C17)</f>
        <v>297</v>
      </c>
      <c r="D18" s="274">
        <f>SUM(D5:D17)</f>
        <v>134340</v>
      </c>
      <c r="E18" s="274">
        <f>SUM(E5:E17)</f>
        <v>4008</v>
      </c>
      <c r="F18" s="275"/>
    </row>
    <row r="19" ht="94" customHeight="1" spans="1:6">
      <c r="A19" s="276" t="s">
        <v>180</v>
      </c>
      <c r="B19" s="277"/>
      <c r="C19" s="277"/>
      <c r="D19" s="277"/>
      <c r="E19" s="277"/>
      <c r="F19" s="277"/>
    </row>
  </sheetData>
  <sheetProtection formatCells="0" formatColumns="0" formatRows="0" insertRows="0" insertColumns="0" insertHyperlinks="0" deleteColumns="0" deleteRows="0" sort="0" autoFilter="0" pivotTables="0"/>
  <mergeCells count="3">
    <mergeCell ref="A3:F3"/>
    <mergeCell ref="A18:B18"/>
    <mergeCell ref="A19:F19"/>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F37"/>
  <sheetViews>
    <sheetView topLeftCell="A13" workbookViewId="0">
      <selection activeCell="T32" sqref="T32"/>
    </sheetView>
  </sheetViews>
  <sheetFormatPr defaultColWidth="9" defaultRowHeight="14.4" outlineLevelCol="5"/>
  <cols>
    <col min="1" max="1" width="15.1111111111111" style="235" customWidth="1"/>
    <col min="2" max="2" width="29.8796296296296" style="235" customWidth="1"/>
    <col min="3" max="3" width="9.4537037037037" style="235" customWidth="1"/>
    <col min="4" max="4" width="13.037037037037" style="235" customWidth="1"/>
    <col min="5" max="5" width="10.5462962962963" style="235" customWidth="1"/>
    <col min="6" max="6" width="145.37962962963" style="235" customWidth="1"/>
    <col min="7" max="16384" width="9" style="235"/>
  </cols>
  <sheetData>
    <row r="1" s="235" customFormat="1" ht="20.4" spans="1:6">
      <c r="A1" s="64" t="s">
        <v>181</v>
      </c>
    </row>
    <row r="2" s="235" customFormat="1" ht="20.4" spans="1:6">
      <c r="A2" s="240"/>
    </row>
    <row r="3" s="235" customFormat="1" ht="36" customHeight="1" spans="1:6">
      <c r="A3" s="26" t="s">
        <v>76</v>
      </c>
      <c r="B3" s="26"/>
      <c r="C3" s="26"/>
      <c r="D3" s="26"/>
      <c r="E3" s="26"/>
      <c r="F3" s="26"/>
    </row>
    <row r="4" s="235" customFormat="1" spans="1:6">
      <c r="A4" s="241" t="s">
        <v>182</v>
      </c>
      <c r="B4" s="242" t="s">
        <v>183</v>
      </c>
      <c r="C4" s="242" t="s">
        <v>184</v>
      </c>
      <c r="D4" s="242" t="s">
        <v>185</v>
      </c>
      <c r="E4" s="242" t="s">
        <v>186</v>
      </c>
      <c r="F4" s="243" t="s">
        <v>187</v>
      </c>
    </row>
    <row r="5" s="235" customFormat="1" spans="1:6">
      <c r="A5" s="244"/>
      <c r="B5" s="245"/>
      <c r="C5" s="245"/>
      <c r="D5" s="245"/>
      <c r="E5" s="245"/>
      <c r="F5" s="246"/>
    </row>
    <row r="6" s="235" customFormat="1" ht="19" customHeight="1" spans="1:6">
      <c r="A6" s="244" t="s">
        <v>188</v>
      </c>
      <c r="B6" s="247" t="s">
        <v>189</v>
      </c>
      <c r="C6" s="245" t="s">
        <v>190</v>
      </c>
      <c r="D6" s="245">
        <v>0</v>
      </c>
      <c r="E6" s="245" t="s">
        <v>191</v>
      </c>
      <c r="F6" s="248" t="s">
        <v>192</v>
      </c>
    </row>
    <row r="7" s="235" customFormat="1" ht="29" customHeight="1" spans="1:6">
      <c r="A7" s="249"/>
      <c r="B7" s="250" t="s">
        <v>193</v>
      </c>
      <c r="C7" s="251" t="s">
        <v>194</v>
      </c>
      <c r="D7" s="251">
        <v>0</v>
      </c>
      <c r="E7" s="251" t="s">
        <v>195</v>
      </c>
      <c r="F7" s="252" t="s">
        <v>196</v>
      </c>
    </row>
    <row r="8" s="235" customFormat="1" ht="19" customHeight="1" spans="1:6">
      <c r="A8" s="249"/>
      <c r="B8" s="250" t="s">
        <v>197</v>
      </c>
      <c r="C8" s="251"/>
      <c r="D8" s="251"/>
      <c r="E8" s="251" t="s">
        <v>195</v>
      </c>
      <c r="F8" s="252" t="s">
        <v>198</v>
      </c>
    </row>
    <row r="9" s="236" customFormat="1" ht="29" customHeight="1" spans="1:6">
      <c r="A9" s="249"/>
      <c r="B9" s="250" t="s">
        <v>199</v>
      </c>
      <c r="C9" s="251" t="s">
        <v>200</v>
      </c>
      <c r="D9" s="250"/>
      <c r="E9" s="251" t="s">
        <v>195</v>
      </c>
      <c r="F9" s="252" t="s">
        <v>201</v>
      </c>
    </row>
    <row r="10" s="235" customFormat="1" ht="19" customHeight="1" spans="1:6">
      <c r="A10" s="249"/>
      <c r="B10" s="250" t="s">
        <v>202</v>
      </c>
      <c r="C10" s="251"/>
      <c r="D10" s="251"/>
      <c r="E10" s="251" t="s">
        <v>191</v>
      </c>
      <c r="F10" s="252" t="s">
        <v>203</v>
      </c>
    </row>
    <row r="11" s="237" customFormat="1" ht="19" customHeight="1" spans="1:6">
      <c r="A11" s="249" t="s">
        <v>160</v>
      </c>
      <c r="B11" s="250" t="s">
        <v>204</v>
      </c>
      <c r="C11" s="251" t="s">
        <v>200</v>
      </c>
      <c r="D11" s="251"/>
      <c r="E11" s="251" t="s">
        <v>191</v>
      </c>
      <c r="F11" s="252" t="s">
        <v>205</v>
      </c>
    </row>
    <row r="12" s="236" customFormat="1" ht="19" customHeight="1" spans="1:6">
      <c r="A12" s="249"/>
      <c r="B12" s="253" t="s">
        <v>206</v>
      </c>
      <c r="C12" s="251" t="s">
        <v>190</v>
      </c>
      <c r="D12" s="251"/>
      <c r="E12" s="251" t="s">
        <v>207</v>
      </c>
      <c r="F12" s="252" t="s">
        <v>208</v>
      </c>
    </row>
    <row r="13" s="235" customFormat="1" ht="19" customHeight="1" spans="1:6">
      <c r="A13" s="249"/>
      <c r="B13" s="253" t="s">
        <v>209</v>
      </c>
      <c r="C13" s="251" t="s">
        <v>210</v>
      </c>
      <c r="D13" s="251"/>
      <c r="E13" s="251" t="s">
        <v>195</v>
      </c>
      <c r="F13" s="252" t="s">
        <v>211</v>
      </c>
    </row>
    <row r="14" s="235" customFormat="1" ht="19" customHeight="1" spans="1:6">
      <c r="A14" s="249"/>
      <c r="B14" s="250" t="s">
        <v>212</v>
      </c>
      <c r="C14" s="251" t="s">
        <v>210</v>
      </c>
      <c r="D14" s="251"/>
      <c r="E14" s="251" t="s">
        <v>195</v>
      </c>
      <c r="F14" s="252" t="s">
        <v>213</v>
      </c>
    </row>
    <row r="15" s="238" customFormat="1" ht="19" customHeight="1" spans="1:6">
      <c r="A15" s="254"/>
      <c r="B15" s="255" t="s">
        <v>214</v>
      </c>
      <c r="C15" s="256" t="s">
        <v>215</v>
      </c>
      <c r="D15" s="256"/>
      <c r="E15" s="256" t="s">
        <v>216</v>
      </c>
      <c r="F15" s="257" t="s">
        <v>217</v>
      </c>
    </row>
    <row r="16" s="238" customFormat="1" ht="29" customHeight="1" spans="1:6">
      <c r="A16" s="254"/>
      <c r="B16" s="255" t="s">
        <v>218</v>
      </c>
      <c r="C16" s="256" t="s">
        <v>215</v>
      </c>
      <c r="D16" s="256"/>
      <c r="E16" s="256" t="s">
        <v>216</v>
      </c>
      <c r="F16" s="257" t="s">
        <v>219</v>
      </c>
    </row>
    <row r="17" s="238" customFormat="1" ht="19" customHeight="1" spans="1:6">
      <c r="A17" s="254" t="s">
        <v>220</v>
      </c>
      <c r="B17" s="255" t="s">
        <v>221</v>
      </c>
      <c r="C17" s="256" t="s">
        <v>200</v>
      </c>
      <c r="D17" s="256"/>
      <c r="E17" s="256" t="s">
        <v>222</v>
      </c>
      <c r="F17" s="257" t="s">
        <v>223</v>
      </c>
    </row>
    <row r="18" s="239" customFormat="1" ht="19" customHeight="1" spans="1:6">
      <c r="A18" s="258"/>
      <c r="B18" s="255" t="s">
        <v>224</v>
      </c>
      <c r="C18" s="256" t="s">
        <v>200</v>
      </c>
      <c r="D18" s="256"/>
      <c r="E18" s="256" t="s">
        <v>216</v>
      </c>
      <c r="F18" s="257" t="s">
        <v>225</v>
      </c>
    </row>
    <row r="19" s="238" customFormat="1" ht="19" customHeight="1" spans="1:6">
      <c r="A19" s="254"/>
      <c r="B19" s="255" t="s">
        <v>226</v>
      </c>
      <c r="C19" s="256" t="s">
        <v>227</v>
      </c>
      <c r="D19" s="256"/>
      <c r="E19" s="256" t="s">
        <v>207</v>
      </c>
      <c r="F19" s="257" t="s">
        <v>228</v>
      </c>
    </row>
    <row r="20" s="238" customFormat="1" ht="19" customHeight="1" spans="1:6">
      <c r="A20" s="254"/>
      <c r="B20" s="255" t="s">
        <v>229</v>
      </c>
      <c r="C20" s="256" t="s">
        <v>200</v>
      </c>
      <c r="D20" s="256"/>
      <c r="E20" s="256" t="s">
        <v>222</v>
      </c>
      <c r="F20" s="257" t="s">
        <v>230</v>
      </c>
    </row>
    <row r="21" s="238" customFormat="1" ht="19" customHeight="1" spans="1:6">
      <c r="A21" s="254"/>
      <c r="B21" s="255" t="s">
        <v>231</v>
      </c>
      <c r="C21" s="256" t="s">
        <v>200</v>
      </c>
      <c r="D21" s="256"/>
      <c r="E21" s="256" t="s">
        <v>216</v>
      </c>
      <c r="F21" s="257" t="s">
        <v>232</v>
      </c>
    </row>
    <row r="22" s="238" customFormat="1" ht="19" customHeight="1" spans="1:6">
      <c r="A22" s="254"/>
      <c r="B22" s="255" t="s">
        <v>233</v>
      </c>
      <c r="C22" s="256" t="s">
        <v>234</v>
      </c>
      <c r="D22" s="256" t="s">
        <v>235</v>
      </c>
      <c r="E22" s="256" t="s">
        <v>191</v>
      </c>
      <c r="F22" s="257" t="s">
        <v>236</v>
      </c>
    </row>
    <row r="23" s="238" customFormat="1" ht="19" customHeight="1" spans="1:6">
      <c r="A23" s="254"/>
      <c r="B23" s="255" t="s">
        <v>237</v>
      </c>
      <c r="C23" s="256"/>
      <c r="D23" s="256"/>
      <c r="E23" s="256" t="s">
        <v>238</v>
      </c>
      <c r="F23" s="257" t="s">
        <v>239</v>
      </c>
    </row>
    <row r="24" s="238" customFormat="1" ht="19" customHeight="1" spans="1:6">
      <c r="A24" s="254" t="s">
        <v>164</v>
      </c>
      <c r="B24" s="255" t="s">
        <v>240</v>
      </c>
      <c r="C24" s="256" t="s">
        <v>241</v>
      </c>
      <c r="D24" s="256">
        <v>0</v>
      </c>
      <c r="E24" s="256" t="s">
        <v>195</v>
      </c>
      <c r="F24" s="257" t="s">
        <v>242</v>
      </c>
    </row>
    <row r="25" s="238" customFormat="1" ht="19" customHeight="1" spans="1:6">
      <c r="A25" s="254"/>
      <c r="B25" s="255" t="s">
        <v>243</v>
      </c>
      <c r="C25" s="256"/>
      <c r="D25" s="256"/>
      <c r="E25" s="256" t="s">
        <v>191</v>
      </c>
      <c r="F25" s="257" t="s">
        <v>244</v>
      </c>
    </row>
    <row r="26" s="235" customFormat="1" ht="19" customHeight="1" spans="1:6">
      <c r="A26" s="249"/>
      <c r="B26" s="253" t="s">
        <v>245</v>
      </c>
      <c r="C26" s="251"/>
      <c r="D26" s="251"/>
      <c r="E26" s="251" t="s">
        <v>195</v>
      </c>
      <c r="F26" s="252" t="s">
        <v>246</v>
      </c>
    </row>
    <row r="27" s="235" customFormat="1" ht="19" customHeight="1" spans="1:6">
      <c r="A27" s="249"/>
      <c r="B27" s="253" t="s">
        <v>247</v>
      </c>
      <c r="C27" s="251"/>
      <c r="D27" s="251"/>
      <c r="E27" s="251" t="s">
        <v>248</v>
      </c>
      <c r="F27" s="252" t="s">
        <v>249</v>
      </c>
    </row>
    <row r="28" s="235" customFormat="1" ht="19" customHeight="1" spans="1:6">
      <c r="A28" s="249" t="s">
        <v>166</v>
      </c>
      <c r="B28" s="253" t="s">
        <v>206</v>
      </c>
      <c r="C28" s="251" t="s">
        <v>190</v>
      </c>
      <c r="D28" s="251"/>
      <c r="E28" s="251" t="s">
        <v>207</v>
      </c>
      <c r="F28" s="252" t="s">
        <v>208</v>
      </c>
    </row>
    <row r="29" s="235" customFormat="1" ht="29" customHeight="1" spans="1:6">
      <c r="A29" s="249"/>
      <c r="B29" s="253" t="s">
        <v>250</v>
      </c>
      <c r="C29" s="251" t="s">
        <v>200</v>
      </c>
      <c r="D29" s="251">
        <v>0.8</v>
      </c>
      <c r="E29" s="251" t="s">
        <v>191</v>
      </c>
      <c r="F29" s="252" t="s">
        <v>251</v>
      </c>
    </row>
    <row r="30" s="235" customFormat="1" ht="24" spans="1:6">
      <c r="A30" s="249"/>
      <c r="B30" s="253" t="s">
        <v>252</v>
      </c>
      <c r="C30" s="251" t="s">
        <v>190</v>
      </c>
      <c r="D30" s="251">
        <v>3</v>
      </c>
      <c r="E30" s="251" t="s">
        <v>191</v>
      </c>
      <c r="F30" s="252" t="s">
        <v>253</v>
      </c>
    </row>
    <row r="31" s="235" customFormat="1" ht="19" customHeight="1" spans="1:6">
      <c r="A31" s="249" t="s">
        <v>112</v>
      </c>
      <c r="B31" s="253" t="s">
        <v>254</v>
      </c>
      <c r="C31" s="251" t="s">
        <v>200</v>
      </c>
      <c r="D31" s="251">
        <v>1.5</v>
      </c>
      <c r="E31" s="251" t="s">
        <v>191</v>
      </c>
      <c r="F31" s="252" t="s">
        <v>255</v>
      </c>
    </row>
    <row r="32" s="235" customFormat="1" ht="19" customHeight="1" spans="1:6">
      <c r="A32" s="249"/>
      <c r="B32" s="253" t="s">
        <v>256</v>
      </c>
      <c r="C32" s="251" t="s">
        <v>241</v>
      </c>
      <c r="D32" s="251">
        <v>0</v>
      </c>
      <c r="E32" s="251" t="s">
        <v>191</v>
      </c>
      <c r="F32" s="252" t="s">
        <v>257</v>
      </c>
    </row>
    <row r="33" s="235" customFormat="1" ht="19" customHeight="1" spans="1:6">
      <c r="A33" s="249"/>
      <c r="B33" s="253" t="s">
        <v>258</v>
      </c>
      <c r="C33" s="251" t="s">
        <v>259</v>
      </c>
      <c r="D33" s="251">
        <v>2</v>
      </c>
      <c r="E33" s="251" t="s">
        <v>191</v>
      </c>
      <c r="F33" s="252" t="s">
        <v>260</v>
      </c>
    </row>
    <row r="34" s="235" customFormat="1" ht="19" customHeight="1" spans="1:6">
      <c r="A34" s="249" t="s">
        <v>103</v>
      </c>
      <c r="B34" s="253" t="s">
        <v>261</v>
      </c>
      <c r="C34" s="251" t="s">
        <v>262</v>
      </c>
      <c r="D34" s="251">
        <v>4000</v>
      </c>
      <c r="E34" s="251" t="s">
        <v>191</v>
      </c>
      <c r="F34" s="252" t="s">
        <v>263</v>
      </c>
    </row>
    <row r="35" s="235" customFormat="1" ht="19" customHeight="1" spans="1:6">
      <c r="A35" s="249"/>
      <c r="B35" s="253" t="s">
        <v>264</v>
      </c>
      <c r="C35" s="259" t="s">
        <v>265</v>
      </c>
      <c r="D35" s="259">
        <v>415</v>
      </c>
      <c r="E35" s="251" t="s">
        <v>191</v>
      </c>
      <c r="F35" s="252" t="s">
        <v>266</v>
      </c>
    </row>
    <row r="36" s="235" customFormat="1" ht="19" customHeight="1" spans="1:6">
      <c r="A36" s="249"/>
      <c r="B36" s="253" t="s">
        <v>267</v>
      </c>
      <c r="C36" s="259" t="s">
        <v>268</v>
      </c>
      <c r="D36" s="259" t="s">
        <v>269</v>
      </c>
      <c r="E36" s="251" t="s">
        <v>248</v>
      </c>
      <c r="F36" s="252" t="s">
        <v>270</v>
      </c>
    </row>
    <row r="37" s="235" customFormat="1" ht="19" customHeight="1" spans="1:6">
      <c r="A37" s="260"/>
      <c r="B37" s="261" t="s">
        <v>271</v>
      </c>
      <c r="C37" s="262" t="s">
        <v>272</v>
      </c>
      <c r="D37" s="262">
        <v>50</v>
      </c>
      <c r="E37" s="263" t="s">
        <v>191</v>
      </c>
      <c r="F37" s="264" t="s">
        <v>273</v>
      </c>
    </row>
  </sheetData>
  <sheetProtection formatCells="0" formatColumns="0" formatRows="0" insertRows="0" insertColumns="0" insertHyperlinks="0" deleteColumns="0" deleteRows="0" sort="0" autoFilter="0" pivotTables="0"/>
  <mergeCells count="14">
    <mergeCell ref="A3:F3"/>
    <mergeCell ref="A4:A5"/>
    <mergeCell ref="A6:A10"/>
    <mergeCell ref="A11:A16"/>
    <mergeCell ref="A17:A23"/>
    <mergeCell ref="A24:A27"/>
    <mergeCell ref="A28:A30"/>
    <mergeCell ref="A31:A33"/>
    <mergeCell ref="A34:A37"/>
    <mergeCell ref="B4:B5"/>
    <mergeCell ref="C4:C5"/>
    <mergeCell ref="D4:D5"/>
    <mergeCell ref="E4:E5"/>
    <mergeCell ref="F4:F5"/>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E19"/>
  <sheetViews>
    <sheetView zoomScale="145" zoomScaleNormal="145" workbookViewId="0">
      <selection activeCell="G18" sqref="G18"/>
    </sheetView>
  </sheetViews>
  <sheetFormatPr defaultColWidth="9" defaultRowHeight="14.4" outlineLevelCol="4"/>
  <cols>
    <col min="1" max="1" width="14.6296296296296" style="215" customWidth="1"/>
    <col min="2" max="2" width="19.9907407407407" style="215" customWidth="1"/>
    <col min="3" max="5" width="14.6296296296296" style="215" customWidth="1"/>
    <col min="6" max="6" width="9" style="215"/>
    <col min="7" max="7" width="12.6296296296296" style="215"/>
    <col min="8" max="16384" width="9" style="215"/>
  </cols>
  <sheetData>
    <row r="1" s="17" customFormat="1" ht="20.4" spans="1:5">
      <c r="A1" s="25" t="s">
        <v>274</v>
      </c>
      <c r="B1" s="64"/>
      <c r="C1" s="217"/>
      <c r="D1" s="217"/>
      <c r="E1" s="217"/>
    </row>
    <row r="2" s="17" customFormat="1" ht="20.4" spans="1:5">
      <c r="A2" s="218"/>
      <c r="B2" s="64"/>
      <c r="C2" s="217"/>
      <c r="D2" s="217"/>
      <c r="E2" s="217"/>
    </row>
    <row r="3" s="215" customFormat="1" ht="30.15" spans="1:5">
      <c r="A3" s="26" t="s">
        <v>77</v>
      </c>
      <c r="B3" s="26"/>
      <c r="C3" s="26"/>
      <c r="D3" s="26"/>
      <c r="E3" s="26"/>
    </row>
    <row r="4" s="215" customFormat="1" ht="15" customHeight="1" spans="1:5">
      <c r="A4" s="219" t="s">
        <v>1</v>
      </c>
      <c r="B4" s="220" t="s">
        <v>53</v>
      </c>
      <c r="C4" s="221" t="s">
        <v>153</v>
      </c>
      <c r="D4" s="221" t="s">
        <v>275</v>
      </c>
      <c r="E4" s="222" t="s">
        <v>157</v>
      </c>
    </row>
    <row r="5" s="215" customFormat="1" ht="15" customHeight="1" spans="1:5">
      <c r="A5" s="223">
        <v>1</v>
      </c>
      <c r="B5" s="224" t="s">
        <v>276</v>
      </c>
      <c r="C5" s="224" t="s">
        <v>277</v>
      </c>
      <c r="D5" s="225">
        <v>7245.33333333333</v>
      </c>
      <c r="E5" s="226"/>
    </row>
    <row r="6" s="215" customFormat="1" ht="15" customHeight="1" spans="1:5">
      <c r="A6" s="223">
        <v>2</v>
      </c>
      <c r="B6" s="224" t="s">
        <v>278</v>
      </c>
      <c r="C6" s="224" t="s">
        <v>277</v>
      </c>
      <c r="D6" s="225">
        <v>1811.33333333333</v>
      </c>
      <c r="E6" s="226"/>
    </row>
    <row r="7" s="215" customFormat="1" ht="15" customHeight="1" spans="1:5">
      <c r="A7" s="223">
        <v>3</v>
      </c>
      <c r="B7" s="224" t="s">
        <v>279</v>
      </c>
      <c r="C7" s="224" t="s">
        <v>277</v>
      </c>
      <c r="D7" s="225">
        <v>3622.66666666667</v>
      </c>
      <c r="E7" s="226"/>
    </row>
    <row r="8" s="215" customFormat="1" ht="15" customHeight="1" spans="1:5">
      <c r="A8" s="223">
        <v>4</v>
      </c>
      <c r="B8" s="224" t="s">
        <v>280</v>
      </c>
      <c r="C8" s="224" t="s">
        <v>277</v>
      </c>
      <c r="D8" s="225">
        <v>16302</v>
      </c>
      <c r="E8" s="226" t="s">
        <v>281</v>
      </c>
    </row>
    <row r="9" s="215" customFormat="1" ht="15" customHeight="1" spans="1:5">
      <c r="A9" s="223">
        <v>5</v>
      </c>
      <c r="B9" s="224" t="s">
        <v>282</v>
      </c>
      <c r="C9" s="224" t="s">
        <v>277</v>
      </c>
      <c r="D9" s="225">
        <v>21736</v>
      </c>
      <c r="E9" s="226" t="s">
        <v>281</v>
      </c>
    </row>
    <row r="10" s="215" customFormat="1" ht="15" customHeight="1" spans="1:5">
      <c r="A10" s="223">
        <v>6</v>
      </c>
      <c r="B10" s="224" t="s">
        <v>283</v>
      </c>
      <c r="C10" s="224" t="s">
        <v>277</v>
      </c>
      <c r="D10" s="225">
        <v>3622.66666666667</v>
      </c>
      <c r="E10" s="226"/>
    </row>
    <row r="11" s="215" customFormat="1" ht="15" customHeight="1" spans="1:5">
      <c r="A11" s="223">
        <v>7</v>
      </c>
      <c r="B11" s="224" t="s">
        <v>284</v>
      </c>
      <c r="C11" s="224" t="s">
        <v>277</v>
      </c>
      <c r="D11" s="225">
        <v>1811.33333333333</v>
      </c>
      <c r="E11" s="226"/>
    </row>
    <row r="12" s="215" customFormat="1" ht="15" customHeight="1" spans="1:5">
      <c r="A12" s="223">
        <v>8</v>
      </c>
      <c r="B12" s="224" t="s">
        <v>285</v>
      </c>
      <c r="C12" s="224" t="s">
        <v>277</v>
      </c>
      <c r="D12" s="225">
        <v>1811.33333333333</v>
      </c>
      <c r="E12" s="226"/>
    </row>
    <row r="13" s="215" customFormat="1" ht="15" customHeight="1" spans="1:5">
      <c r="A13" s="223">
        <v>9</v>
      </c>
      <c r="B13" s="224" t="s">
        <v>286</v>
      </c>
      <c r="C13" s="224" t="s">
        <v>277</v>
      </c>
      <c r="D13" s="225">
        <v>1811.33333333333</v>
      </c>
      <c r="E13" s="226"/>
    </row>
    <row r="14" s="215" customFormat="1" ht="15" customHeight="1" spans="1:5">
      <c r="A14" s="223">
        <v>10</v>
      </c>
      <c r="B14" s="224" t="s">
        <v>287</v>
      </c>
      <c r="C14" s="224" t="s">
        <v>277</v>
      </c>
      <c r="D14" s="225">
        <v>5434</v>
      </c>
      <c r="E14" s="226"/>
    </row>
    <row r="15" s="215" customFormat="1" ht="15" customHeight="1" spans="1:5">
      <c r="A15" s="223">
        <v>11</v>
      </c>
      <c r="B15" s="224" t="s">
        <v>288</v>
      </c>
      <c r="C15" s="224" t="s">
        <v>277</v>
      </c>
      <c r="D15" s="225">
        <v>5434</v>
      </c>
      <c r="E15" s="226"/>
    </row>
    <row r="16" s="215" customFormat="1" ht="15" customHeight="1" spans="1:5">
      <c r="A16" s="223">
        <v>12</v>
      </c>
      <c r="B16" s="224" t="s">
        <v>289</v>
      </c>
      <c r="C16" s="224" t="s">
        <v>277</v>
      </c>
      <c r="D16" s="225">
        <v>3622.66666666667</v>
      </c>
      <c r="E16" s="226"/>
    </row>
    <row r="17" s="216" customFormat="1" ht="15" customHeight="1" spans="1:5">
      <c r="A17" s="223">
        <v>13</v>
      </c>
      <c r="B17" s="227" t="s">
        <v>290</v>
      </c>
      <c r="C17" s="227" t="s">
        <v>291</v>
      </c>
      <c r="D17" s="228">
        <v>6000</v>
      </c>
      <c r="E17" s="229"/>
    </row>
    <row r="18" s="215" customFormat="1" ht="15" customHeight="1" spans="1:5">
      <c r="A18" s="230">
        <v>14</v>
      </c>
      <c r="B18" s="231" t="s">
        <v>292</v>
      </c>
      <c r="C18" s="231" t="s">
        <v>293</v>
      </c>
      <c r="D18" s="232">
        <v>104.866666666667</v>
      </c>
      <c r="E18" s="233"/>
    </row>
    <row r="19" s="215" customFormat="1" spans="1:5">
      <c r="A19" s="234"/>
      <c r="B19" s="234"/>
      <c r="C19" s="234"/>
      <c r="D19" s="234"/>
      <c r="E19" s="234"/>
    </row>
  </sheetData>
  <sheetProtection formatCells="0" formatColumns="0" formatRows="0" insertRows="0" insertColumns="0" insertHyperlinks="0" deleteColumns="0" deleteRows="0" sort="0" autoFilter="0" pivotTables="0"/>
  <mergeCells count="1">
    <mergeCell ref="A3:E3"/>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46"/>
  <sheetViews>
    <sheetView tabSelected="1" zoomScale="115" zoomScaleNormal="115" workbookViewId="0">
      <pane ySplit="2" topLeftCell="A3" activePane="bottomLeft" state="frozen"/>
      <selection/>
      <selection pane="bottomLeft" activeCell="R17" sqref="R17"/>
    </sheetView>
  </sheetViews>
  <sheetFormatPr defaultColWidth="4.87962962962963" defaultRowHeight="16" customHeight="1"/>
  <cols>
    <col min="1" max="1" width="12.5" style="19" customWidth="1"/>
    <col min="2" max="2" width="7.52777777777778" style="19" customWidth="1"/>
    <col min="3" max="3" width="18.8333333333333" style="19" customWidth="1"/>
    <col min="4" max="4" width="5.44444444444444" style="20" customWidth="1"/>
    <col min="5" max="6" width="10.7777777777778" style="22" customWidth="1"/>
    <col min="7" max="7" width="13.1296296296296" style="22" customWidth="1"/>
    <col min="8" max="9" width="13.4444444444444" style="207" customWidth="1"/>
    <col min="10" max="10" width="14.5555555555556" style="207" customWidth="1"/>
    <col min="11" max="11" width="11.2222222222222" style="207" customWidth="1"/>
    <col min="12" max="12" width="9.22222222222222" style="207" customWidth="1"/>
    <col min="13" max="13" width="11.2222222222222" style="207" customWidth="1"/>
    <col min="14" max="14" width="13.4444444444444" style="207" customWidth="1"/>
    <col min="15" max="15" width="15.5555555555556" style="207" customWidth="1"/>
    <col min="16" max="16" width="11.8888888888889" style="207" customWidth="1"/>
    <col min="17" max="16343" width="4.87962962962963" style="23"/>
  </cols>
  <sheetData>
    <row r="1" s="18" customFormat="1" ht="29.4" spans="1:16">
      <c r="A1" s="26" t="s">
        <v>294</v>
      </c>
      <c r="B1" s="26"/>
      <c r="C1" s="26"/>
      <c r="D1" s="26"/>
      <c r="E1" s="26"/>
      <c r="F1" s="26"/>
      <c r="G1" s="26"/>
      <c r="H1" s="146"/>
      <c r="I1" s="146"/>
      <c r="J1" s="146"/>
      <c r="K1" s="146"/>
      <c r="L1" s="146"/>
      <c r="M1" s="146"/>
      <c r="N1" s="146"/>
      <c r="O1" s="146"/>
      <c r="P1" s="146"/>
    </row>
    <row r="2" s="18" customFormat="1" customHeight="1" spans="1:16">
      <c r="A2" s="28"/>
      <c r="B2" s="28"/>
      <c r="C2" s="29"/>
      <c r="D2" s="29"/>
      <c r="E2" s="46"/>
      <c r="F2" s="46"/>
      <c r="G2" s="31"/>
      <c r="H2" s="212"/>
      <c r="I2" s="212"/>
      <c r="J2" s="212"/>
      <c r="K2" s="212"/>
      <c r="L2" s="212"/>
      <c r="M2" s="212"/>
      <c r="N2" s="212"/>
      <c r="O2" s="212"/>
      <c r="P2" s="212"/>
    </row>
    <row r="3" ht="29" customHeight="1" spans="1:16">
      <c r="A3" s="48" t="s">
        <v>1</v>
      </c>
      <c r="B3" s="48" t="s">
        <v>10</v>
      </c>
      <c r="C3" s="48" t="s">
        <v>8</v>
      </c>
      <c r="D3" s="48" t="s">
        <v>11</v>
      </c>
      <c r="E3" s="48" t="s">
        <v>295</v>
      </c>
      <c r="F3" s="48" t="s">
        <v>296</v>
      </c>
      <c r="G3" s="48" t="s">
        <v>297</v>
      </c>
      <c r="H3" s="133" t="s">
        <v>298</v>
      </c>
      <c r="I3" s="133" t="s">
        <v>299</v>
      </c>
      <c r="J3" s="133" t="s">
        <v>300</v>
      </c>
      <c r="K3" s="133" t="s">
        <v>301</v>
      </c>
      <c r="L3" s="133" t="s">
        <v>302</v>
      </c>
      <c r="M3" s="133" t="s">
        <v>303</v>
      </c>
      <c r="N3" s="133" t="s">
        <v>304</v>
      </c>
      <c r="O3" s="133" t="s">
        <v>305</v>
      </c>
      <c r="P3" s="133" t="s">
        <v>306</v>
      </c>
    </row>
    <row r="4" ht="19" customHeight="1" spans="1:16">
      <c r="A4" s="38">
        <f>ROW()-3</f>
        <v>1</v>
      </c>
      <c r="B4" s="38" t="s">
        <v>32</v>
      </c>
      <c r="C4" s="39" t="s">
        <v>307</v>
      </c>
      <c r="D4" s="38">
        <v>2</v>
      </c>
      <c r="E4" s="48">
        <f>SUMIFS(转置表!O:O,转置表!L:L,B4,转置表!J:J,C4,转置表!M:M,D4)</f>
        <v>3957</v>
      </c>
      <c r="F4" s="48">
        <v>38</v>
      </c>
      <c r="G4" s="48">
        <f>SUMIFS(转置表!T:T,转置表!L:L,B4,转置表!J:J,C4,转置表!M:M,D4)</f>
        <v>25</v>
      </c>
      <c r="H4" s="133">
        <v>54340</v>
      </c>
      <c r="I4" s="133">
        <v>56666.6666666666</v>
      </c>
      <c r="J4" s="133">
        <v>323056.179775281</v>
      </c>
      <c r="K4" s="133">
        <v>17500</v>
      </c>
      <c r="L4" s="133">
        <v>8333.33333333333</v>
      </c>
      <c r="M4" s="133">
        <v>0</v>
      </c>
      <c r="N4" s="133">
        <v>8333.33333333333</v>
      </c>
      <c r="O4" s="133"/>
      <c r="P4" s="133"/>
    </row>
    <row r="5" ht="19" customHeight="1" spans="1:16">
      <c r="A5" s="38">
        <f t="shared" ref="A5:A14" si="0">ROW()-3</f>
        <v>2</v>
      </c>
      <c r="B5" s="38" t="s">
        <v>32</v>
      </c>
      <c r="C5" s="39" t="s">
        <v>308</v>
      </c>
      <c r="D5" s="38">
        <v>2</v>
      </c>
      <c r="E5" s="48">
        <f>SUMIFS(转置表!O:O,转置表!L:L,B5,转置表!J:J,C5,转置表!M:M,D5)</f>
        <v>44234</v>
      </c>
      <c r="F5" s="48">
        <v>38</v>
      </c>
      <c r="G5" s="48">
        <f>SUMIFS(转置表!T:T,转置表!L:L,B5,转置表!J:J,C5,转置表!M:M,D5)</f>
        <v>264.854166666802</v>
      </c>
      <c r="H5" s="133">
        <v>575687.016666962</v>
      </c>
      <c r="I5" s="133">
        <v>600336.111111419</v>
      </c>
      <c r="J5" s="133">
        <v>3279717.30640449</v>
      </c>
      <c r="K5" s="133">
        <v>185397.916666762</v>
      </c>
      <c r="L5" s="133">
        <v>88284.7222222674</v>
      </c>
      <c r="M5" s="133">
        <v>155838.941604431</v>
      </c>
      <c r="N5" s="133">
        <v>88284.7222222674</v>
      </c>
      <c r="O5" s="133">
        <v>3244615.82712074</v>
      </c>
      <c r="P5" s="133">
        <v>59347750.0739344</v>
      </c>
    </row>
    <row r="6" customHeight="1" spans="1:16">
      <c r="A6" s="38">
        <f t="shared" si="0"/>
        <v>3</v>
      </c>
      <c r="B6" s="38" t="s">
        <v>32</v>
      </c>
      <c r="C6" s="39" t="s">
        <v>309</v>
      </c>
      <c r="D6" s="38">
        <v>2</v>
      </c>
      <c r="E6" s="48">
        <f>SUMIFS(转置表!O:O,转置表!L:L,B6,转置表!J:J,C6,转置表!M:M,D6)</f>
        <v>21858</v>
      </c>
      <c r="F6" s="48">
        <v>38</v>
      </c>
      <c r="G6" s="48">
        <f>SUMIFS(转置表!T:T,转置表!L:L,B6,转置表!J:J,C6,转置表!M:M,D6)</f>
        <v>182.666666666701</v>
      </c>
      <c r="H6" s="133">
        <v>397044.26666674</v>
      </c>
      <c r="I6" s="133">
        <v>414044.444444521</v>
      </c>
      <c r="J6" s="133">
        <v>2111417.226</v>
      </c>
      <c r="K6" s="133">
        <v>127866.66666669</v>
      </c>
      <c r="L6" s="133">
        <v>60888.8888889002</v>
      </c>
      <c r="M6" s="133">
        <v>100586.492734325</v>
      </c>
      <c r="N6" s="133">
        <v>60888.8888889002</v>
      </c>
      <c r="O6" s="133">
        <v>3090663.78502591</v>
      </c>
      <c r="P6" s="133">
        <v>37340293</v>
      </c>
    </row>
    <row r="7" customHeight="1" spans="1:16">
      <c r="A7" s="38">
        <f t="shared" si="0"/>
        <v>4</v>
      </c>
      <c r="B7" s="38" t="s">
        <v>32</v>
      </c>
      <c r="C7" s="39" t="s">
        <v>310</v>
      </c>
      <c r="D7" s="38">
        <v>2</v>
      </c>
      <c r="E7" s="48">
        <f>SUMIFS(转置表!O:O,转置表!L:L,B7,转置表!J:J,C7,转置表!M:M,D7)</f>
        <v>3835</v>
      </c>
      <c r="F7" s="48">
        <v>38</v>
      </c>
      <c r="G7" s="48">
        <f>SUMIFS(转置表!T:T,转置表!L:L,B7,转置表!J:J,C7,转置表!M:M,D7)</f>
        <v>20.1041666667006</v>
      </c>
      <c r="H7" s="133">
        <v>43698.4166667404</v>
      </c>
      <c r="I7" s="133">
        <v>45569.4444445213</v>
      </c>
      <c r="J7" s="133">
        <v>177165.495</v>
      </c>
      <c r="K7" s="133">
        <v>14072.9166666904</v>
      </c>
      <c r="L7" s="133">
        <v>6701.3888889002</v>
      </c>
      <c r="M7" s="133">
        <v>15207.5</v>
      </c>
      <c r="N7" s="133">
        <v>6701.3888889002</v>
      </c>
      <c r="O7" s="133"/>
      <c r="P7" s="133"/>
    </row>
    <row r="8" customHeight="1" spans="1:16">
      <c r="A8" s="38">
        <f t="shared" si="0"/>
        <v>5</v>
      </c>
      <c r="B8" s="38" t="s">
        <v>32</v>
      </c>
      <c r="C8" s="39" t="s">
        <v>311</v>
      </c>
      <c r="D8" s="38">
        <v>2</v>
      </c>
      <c r="E8" s="48">
        <f>SUMIFS(转置表!O:O,转置表!L:L,B8,转置表!J:J,C8,转置表!M:M,D8)</f>
        <v>12133</v>
      </c>
      <c r="F8" s="48">
        <v>38</v>
      </c>
      <c r="G8" s="48">
        <f>SUMIFS(转置表!T:T,转置表!L:L,B8,转置表!J:J,C8,转置表!M:M,D8)</f>
        <v>93</v>
      </c>
      <c r="H8" s="133">
        <v>202144.8</v>
      </c>
      <c r="I8" s="133">
        <v>210800</v>
      </c>
      <c r="J8" s="133">
        <v>788764.044943821</v>
      </c>
      <c r="K8" s="133">
        <v>65100</v>
      </c>
      <c r="L8" s="133">
        <v>31000</v>
      </c>
      <c r="M8" s="133">
        <v>53404</v>
      </c>
      <c r="N8" s="133">
        <v>31000</v>
      </c>
      <c r="O8" s="133">
        <v>2453789.55253333</v>
      </c>
      <c r="P8" s="133">
        <v>23277479</v>
      </c>
    </row>
    <row r="9" customHeight="1" spans="1:16">
      <c r="A9" s="38">
        <f t="shared" si="0"/>
        <v>6</v>
      </c>
      <c r="B9" s="38" t="s">
        <v>32</v>
      </c>
      <c r="C9" s="39" t="s">
        <v>312</v>
      </c>
      <c r="D9" s="38">
        <v>2</v>
      </c>
      <c r="E9" s="48">
        <f>SUMIFS(转置表!O:O,转置表!L:L,B9,转置表!J:J,C9,转置表!M:M,D9)</f>
        <v>5497</v>
      </c>
      <c r="F9" s="48">
        <v>38</v>
      </c>
      <c r="G9" s="48">
        <f>SUMIFS(转置表!T:T,转置表!L:L,B9,转置表!J:J,C9,转置表!M:M,D9)</f>
        <v>37</v>
      </c>
      <c r="H9" s="133">
        <v>80423.2</v>
      </c>
      <c r="I9" s="133">
        <v>83866.6666666667</v>
      </c>
      <c r="J9" s="133">
        <v>350561.797752809</v>
      </c>
      <c r="K9" s="133">
        <v>25900</v>
      </c>
      <c r="L9" s="133">
        <v>12333.3333333333</v>
      </c>
      <c r="M9" s="133">
        <v>19671</v>
      </c>
      <c r="N9" s="133">
        <v>12333.3333333333</v>
      </c>
      <c r="O9" s="133"/>
      <c r="P9" s="133"/>
    </row>
    <row r="10" customHeight="1" spans="1:16">
      <c r="A10" s="38">
        <f t="shared" si="0"/>
        <v>7</v>
      </c>
      <c r="B10" s="38" t="s">
        <v>32</v>
      </c>
      <c r="C10" s="39" t="s">
        <v>313</v>
      </c>
      <c r="D10" s="38">
        <v>2</v>
      </c>
      <c r="E10" s="48">
        <f>SUMIFS(转置表!O:O,转置表!L:L,B10,转置表!J:J,C10,转置表!M:M,D10)</f>
        <v>3444</v>
      </c>
      <c r="F10" s="48">
        <v>38</v>
      </c>
      <c r="G10" s="48">
        <f>SUMIFS(转置表!T:T,转置表!L:L,B10,转置表!J:J,C10,转置表!M:M,D10)</f>
        <v>30.8125</v>
      </c>
      <c r="H10" s="133">
        <v>66974.05</v>
      </c>
      <c r="I10" s="133">
        <v>69841.6666666667</v>
      </c>
      <c r="J10" s="133">
        <v>118752.48</v>
      </c>
      <c r="K10" s="133">
        <v>21568.75</v>
      </c>
      <c r="L10" s="133">
        <v>10270.8333333333</v>
      </c>
      <c r="M10" s="133">
        <v>0</v>
      </c>
      <c r="N10" s="133">
        <v>10270.8333333333</v>
      </c>
      <c r="O10" s="133"/>
      <c r="P10" s="133"/>
    </row>
    <row r="11" customHeight="1" spans="1:16">
      <c r="A11" s="38">
        <f t="shared" si="0"/>
        <v>8</v>
      </c>
      <c r="B11" s="38" t="s">
        <v>32</v>
      </c>
      <c r="C11" s="39" t="s">
        <v>314</v>
      </c>
      <c r="D11" s="38">
        <v>2</v>
      </c>
      <c r="E11" s="48">
        <f>SUMIFS(转置表!O:O,转置表!L:L,B11,转置表!J:J,C11,转置表!M:M,D11)</f>
        <v>2492</v>
      </c>
      <c r="F11" s="48">
        <v>38</v>
      </c>
      <c r="G11" s="48">
        <f>SUMIFS(转置表!T:T,转置表!L:L,B11,转置表!J:J,C11,转置表!M:M,D11)</f>
        <v>12</v>
      </c>
      <c r="H11" s="133">
        <v>26083.2</v>
      </c>
      <c r="I11" s="133">
        <v>27200</v>
      </c>
      <c r="J11" s="133">
        <v>125013.672</v>
      </c>
      <c r="K11" s="133">
        <v>8400</v>
      </c>
      <c r="L11" s="133">
        <v>4000</v>
      </c>
      <c r="M11" s="133">
        <v>0</v>
      </c>
      <c r="N11" s="133">
        <v>4000</v>
      </c>
      <c r="O11" s="133"/>
      <c r="P11" s="133"/>
    </row>
    <row r="12" customHeight="1" spans="1:16">
      <c r="A12" s="38">
        <f t="shared" si="0"/>
        <v>9</v>
      </c>
      <c r="B12" s="38" t="s">
        <v>32</v>
      </c>
      <c r="C12" s="39" t="s">
        <v>315</v>
      </c>
      <c r="D12" s="38">
        <v>2</v>
      </c>
      <c r="E12" s="48">
        <f>SUMIFS(转置表!O:O,转置表!L:L,B12,转置表!J:J,C12,转置表!M:M,D12)</f>
        <v>3321</v>
      </c>
      <c r="F12" s="48">
        <v>38</v>
      </c>
      <c r="G12" s="48">
        <f>SUMIFS(转置表!T:T,转置表!L:L,B12,转置表!J:J,C12,转置表!M:M,D12)</f>
        <v>20.4166666665988</v>
      </c>
      <c r="H12" s="133">
        <v>44377.6666665192</v>
      </c>
      <c r="I12" s="133">
        <v>46277.7777776239</v>
      </c>
      <c r="J12" s="133">
        <v>178584.269662922</v>
      </c>
      <c r="K12" s="133">
        <v>14291.6666666192</v>
      </c>
      <c r="L12" s="133">
        <v>6805.55555553293</v>
      </c>
      <c r="M12" s="133">
        <v>13390.5</v>
      </c>
      <c r="N12" s="133">
        <v>6805.55555553293</v>
      </c>
      <c r="O12" s="133"/>
      <c r="P12" s="133"/>
    </row>
    <row r="13" customHeight="1" spans="1:16">
      <c r="A13" s="38">
        <f t="shared" si="0"/>
        <v>10</v>
      </c>
      <c r="B13" s="38" t="s">
        <v>32</v>
      </c>
      <c r="C13" s="39" t="s">
        <v>316</v>
      </c>
      <c r="D13" s="38">
        <v>2</v>
      </c>
      <c r="E13" s="48">
        <f>SUMIFS(转置表!O:O,转置表!L:L,B13,转置表!J:J,C13,转置表!M:M,D13)</f>
        <v>16455</v>
      </c>
      <c r="F13" s="48">
        <v>38</v>
      </c>
      <c r="G13" s="48">
        <f>SUMIFS(转置表!T:T,转置表!L:L,B13,转置表!J:J,C13,转置表!M:M,D13)</f>
        <v>142.583333333299</v>
      </c>
      <c r="H13" s="133">
        <v>309919.13333326</v>
      </c>
      <c r="I13" s="133">
        <v>323188.888888812</v>
      </c>
      <c r="J13" s="133">
        <v>991491.192</v>
      </c>
      <c r="K13" s="133">
        <v>99808.3333333096</v>
      </c>
      <c r="L13" s="133">
        <v>47527.7777777665</v>
      </c>
      <c r="M13" s="133">
        <v>0</v>
      </c>
      <c r="N13" s="133">
        <v>47527.7777777665</v>
      </c>
      <c r="O13" s="133">
        <v>4627576.64278406</v>
      </c>
      <c r="P13" s="133">
        <v>30068132</v>
      </c>
    </row>
    <row r="14" customHeight="1" spans="1:16">
      <c r="A14" s="38">
        <f t="shared" si="0"/>
        <v>11</v>
      </c>
      <c r="B14" s="38" t="s">
        <v>32</v>
      </c>
      <c r="C14" s="39" t="s">
        <v>317</v>
      </c>
      <c r="D14" s="38">
        <v>2</v>
      </c>
      <c r="E14" s="48">
        <f>SUMIFS(转置表!O:O,转置表!L:L,B14,转置表!J:J,C14,转置表!M:M,D14)</f>
        <v>2468</v>
      </c>
      <c r="F14" s="48">
        <v>38</v>
      </c>
      <c r="G14" s="48">
        <f>SUMIFS(转置表!T:T,转置表!L:L,B14,转置表!J:J,C14,转置表!M:M,D14)</f>
        <v>16</v>
      </c>
      <c r="H14" s="133">
        <v>34777.6</v>
      </c>
      <c r="I14" s="133">
        <v>36266.6666666666</v>
      </c>
      <c r="J14" s="133">
        <v>195776.568</v>
      </c>
      <c r="K14" s="133">
        <v>11200</v>
      </c>
      <c r="L14" s="133">
        <v>5333.33333333333</v>
      </c>
      <c r="M14" s="133">
        <v>0</v>
      </c>
      <c r="N14" s="133">
        <v>5333.33333333333</v>
      </c>
      <c r="O14" s="133"/>
      <c r="P14" s="133"/>
    </row>
    <row r="15" customHeight="1" spans="1:16">
      <c r="A15" s="38">
        <f t="shared" ref="A15:A24" si="1">ROW()-3</f>
        <v>12</v>
      </c>
      <c r="B15" s="38" t="s">
        <v>32</v>
      </c>
      <c r="C15" s="39" t="s">
        <v>318</v>
      </c>
      <c r="D15" s="38">
        <v>2</v>
      </c>
      <c r="E15" s="48">
        <f>SUMIFS(转置表!O:O,转置表!L:L,B15,转置表!J:J,C15,转置表!M:M,D15)</f>
        <v>9956</v>
      </c>
      <c r="F15" s="48">
        <v>38</v>
      </c>
      <c r="G15" s="48">
        <f>SUMIFS(转置表!T:T,转置表!L:L,B15,转置表!J:J,C15,转置表!M:M,D15)</f>
        <v>72.7916666667006</v>
      </c>
      <c r="H15" s="133">
        <v>158219.96666674</v>
      </c>
      <c r="I15" s="133">
        <v>164994.444444522</v>
      </c>
      <c r="J15" s="133">
        <v>1080171.9</v>
      </c>
      <c r="K15" s="133">
        <v>50954.1666666904</v>
      </c>
      <c r="L15" s="133">
        <v>24263.8888889002</v>
      </c>
      <c r="M15" s="133">
        <v>0</v>
      </c>
      <c r="N15" s="133">
        <v>24263.8888889002</v>
      </c>
      <c r="O15" s="133"/>
      <c r="P15" s="133"/>
    </row>
    <row r="16" customHeight="1" spans="1:16">
      <c r="A16" s="38">
        <f t="shared" si="1"/>
        <v>13</v>
      </c>
      <c r="B16" s="38" t="s">
        <v>32</v>
      </c>
      <c r="C16" s="45" t="s">
        <v>319</v>
      </c>
      <c r="D16" s="38">
        <v>2</v>
      </c>
      <c r="E16" s="48">
        <f>SUMIFS(转置表!O:O,转置表!L:L,B16,转置表!J:J,C16,转置表!M:M,D16)</f>
        <v>4402</v>
      </c>
      <c r="F16" s="48">
        <v>38</v>
      </c>
      <c r="G16" s="48">
        <f>SUMIFS(转置表!T:T,转置表!L:L,B16,转置表!J:J,C16,转置表!M:M,D16)</f>
        <v>22</v>
      </c>
      <c r="H16" s="133">
        <v>47819.2</v>
      </c>
      <c r="I16" s="133">
        <v>49866.6666666666</v>
      </c>
      <c r="J16" s="133">
        <v>219681.81</v>
      </c>
      <c r="K16" s="133">
        <v>15400</v>
      </c>
      <c r="L16" s="133">
        <v>7333.33333333333</v>
      </c>
      <c r="M16" s="133">
        <v>0</v>
      </c>
      <c r="N16" s="133">
        <v>7333.33333333333</v>
      </c>
      <c r="O16" s="133"/>
      <c r="P16" s="133"/>
    </row>
    <row r="17" customHeight="1" spans="1:16">
      <c r="A17" s="38">
        <f t="shared" si="1"/>
        <v>14</v>
      </c>
      <c r="B17" s="38" t="s">
        <v>32</v>
      </c>
      <c r="C17" s="39" t="s">
        <v>320</v>
      </c>
      <c r="D17" s="38">
        <v>2</v>
      </c>
      <c r="E17" s="48">
        <f>SUMIFS(转置表!O:O,转置表!L:L,B17,转置表!J:J,C17,转置表!M:M,D17)</f>
        <v>2775</v>
      </c>
      <c r="F17" s="48">
        <v>38</v>
      </c>
      <c r="G17" s="48">
        <f>SUMIFS(转置表!T:T,转置表!L:L,B17,转置表!J:J,C17,转置表!M:M,D17)</f>
        <v>21</v>
      </c>
      <c r="H17" s="133">
        <v>45645.6</v>
      </c>
      <c r="I17" s="133">
        <v>47600</v>
      </c>
      <c r="J17" s="133">
        <v>229345.425</v>
      </c>
      <c r="K17" s="133">
        <v>14700</v>
      </c>
      <c r="L17" s="133">
        <v>7000</v>
      </c>
      <c r="M17" s="133">
        <v>0</v>
      </c>
      <c r="N17" s="133">
        <v>7000</v>
      </c>
      <c r="O17" s="133"/>
      <c r="P17" s="133"/>
    </row>
    <row r="18" customHeight="1" spans="1:16">
      <c r="A18" s="38">
        <f t="shared" si="1"/>
        <v>15</v>
      </c>
      <c r="B18" s="38" t="s">
        <v>32</v>
      </c>
      <c r="C18" s="39" t="s">
        <v>321</v>
      </c>
      <c r="D18" s="38">
        <v>2</v>
      </c>
      <c r="E18" s="48">
        <f>SUMIFS(转置表!O:O,转置表!L:L,B18,转置表!J:J,C18,转置表!M:M,D18)</f>
        <v>10593</v>
      </c>
      <c r="F18" s="48">
        <v>38</v>
      </c>
      <c r="G18" s="48">
        <f>SUMIFS(转置表!T:T,转置表!L:L,B18,转置表!J:J,C18,转置表!M:M,D18)</f>
        <v>71</v>
      </c>
      <c r="H18" s="133">
        <v>154325.6</v>
      </c>
      <c r="I18" s="133">
        <v>160933.333333333</v>
      </c>
      <c r="J18" s="133">
        <v>887015.448</v>
      </c>
      <c r="K18" s="133">
        <v>49700</v>
      </c>
      <c r="L18" s="133">
        <v>23666.6666666667</v>
      </c>
      <c r="M18" s="133">
        <v>0</v>
      </c>
      <c r="N18" s="133">
        <v>23666.6666666667</v>
      </c>
      <c r="O18" s="133">
        <v>1578394.17453333</v>
      </c>
      <c r="P18" s="133">
        <v>17030646</v>
      </c>
    </row>
    <row r="19" customHeight="1" spans="1:16">
      <c r="A19" s="38">
        <f t="shared" si="1"/>
        <v>16</v>
      </c>
      <c r="B19" s="38" t="s">
        <v>38</v>
      </c>
      <c r="C19" s="39" t="s">
        <v>30</v>
      </c>
      <c r="D19" s="38">
        <v>2</v>
      </c>
      <c r="E19" s="48">
        <f>SUMIFS(转置表!O:O,转置表!L:L,B19,转置表!J:J,C19,转置表!M:M,D19)</f>
        <v>19739</v>
      </c>
      <c r="F19" s="48">
        <v>38</v>
      </c>
      <c r="G19" s="48">
        <f>SUMIFS(转置表!T:T,转置表!L:L,B19,转置表!J:J,C19,转置表!M:M,D19)</f>
        <v>123.812500000102</v>
      </c>
      <c r="H19" s="133">
        <v>269118.850000221</v>
      </c>
      <c r="I19" s="133">
        <v>280641.666666897</v>
      </c>
      <c r="J19" s="133">
        <v>1276260.21</v>
      </c>
      <c r="K19" s="133">
        <v>86668.7500000713</v>
      </c>
      <c r="L19" s="133">
        <v>41270.8333333673</v>
      </c>
      <c r="M19" s="133">
        <v>79872.9639523149</v>
      </c>
      <c r="N19" s="133">
        <v>41270.8333333673</v>
      </c>
      <c r="O19" s="133">
        <v>5696073.03517617</v>
      </c>
      <c r="P19" s="133">
        <v>34064342.6545164</v>
      </c>
    </row>
    <row r="20" customHeight="1" spans="1:16">
      <c r="A20" s="38">
        <f t="shared" si="1"/>
        <v>17</v>
      </c>
      <c r="B20" s="38" t="s">
        <v>38</v>
      </c>
      <c r="C20" s="39" t="s">
        <v>322</v>
      </c>
      <c r="D20" s="38">
        <v>2</v>
      </c>
      <c r="E20" s="48">
        <f>SUMIFS(转置表!O:O,转置表!L:L,B20,转置表!J:J,C20,转置表!M:M,D20)</f>
        <v>4804</v>
      </c>
      <c r="F20" s="48">
        <v>38</v>
      </c>
      <c r="G20" s="48">
        <f>SUMIFS(转置表!T:T,转置表!L:L,B20,转置表!J:J,C20,转置表!M:M,D20)</f>
        <v>38.9166666667006</v>
      </c>
      <c r="H20" s="133">
        <v>84589.2666667404</v>
      </c>
      <c r="I20" s="133">
        <v>88211.111111188</v>
      </c>
      <c r="J20" s="133">
        <v>604309.572</v>
      </c>
      <c r="K20" s="133">
        <v>27241.6666666904</v>
      </c>
      <c r="L20" s="133">
        <v>12972.2222222335</v>
      </c>
      <c r="M20" s="133">
        <v>0</v>
      </c>
      <c r="N20" s="133">
        <v>12972.2222222335</v>
      </c>
      <c r="O20" s="133"/>
      <c r="P20" s="133"/>
    </row>
    <row r="21" customHeight="1" spans="1:16">
      <c r="A21" s="38">
        <f t="shared" si="1"/>
        <v>18</v>
      </c>
      <c r="B21" s="38" t="s">
        <v>38</v>
      </c>
      <c r="C21" s="39" t="s">
        <v>323</v>
      </c>
      <c r="D21" s="38">
        <v>2</v>
      </c>
      <c r="E21" s="48">
        <f>SUMIFS(转置表!O:O,转置表!L:L,B21,转置表!J:J,C21,转置表!M:M,D21)</f>
        <v>18574</v>
      </c>
      <c r="F21" s="48">
        <v>38</v>
      </c>
      <c r="G21" s="48">
        <f>SUMIFS(转置表!T:T,转置表!L:L,B21,转置表!J:J,C21,转置表!M:M,D21)</f>
        <v>100.5243055557</v>
      </c>
      <c r="H21" s="133">
        <v>218499.63055587</v>
      </c>
      <c r="I21" s="133">
        <v>227855.09259292</v>
      </c>
      <c r="J21" s="133">
        <v>1862764.1712</v>
      </c>
      <c r="K21" s="133">
        <v>70367.0138889901</v>
      </c>
      <c r="L21" s="133">
        <v>33508.1018519001</v>
      </c>
      <c r="M21" s="133">
        <v>0</v>
      </c>
      <c r="N21" s="133">
        <v>33508.1018519001</v>
      </c>
      <c r="O21" s="133">
        <v>-1830656.71067076</v>
      </c>
      <c r="P21" s="133">
        <v>29004676.9999999</v>
      </c>
    </row>
    <row r="22" customHeight="1" spans="1:16">
      <c r="A22" s="38">
        <f t="shared" si="1"/>
        <v>19</v>
      </c>
      <c r="B22" s="38" t="s">
        <v>38</v>
      </c>
      <c r="C22" s="39" t="s">
        <v>321</v>
      </c>
      <c r="D22" s="38">
        <v>2</v>
      </c>
      <c r="E22" s="48">
        <f>SUMIFS(转置表!O:O,转置表!L:L,B22,转置表!J:J,C22,转置表!M:M,D22)</f>
        <v>8000</v>
      </c>
      <c r="F22" s="48">
        <v>38</v>
      </c>
      <c r="G22" s="48">
        <f>SUMIFS(转置表!T:T,转置表!L:L,B22,转置表!J:J,C22,转置表!M:M,D22)</f>
        <v>83.125</v>
      </c>
      <c r="H22" s="133">
        <v>180680.5</v>
      </c>
      <c r="I22" s="133">
        <v>188416.666666667</v>
      </c>
      <c r="J22" s="133">
        <v>705888</v>
      </c>
      <c r="K22" s="133">
        <v>58187.5</v>
      </c>
      <c r="L22" s="133">
        <v>27708.3333333333</v>
      </c>
      <c r="M22" s="133">
        <v>0</v>
      </c>
      <c r="N22" s="133">
        <v>27708.3333333333</v>
      </c>
      <c r="O22" s="133"/>
      <c r="P22" s="133"/>
    </row>
    <row r="23" customHeight="1" spans="1:16">
      <c r="A23" s="38">
        <f t="shared" si="1"/>
        <v>20</v>
      </c>
      <c r="B23" s="38" t="s">
        <v>32</v>
      </c>
      <c r="C23" s="39" t="s">
        <v>30</v>
      </c>
      <c r="D23" s="38">
        <v>3</v>
      </c>
      <c r="E23" s="48">
        <f>SUMIFS(转置表!O:O,转置表!L:L,B23,转置表!J:J,C23,转置表!M:M,D23)</f>
        <v>18653</v>
      </c>
      <c r="F23" s="48">
        <v>38</v>
      </c>
      <c r="G23" s="48">
        <f>SUMIFS(转置表!T:T,转置表!L:L,B23,转置表!J:J,C23,转置表!M:M,D23)</f>
        <v>147</v>
      </c>
      <c r="H23" s="133">
        <v>319519.2</v>
      </c>
      <c r="I23" s="133">
        <v>313600</v>
      </c>
      <c r="J23" s="133">
        <v>1688506.866</v>
      </c>
      <c r="K23" s="133">
        <v>102900</v>
      </c>
      <c r="L23" s="133">
        <v>49000</v>
      </c>
      <c r="M23" s="133">
        <v>79632.0000000001</v>
      </c>
      <c r="N23" s="133">
        <v>49000</v>
      </c>
      <c r="O23" s="133">
        <v>4595113.85538589</v>
      </c>
      <c r="P23" s="133">
        <v>45996967</v>
      </c>
    </row>
    <row r="24" customHeight="1" spans="1:16">
      <c r="A24" s="38">
        <f t="shared" si="1"/>
        <v>21</v>
      </c>
      <c r="B24" s="38" t="s">
        <v>32</v>
      </c>
      <c r="C24" s="39" t="s">
        <v>324</v>
      </c>
      <c r="D24" s="38">
        <v>3</v>
      </c>
      <c r="E24" s="48">
        <f>SUMIFS(转置表!O:O,转置表!L:L,B24,转置表!J:J,C24,转置表!M:M,D24)</f>
        <v>7594</v>
      </c>
      <c r="F24" s="48">
        <v>40</v>
      </c>
      <c r="G24" s="48">
        <f>SUMIFS(转置表!T:T,转置表!L:L,B24,转置表!J:J,C24,转置表!M:M,D24)</f>
        <v>42.9375</v>
      </c>
      <c r="H24" s="133">
        <v>93328.95</v>
      </c>
      <c r="I24" s="133">
        <v>91600</v>
      </c>
      <c r="J24" s="133">
        <v>715973</v>
      </c>
      <c r="K24" s="133">
        <v>30056.25</v>
      </c>
      <c r="L24" s="133">
        <v>14312.5</v>
      </c>
      <c r="M24" s="133">
        <v>0</v>
      </c>
      <c r="N24" s="133">
        <v>14312.5</v>
      </c>
      <c r="O24" s="133">
        <v>6280277.57205646</v>
      </c>
      <c r="P24" s="133">
        <v>18857452.5125</v>
      </c>
    </row>
    <row r="25" customHeight="1" spans="1:16">
      <c r="A25" s="38">
        <f t="shared" ref="A25:A36" si="2">ROW()-3</f>
        <v>22</v>
      </c>
      <c r="B25" s="38" t="s">
        <v>32</v>
      </c>
      <c r="C25" s="39" t="s">
        <v>325</v>
      </c>
      <c r="D25" s="38">
        <v>3</v>
      </c>
      <c r="E25" s="48">
        <f>SUMIFS(转置表!O:O,转置表!L:L,B25,转置表!J:J,C25,转置表!M:M,D25)</f>
        <v>23072</v>
      </c>
      <c r="F25" s="48">
        <v>40</v>
      </c>
      <c r="G25" s="48">
        <f>SUMIFS(转置表!T:T,转置表!L:L,B25,转置表!J:J,C25,转置表!M:M,D25)</f>
        <v>153.791666666599</v>
      </c>
      <c r="H25" s="133">
        <v>334281.566666519</v>
      </c>
      <c r="I25" s="133">
        <v>328088.888888745</v>
      </c>
      <c r="J25" s="133">
        <v>2645275.9776</v>
      </c>
      <c r="K25" s="133">
        <v>107654.166666619</v>
      </c>
      <c r="L25" s="133">
        <v>51263.8888888663</v>
      </c>
      <c r="M25" s="133">
        <v>0</v>
      </c>
      <c r="N25" s="133">
        <v>51263.8888888663</v>
      </c>
      <c r="O25" s="133">
        <v>34209204.1697425</v>
      </c>
      <c r="P25" s="133">
        <v>80955952.4526725</v>
      </c>
    </row>
    <row r="26" customHeight="1" spans="1:16">
      <c r="A26" s="38">
        <f t="shared" si="2"/>
        <v>23</v>
      </c>
      <c r="B26" s="38" t="s">
        <v>32</v>
      </c>
      <c r="C26" s="39" t="s">
        <v>323</v>
      </c>
      <c r="D26" s="38">
        <v>3</v>
      </c>
      <c r="E26" s="48">
        <f>SUMIFS(转置表!O:O,转置表!L:L,B26,转置表!J:J,C26,转置表!M:M,D26)</f>
        <v>3732</v>
      </c>
      <c r="F26" s="48">
        <v>38</v>
      </c>
      <c r="G26" s="48">
        <f>SUMIFS(转置表!T:T,转置表!L:L,B26,转置表!J:J,C26,转置表!M:M,D26)</f>
        <v>39</v>
      </c>
      <c r="H26" s="133">
        <v>84770.4</v>
      </c>
      <c r="I26" s="133">
        <v>83200</v>
      </c>
      <c r="J26" s="133">
        <v>544797.36</v>
      </c>
      <c r="K26" s="133">
        <v>27300</v>
      </c>
      <c r="L26" s="133">
        <v>13000</v>
      </c>
      <c r="M26" s="133">
        <v>0</v>
      </c>
      <c r="N26" s="133">
        <v>13000</v>
      </c>
      <c r="O26" s="133"/>
      <c r="P26" s="133"/>
    </row>
    <row r="27" customHeight="1" spans="1:16">
      <c r="A27" s="38">
        <f t="shared" si="2"/>
        <v>24</v>
      </c>
      <c r="B27" s="38" t="s">
        <v>32</v>
      </c>
      <c r="C27" s="39" t="s">
        <v>310</v>
      </c>
      <c r="D27" s="38">
        <v>3</v>
      </c>
      <c r="E27" s="48">
        <f>SUMIFS(转置表!O:O,转置表!L:L,B27,转置表!J:J,C27,转置表!M:M,D27)</f>
        <v>8427</v>
      </c>
      <c r="F27" s="48">
        <v>38</v>
      </c>
      <c r="G27" s="48">
        <f>SUMIFS(转置表!T:T,转置表!L:L,B27,转置表!J:J,C27,转置表!M:M,D27)</f>
        <v>113.083333333401</v>
      </c>
      <c r="H27" s="133">
        <v>245797.933333481</v>
      </c>
      <c r="I27" s="133">
        <v>241244.444444589</v>
      </c>
      <c r="J27" s="133">
        <v>367685.393258427</v>
      </c>
      <c r="K27" s="133">
        <v>79158.3333333808</v>
      </c>
      <c r="L27" s="133">
        <v>37694.4444444671</v>
      </c>
      <c r="M27" s="133">
        <v>0</v>
      </c>
      <c r="N27" s="133">
        <v>37694.4444444671</v>
      </c>
      <c r="O27" s="133"/>
      <c r="P27" s="133"/>
    </row>
    <row r="28" customHeight="1" spans="1:16">
      <c r="A28" s="38">
        <f t="shared" si="2"/>
        <v>25</v>
      </c>
      <c r="B28" s="38" t="s">
        <v>32</v>
      </c>
      <c r="C28" s="39" t="s">
        <v>326</v>
      </c>
      <c r="D28" s="38">
        <v>3</v>
      </c>
      <c r="E28" s="48">
        <f>SUMIFS(转置表!O:O,转置表!L:L,B28,转置表!J:J,C28,转置表!M:M,D28)</f>
        <v>10314</v>
      </c>
      <c r="F28" s="48">
        <v>38</v>
      </c>
      <c r="G28" s="48">
        <f>SUMIFS(转置表!T:T,转置表!L:L,B28,转置表!J:J,C28,转置表!M:M,D28)</f>
        <v>126</v>
      </c>
      <c r="H28" s="133">
        <v>273873.6</v>
      </c>
      <c r="I28" s="133">
        <v>268800</v>
      </c>
      <c r="J28" s="133">
        <v>1473891.228</v>
      </c>
      <c r="K28" s="133">
        <v>88200</v>
      </c>
      <c r="L28" s="133">
        <v>42000</v>
      </c>
      <c r="M28" s="133">
        <v>0</v>
      </c>
      <c r="N28" s="133">
        <v>42000</v>
      </c>
      <c r="O28" s="133"/>
      <c r="P28" s="133"/>
    </row>
    <row r="29" customHeight="1" spans="1:16">
      <c r="A29" s="38">
        <f t="shared" si="2"/>
        <v>26</v>
      </c>
      <c r="B29" s="38" t="s">
        <v>32</v>
      </c>
      <c r="C29" s="39" t="s">
        <v>327</v>
      </c>
      <c r="D29" s="38">
        <v>3</v>
      </c>
      <c r="E29" s="48">
        <f>SUMIFS(转置表!O:O,转置表!L:L,B29,转置表!J:J,C29,转置表!M:M,D29)</f>
        <v>30995</v>
      </c>
      <c r="F29" s="48">
        <v>38</v>
      </c>
      <c r="G29" s="48">
        <f>SUMIFS(转置表!T:T,转置表!L:L,B29,转置表!J:J,C29,转置表!M:M,D29)</f>
        <v>201.083333333365</v>
      </c>
      <c r="H29" s="133">
        <v>437074.733333402</v>
      </c>
      <c r="I29" s="133">
        <v>428977.777777845</v>
      </c>
      <c r="J29" s="133">
        <v>3428013.7</v>
      </c>
      <c r="K29" s="133">
        <v>140758.333333355</v>
      </c>
      <c r="L29" s="133">
        <v>67027.7777777883</v>
      </c>
      <c r="M29" s="133">
        <v>83800.52</v>
      </c>
      <c r="N29" s="133">
        <v>67027.7777777883</v>
      </c>
      <c r="O29" s="133">
        <v>19052481.8970297</v>
      </c>
      <c r="P29" s="133">
        <v>82042277.9472</v>
      </c>
    </row>
    <row r="30" customHeight="1" spans="1:16">
      <c r="A30" s="38">
        <f t="shared" si="2"/>
        <v>27</v>
      </c>
      <c r="B30" s="38" t="s">
        <v>32</v>
      </c>
      <c r="C30" s="39" t="s">
        <v>328</v>
      </c>
      <c r="D30" s="38">
        <v>3</v>
      </c>
      <c r="E30" s="48">
        <f>SUMIFS(转置表!O:O,转置表!L:L,B30,转置表!J:J,C30,转置表!M:M,D30)</f>
        <v>27892</v>
      </c>
      <c r="F30" s="48">
        <v>38</v>
      </c>
      <c r="G30" s="48">
        <f>SUMIFS(转置表!T:T,转置表!L:L,B30,转置表!J:J,C30,转置表!M:M,D30)</f>
        <v>222.895833333198</v>
      </c>
      <c r="H30" s="133">
        <v>484486.383333038</v>
      </c>
      <c r="I30" s="133">
        <v>475511.111110821</v>
      </c>
      <c r="J30" s="133">
        <v>3804249.28426967</v>
      </c>
      <c r="K30" s="133">
        <v>156027.083333238</v>
      </c>
      <c r="L30" s="133">
        <v>74298.6111110659</v>
      </c>
      <c r="M30" s="133">
        <v>100169.56</v>
      </c>
      <c r="N30" s="133">
        <v>74298.6111110659</v>
      </c>
      <c r="O30" s="133">
        <v>5933178.93422333</v>
      </c>
      <c r="P30" s="133">
        <v>77953921.8467042</v>
      </c>
    </row>
    <row r="31" customHeight="1" spans="1:16">
      <c r="A31" s="38">
        <f t="shared" si="2"/>
        <v>28</v>
      </c>
      <c r="B31" s="38" t="s">
        <v>32</v>
      </c>
      <c r="C31" s="39" t="s">
        <v>318</v>
      </c>
      <c r="D31" s="38">
        <v>3</v>
      </c>
      <c r="E31" s="48">
        <f>SUMIFS(转置表!O:O,转置表!L:L,B31,转置表!J:J,C31,转置表!M:M,D31)</f>
        <v>42074</v>
      </c>
      <c r="F31" s="48">
        <v>38</v>
      </c>
      <c r="G31" s="48">
        <f>SUMIFS(转置表!T:T,转置表!L:L,B31,转置表!J:J,C31,转置表!M:M,D31)</f>
        <v>377.7325</v>
      </c>
      <c r="H31" s="133">
        <v>821039.362</v>
      </c>
      <c r="I31" s="133">
        <v>805829.333333333</v>
      </c>
      <c r="J31" s="133">
        <v>4782603.204</v>
      </c>
      <c r="K31" s="133">
        <v>264412.75</v>
      </c>
      <c r="L31" s="133">
        <v>125910.833333333</v>
      </c>
      <c r="M31" s="133">
        <v>0</v>
      </c>
      <c r="N31" s="133">
        <v>125910.833333333</v>
      </c>
      <c r="O31" s="133">
        <v>24342335.3554613</v>
      </c>
      <c r="P31" s="133">
        <v>157134165.4</v>
      </c>
    </row>
    <row r="32" customHeight="1" spans="1:16">
      <c r="A32" s="38">
        <f t="shared" si="2"/>
        <v>29</v>
      </c>
      <c r="B32" s="38" t="s">
        <v>38</v>
      </c>
      <c r="C32" s="39" t="s">
        <v>30</v>
      </c>
      <c r="D32" s="38">
        <v>3</v>
      </c>
      <c r="E32" s="48">
        <f>SUMIFS(转置表!O:O,转置表!L:L,B32,转置表!J:J,C32,转置表!M:M,D32)</f>
        <v>0</v>
      </c>
      <c r="F32" s="48">
        <v>38</v>
      </c>
      <c r="G32" s="48">
        <f>SUMIFS(转置表!T:T,转置表!L:L,B32,转置表!J:J,C32,转置表!M:M,D32)</f>
        <v>0</v>
      </c>
      <c r="H32" s="133" t="e">
        <v>#DIV/0!</v>
      </c>
      <c r="I32" s="133" t="e">
        <v>#DIV/0!</v>
      </c>
      <c r="J32" s="133">
        <v>185393.258426966</v>
      </c>
      <c r="K32" s="133" t="e">
        <v>#DIV/0!</v>
      </c>
      <c r="L32" s="133" t="e">
        <v>#DIV/0!</v>
      </c>
      <c r="M32" s="133">
        <v>10169.0572025948</v>
      </c>
      <c r="N32" s="133" t="e">
        <v>#DIV/0!</v>
      </c>
      <c r="O32" s="133"/>
      <c r="P32" s="133"/>
    </row>
    <row r="33" customHeight="1" spans="1:16">
      <c r="A33" s="38">
        <f t="shared" si="2"/>
        <v>30</v>
      </c>
      <c r="B33" s="38" t="s">
        <v>38</v>
      </c>
      <c r="C33" s="39" t="s">
        <v>322</v>
      </c>
      <c r="D33" s="38">
        <v>3</v>
      </c>
      <c r="E33" s="48">
        <f>SUMIFS(转置表!O:O,转置表!L:L,B33,转置表!J:J,C33,转置表!M:M,D33)</f>
        <v>8218</v>
      </c>
      <c r="F33" s="48">
        <v>38</v>
      </c>
      <c r="G33" s="48">
        <f>SUMIFS(转置表!T:T,转置表!L:L,B33,转置表!J:J,C33,转置表!M:M,D33)</f>
        <v>62</v>
      </c>
      <c r="H33" s="133">
        <v>134763.2</v>
      </c>
      <c r="I33" s="133">
        <v>132266.666666667</v>
      </c>
      <c r="J33" s="133">
        <v>1033766.874</v>
      </c>
      <c r="K33" s="133">
        <v>43400</v>
      </c>
      <c r="L33" s="133">
        <v>20666.6666666667</v>
      </c>
      <c r="M33" s="133">
        <v>0</v>
      </c>
      <c r="N33" s="133">
        <v>20666.6666666667</v>
      </c>
      <c r="O33" s="133"/>
      <c r="P33" s="133"/>
    </row>
    <row r="34" customHeight="1" spans="1:16">
      <c r="A34" s="38">
        <f t="shared" si="2"/>
        <v>31</v>
      </c>
      <c r="B34" s="38" t="s">
        <v>38</v>
      </c>
      <c r="C34" s="39" t="s">
        <v>323</v>
      </c>
      <c r="D34" s="38">
        <v>3</v>
      </c>
      <c r="E34" s="48">
        <f>SUMIFS(转置表!O:O,转置表!L:L,B34,转置表!J:J,C34,转置表!M:M,D34)</f>
        <v>43535</v>
      </c>
      <c r="F34" s="48">
        <v>38</v>
      </c>
      <c r="G34" s="48">
        <f>SUMIFS(转置表!T:T,转置表!L:L,B34,转置表!J:J,C34,转置表!M:M,D34)</f>
        <v>389</v>
      </c>
      <c r="H34" s="133">
        <v>845530.4</v>
      </c>
      <c r="I34" s="133">
        <v>829866.666666667</v>
      </c>
      <c r="J34" s="133">
        <v>7231651.092</v>
      </c>
      <c r="K34" s="133">
        <v>272300</v>
      </c>
      <c r="L34" s="133">
        <v>129666.666666667</v>
      </c>
      <c r="M34" s="133">
        <v>0</v>
      </c>
      <c r="N34" s="133">
        <v>129666.666666667</v>
      </c>
      <c r="O34" s="133">
        <v>1368516.90180656</v>
      </c>
      <c r="P34" s="133">
        <v>182709100</v>
      </c>
    </row>
    <row r="35" customHeight="1" spans="1:16">
      <c r="A35" s="38">
        <f t="shared" si="2"/>
        <v>32</v>
      </c>
      <c r="B35" s="38" t="s">
        <v>38</v>
      </c>
      <c r="C35" s="39" t="s">
        <v>44</v>
      </c>
      <c r="D35" s="38">
        <v>3</v>
      </c>
      <c r="E35" s="48">
        <f>SUMIFS(转置表!O:O,转置表!L:L,B35,转置表!J:J,C35,转置表!M:M,D35)</f>
        <v>5842</v>
      </c>
      <c r="F35" s="48">
        <v>38</v>
      </c>
      <c r="G35" s="48">
        <f>SUMIFS(转置表!T:T,转置表!L:L,B35,转置表!J:J,C35,转置表!M:M,D35)</f>
        <v>46.71</v>
      </c>
      <c r="H35" s="133">
        <v>101528.856</v>
      </c>
      <c r="I35" s="133">
        <v>99648</v>
      </c>
      <c r="J35" s="133">
        <v>888900.3</v>
      </c>
      <c r="K35" s="133">
        <v>32697</v>
      </c>
      <c r="L35" s="133">
        <v>15570</v>
      </c>
      <c r="M35" s="133">
        <v>36624.2318125771</v>
      </c>
      <c r="N35" s="133">
        <v>15570</v>
      </c>
      <c r="O35" s="133"/>
      <c r="P35" s="133"/>
    </row>
    <row r="36" customHeight="1" spans="1:16">
      <c r="A36" s="38">
        <f t="shared" si="2"/>
        <v>33</v>
      </c>
      <c r="B36" s="38" t="s">
        <v>32</v>
      </c>
      <c r="C36" s="39" t="s">
        <v>30</v>
      </c>
      <c r="D36" s="38">
        <v>4</v>
      </c>
      <c r="E36" s="48">
        <f>SUMIFS(转置表!O:O,转置表!L:L,B36,转置表!J:J,C36,转置表!M:M,D36)</f>
        <v>14474</v>
      </c>
      <c r="F36" s="48">
        <v>38</v>
      </c>
      <c r="G36" s="48">
        <f>SUMIFS(转置表!T:T,转置表!L:L,B36,转置表!J:J,C36,转置表!M:M,D36)</f>
        <v>152.770833333401</v>
      </c>
      <c r="H36" s="133">
        <v>332062.683333481</v>
      </c>
      <c r="I36" s="133">
        <v>325911.111111255</v>
      </c>
      <c r="J36" s="133">
        <v>1983628.47977528</v>
      </c>
      <c r="K36" s="133">
        <v>106939.583333381</v>
      </c>
      <c r="L36" s="133">
        <v>50923.6111111337</v>
      </c>
      <c r="M36" s="133">
        <v>84135</v>
      </c>
      <c r="N36" s="133">
        <v>50923.6111111337</v>
      </c>
      <c r="O36" s="133">
        <v>17977484.4518545</v>
      </c>
      <c r="P36" s="133">
        <v>59828852</v>
      </c>
    </row>
    <row r="37" customHeight="1" spans="1:16">
      <c r="B37" s="50"/>
      <c r="C37" s="50"/>
      <c r="D37" s="50"/>
      <c r="E37" s="51"/>
      <c r="F37" s="51"/>
      <c r="G37" s="51"/>
      <c r="H37" s="213"/>
      <c r="I37" s="214"/>
      <c r="J37" s="214"/>
      <c r="K37" s="214"/>
      <c r="L37" s="214"/>
      <c r="M37" s="214"/>
      <c r="N37" s="214"/>
      <c r="O37" s="214"/>
      <c r="P37" s="214"/>
    </row>
    <row r="38" customHeight="1" spans="1:16">
      <c r="B38" s="50"/>
      <c r="C38" s="50"/>
      <c r="D38" s="50"/>
      <c r="E38" s="51"/>
      <c r="F38" s="51"/>
      <c r="G38" s="51"/>
      <c r="H38" s="213"/>
      <c r="I38" s="214"/>
      <c r="J38" s="214"/>
      <c r="K38" s="214"/>
      <c r="L38" s="214"/>
      <c r="M38" s="214"/>
      <c r="N38" s="214"/>
      <c r="O38" s="214"/>
      <c r="P38" s="214"/>
    </row>
    <row r="39" customHeight="1" spans="1:16">
      <c r="B39" s="50"/>
      <c r="C39" s="50"/>
      <c r="D39" s="50"/>
      <c r="E39" s="51"/>
      <c r="F39" s="51"/>
      <c r="G39" s="51"/>
      <c r="H39" s="213"/>
      <c r="I39" s="214"/>
      <c r="J39" s="214"/>
      <c r="K39" s="214"/>
      <c r="L39" s="214"/>
      <c r="M39" s="214"/>
      <c r="N39" s="214"/>
      <c r="O39" s="214"/>
      <c r="P39" s="214"/>
    </row>
    <row r="40" customHeight="1" spans="1:16">
      <c r="B40" s="50"/>
      <c r="C40" s="50"/>
      <c r="D40" s="50"/>
      <c r="E40" s="51"/>
      <c r="F40" s="51"/>
      <c r="G40" s="51"/>
      <c r="H40" s="213"/>
      <c r="I40" s="214"/>
      <c r="J40" s="214"/>
      <c r="K40" s="214"/>
      <c r="L40" s="214"/>
      <c r="M40" s="214"/>
      <c r="N40" s="214"/>
      <c r="O40" s="214"/>
      <c r="P40" s="214"/>
    </row>
    <row r="41" customHeight="1" spans="1:16">
      <c r="B41" s="50"/>
      <c r="C41" s="50"/>
      <c r="D41" s="50"/>
      <c r="E41" s="51"/>
      <c r="F41" s="51"/>
      <c r="G41" s="51"/>
      <c r="H41" s="213"/>
      <c r="I41" s="214"/>
      <c r="J41" s="214"/>
      <c r="K41" s="214"/>
      <c r="L41" s="214"/>
      <c r="M41" s="214"/>
      <c r="N41" s="214"/>
      <c r="O41" s="214"/>
      <c r="P41" s="214"/>
    </row>
    <row r="42" customHeight="1" spans="1:16">
      <c r="B42" s="50"/>
      <c r="C42" s="50"/>
      <c r="D42" s="50"/>
      <c r="E42" s="51"/>
      <c r="F42" s="51"/>
      <c r="G42" s="51"/>
      <c r="H42" s="213"/>
      <c r="I42" s="214"/>
      <c r="J42" s="214"/>
      <c r="K42" s="214"/>
      <c r="L42" s="214"/>
      <c r="M42" s="214"/>
      <c r="N42" s="214"/>
      <c r="O42" s="214"/>
      <c r="P42" s="214"/>
    </row>
    <row r="43" customHeight="1" spans="1:16">
      <c r="B43" s="50"/>
      <c r="C43" s="50"/>
      <c r="D43" s="50"/>
      <c r="E43" s="51"/>
      <c r="F43" s="51"/>
      <c r="G43" s="51"/>
      <c r="H43" s="213"/>
      <c r="I43" s="214"/>
      <c r="J43" s="214"/>
      <c r="K43" s="214"/>
      <c r="L43" s="214"/>
      <c r="M43" s="214"/>
      <c r="N43" s="214"/>
      <c r="O43" s="214"/>
      <c r="P43" s="214"/>
    </row>
    <row r="44" customHeight="1" spans="1:16">
      <c r="B44" s="50"/>
      <c r="C44" s="50"/>
      <c r="D44" s="50"/>
      <c r="E44" s="51"/>
      <c r="F44" s="51"/>
      <c r="G44" s="51"/>
      <c r="H44" s="213"/>
      <c r="I44" s="214"/>
      <c r="J44" s="214"/>
      <c r="K44" s="214"/>
      <c r="L44" s="214"/>
      <c r="M44" s="214"/>
      <c r="N44" s="214"/>
      <c r="O44" s="214"/>
      <c r="P44" s="214"/>
    </row>
    <row r="45" customHeight="1" spans="1:16">
      <c r="B45" s="50"/>
      <c r="C45" s="50"/>
      <c r="D45" s="50"/>
      <c r="E45" s="51"/>
      <c r="F45" s="51"/>
      <c r="G45" s="51"/>
      <c r="H45" s="213"/>
      <c r="I45" s="214"/>
      <c r="J45" s="214"/>
      <c r="K45" s="214"/>
      <c r="L45" s="214"/>
      <c r="M45" s="214"/>
      <c r="N45" s="214"/>
      <c r="O45" s="214"/>
      <c r="P45" s="214"/>
    </row>
    <row r="46" customHeight="1" spans="1:16">
      <c r="B46" s="50"/>
      <c r="C46" s="50"/>
      <c r="D46" s="50"/>
      <c r="E46" s="51"/>
      <c r="F46" s="51"/>
      <c r="G46" s="51"/>
      <c r="H46" s="213"/>
      <c r="I46" s="214"/>
      <c r="J46" s="214"/>
      <c r="K46" s="214"/>
      <c r="L46" s="214"/>
      <c r="M46" s="214"/>
      <c r="N46" s="214"/>
      <c r="O46" s="214"/>
      <c r="P46" s="214"/>
    </row>
  </sheetData>
  <sheetProtection formatCells="0" formatColumns="0" formatRows="0" insertRows="0" insertColumns="0" insertHyperlinks="0" deleteColumns="0" deleteRows="0" sort="0" autoFilter="0" pivotTables="0"/>
  <mergeCells count="1">
    <mergeCell ref="A1:P1"/>
  </mergeCells>
  <pageMargins left="0.432638888888889" right="0.156944444444444" top="0.904861111111111" bottom="0.708333333333333" header="0.314583333333333" footer="0.393055555555556"/>
  <pageSetup paperSize="9" scale="58" fitToHeight="0" orientation="portrait" horizontalDpi="600"/>
  <headerFooter>
    <oddFooter>&amp;C第 &amp;P 页，共 &amp;N 页</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K48"/>
  <sheetViews>
    <sheetView zoomScale="115" zoomScaleNormal="115" workbookViewId="0">
      <pane ySplit="4" topLeftCell="A5" activePane="bottomLeft" state="frozen"/>
      <selection/>
      <selection pane="bottomLeft" activeCell="G5" sqref="G5:G37"/>
    </sheetView>
  </sheetViews>
  <sheetFormatPr defaultColWidth="4.87962962962963" defaultRowHeight="16" customHeight="1"/>
  <cols>
    <col min="1" max="1" width="4.16666666666667" style="19" customWidth="1"/>
    <col min="2" max="2" width="6.46296296296296" style="19" customWidth="1"/>
    <col min="3" max="3" width="20.6296296296296" style="19" customWidth="1"/>
    <col min="4" max="4" width="6.62962962962963" style="20" customWidth="1"/>
    <col min="5" max="6" width="14.6296296296296" style="22" customWidth="1"/>
    <col min="7" max="7" width="14.6296296296296" style="207" customWidth="1"/>
    <col min="8" max="8" width="14.6296296296296" style="22" customWidth="1"/>
    <col min="9" max="10" width="17.2592592592593" style="22" customWidth="1"/>
    <col min="11" max="11" width="6.40740740740741" style="208" customWidth="1"/>
    <col min="12" max="12" width="5.37962962962963" style="23"/>
    <col min="13" max="16342" width="4.87962962962963" style="23"/>
  </cols>
  <sheetData>
    <row r="1" s="17" customFormat="1" ht="20.4" spans="1:11">
      <c r="A1" s="25" t="s">
        <v>329</v>
      </c>
      <c r="G1" s="209"/>
      <c r="K1" s="210"/>
    </row>
    <row r="2" s="17" customFormat="1" ht="20.4" spans="1:11">
      <c r="A2" s="25"/>
      <c r="G2" s="209"/>
      <c r="K2" s="210"/>
    </row>
    <row r="3" s="18" customFormat="1" ht="29.4" spans="1:11">
      <c r="A3" s="26" t="s">
        <v>78</v>
      </c>
      <c r="B3" s="26"/>
      <c r="C3" s="26"/>
      <c r="D3" s="26"/>
      <c r="E3" s="26"/>
      <c r="F3" s="26"/>
      <c r="G3" s="146"/>
      <c r="H3" s="26"/>
      <c r="I3" s="26"/>
      <c r="J3" s="26"/>
      <c r="K3" s="211"/>
    </row>
    <row r="4" s="18" customFormat="1" customHeight="1" spans="1:11">
      <c r="A4" s="28"/>
      <c r="B4" s="28"/>
      <c r="C4" s="29"/>
      <c r="D4" s="29"/>
      <c r="E4" s="46"/>
      <c r="F4" s="31"/>
      <c r="G4" s="212"/>
      <c r="H4" s="47" t="s">
        <v>330</v>
      </c>
      <c r="I4" s="47"/>
      <c r="J4" s="47"/>
      <c r="K4" s="211"/>
    </row>
    <row r="5" ht="29" customHeight="1" spans="1:11">
      <c r="A5" s="32" t="s">
        <v>1</v>
      </c>
      <c r="B5" s="33" t="s">
        <v>10</v>
      </c>
      <c r="C5" s="33" t="s">
        <v>8</v>
      </c>
      <c r="D5" s="33" t="s">
        <v>11</v>
      </c>
      <c r="E5" s="33" t="s">
        <v>331</v>
      </c>
      <c r="F5" s="33" t="s">
        <v>297</v>
      </c>
      <c r="G5" s="82" t="s">
        <v>332</v>
      </c>
      <c r="H5" s="33" t="s">
        <v>333</v>
      </c>
      <c r="I5" s="35" t="s">
        <v>157</v>
      </c>
      <c r="J5" s="86"/>
    </row>
    <row r="6" ht="19" customHeight="1" spans="1:11">
      <c r="A6" s="37">
        <f>ROW()-5</f>
        <v>1</v>
      </c>
      <c r="B6" s="38" t="s">
        <v>32</v>
      </c>
      <c r="C6" s="39" t="s">
        <v>307</v>
      </c>
      <c r="D6" s="38">
        <v>2</v>
      </c>
      <c r="E6" s="40">
        <f>SUMIFS(转置表!O:O,转置表!L:L,B6,转置表!J:J,C6,转置表!M:M,D6)</f>
        <v>3957</v>
      </c>
      <c r="F6" s="40">
        <f>SUMIFS(转置表!T:T,转置表!L:L,B6,转置表!J:J,C6,转置表!M:M,D6)</f>
        <v>25</v>
      </c>
      <c r="G6" s="83">
        <f>E6*H6*38</f>
        <v>54340</v>
      </c>
      <c r="H6" s="48">
        <f>(1300*2.2/30)*F6/E6*0.6</f>
        <v>0.361384887541067</v>
      </c>
      <c r="I6" s="42"/>
      <c r="J6" s="86"/>
      <c r="K6" s="208">
        <f>COUNTIFS(转置表!L:L,B6,转置表!J:J,C6,转置表!M:M,D6)</f>
        <v>2</v>
      </c>
    </row>
    <row r="7" ht="19" customHeight="1" spans="1:11">
      <c r="A7" s="37">
        <f>ROW()-5</f>
        <v>2</v>
      </c>
      <c r="B7" s="38" t="s">
        <v>32</v>
      </c>
      <c r="C7" s="39" t="s">
        <v>308</v>
      </c>
      <c r="D7" s="38">
        <v>2</v>
      </c>
      <c r="E7" s="40">
        <f>SUMIFS(转置表!O:O,转置表!L:L,B7,转置表!J:J,C7,转置表!M:M,D7)</f>
        <v>44234</v>
      </c>
      <c r="F7" s="40">
        <f>SUMIFS(转置表!T:T,转置表!L:L,B7,转置表!J:J,C7,转置表!M:M,D7)</f>
        <v>264.854166666802</v>
      </c>
      <c r="G7" s="83">
        <f>E7*H7*38</f>
        <v>575687.016666961</v>
      </c>
      <c r="H7" s="48">
        <f t="shared" ref="H7:H45" si="0">(1300*2.2/30)*F7/E7*0.6</f>
        <v>0.342488997905256</v>
      </c>
      <c r="I7" s="42"/>
      <c r="J7" s="86"/>
      <c r="K7" s="208">
        <f>COUNTIFS(转置表!L:L,B7,转置表!J:J,C7,转置表!M:M,D7)</f>
        <v>14</v>
      </c>
    </row>
    <row r="8" customHeight="1" spans="1:11">
      <c r="A8" s="37">
        <f t="shared" ref="A8:A17" si="1">ROW()-5</f>
        <v>3</v>
      </c>
      <c r="B8" s="38" t="s">
        <v>32</v>
      </c>
      <c r="C8" s="39" t="s">
        <v>309</v>
      </c>
      <c r="D8" s="38">
        <v>2</v>
      </c>
      <c r="E8" s="40">
        <f>SUMIFS(转置表!O:O,转置表!L:L,B8,转置表!J:J,C8,转置表!M:M,D8)</f>
        <v>21858</v>
      </c>
      <c r="F8" s="40">
        <f>SUMIFS(转置表!T:T,转置表!L:L,B8,转置表!J:J,C8,转置表!M:M,D8)</f>
        <v>182.666666666701</v>
      </c>
      <c r="G8" s="83">
        <f>E8*H8*38</f>
        <v>397044.266666741</v>
      </c>
      <c r="H8" s="48">
        <f t="shared" si="0"/>
        <v>0.478018726934546</v>
      </c>
      <c r="I8" s="43"/>
      <c r="J8" s="86"/>
      <c r="K8" s="208">
        <f>COUNTIFS(转置表!L:L,B8,转置表!J:J,C8,转置表!M:M,D8)</f>
        <v>6</v>
      </c>
    </row>
    <row r="9" customHeight="1" spans="1:11">
      <c r="A9" s="37">
        <f t="shared" si="1"/>
        <v>4</v>
      </c>
      <c r="B9" s="38" t="s">
        <v>32</v>
      </c>
      <c r="C9" s="39" t="s">
        <v>310</v>
      </c>
      <c r="D9" s="38">
        <v>2</v>
      </c>
      <c r="E9" s="40">
        <f>SUMIFS(转置表!O:O,转置表!L:L,B9,转置表!J:J,C9,转置表!M:M,D9)</f>
        <v>3835</v>
      </c>
      <c r="F9" s="40">
        <f>SUMIFS(转置表!T:T,转置表!L:L,B9,转置表!J:J,C9,转置表!M:M,D9)</f>
        <v>20.1041666667006</v>
      </c>
      <c r="G9" s="83">
        <f>E9*H9*38</f>
        <v>43698.4166667404</v>
      </c>
      <c r="H9" s="48">
        <f t="shared" si="0"/>
        <v>0.299858757062653</v>
      </c>
      <c r="I9" s="43"/>
      <c r="J9" s="86"/>
      <c r="K9" s="208">
        <f>COUNTIFS(转置表!L:L,B9,转置表!J:J,C9,转置表!M:M,D9)</f>
        <v>2</v>
      </c>
    </row>
    <row r="10" customHeight="1" spans="1:11">
      <c r="A10" s="37">
        <f t="shared" si="1"/>
        <v>5</v>
      </c>
      <c r="B10" s="38" t="s">
        <v>32</v>
      </c>
      <c r="C10" s="39" t="s">
        <v>311</v>
      </c>
      <c r="D10" s="38">
        <v>2</v>
      </c>
      <c r="E10" s="40">
        <f>SUMIFS(转置表!O:O,转置表!L:L,B10,转置表!J:J,C10,转置表!M:M,D10)</f>
        <v>12133</v>
      </c>
      <c r="F10" s="40">
        <f>SUMIFS(转置表!T:T,转置表!L:L,B10,转置表!J:J,C10,转置表!M:M,D10)</f>
        <v>93</v>
      </c>
      <c r="G10" s="83">
        <f t="shared" ref="G10:G39" si="2">E10*H10*38</f>
        <v>202144.8</v>
      </c>
      <c r="H10" s="48">
        <f t="shared" si="0"/>
        <v>0.438440616500453</v>
      </c>
      <c r="I10" s="43"/>
      <c r="J10" s="86"/>
      <c r="K10" s="208">
        <f>COUNTIFS(转置表!L:L,B10,转置表!J:J,C10,转置表!M:M,D10)</f>
        <v>8</v>
      </c>
    </row>
    <row r="11" customHeight="1" spans="1:11">
      <c r="A11" s="37">
        <f t="shared" si="1"/>
        <v>6</v>
      </c>
      <c r="B11" s="38" t="s">
        <v>32</v>
      </c>
      <c r="C11" s="39" t="s">
        <v>312</v>
      </c>
      <c r="D11" s="38">
        <v>2</v>
      </c>
      <c r="E11" s="40">
        <f>SUMIFS(转置表!O:O,转置表!L:L,B11,转置表!J:J,C11,转置表!M:M,D11)</f>
        <v>5497</v>
      </c>
      <c r="F11" s="40">
        <f>SUMIFS(转置表!T:T,转置表!L:L,B11,转置表!J:J,C11,转置表!M:M,D11)</f>
        <v>37</v>
      </c>
      <c r="G11" s="83">
        <f t="shared" si="2"/>
        <v>80423.2</v>
      </c>
      <c r="H11" s="48">
        <f t="shared" si="0"/>
        <v>0.385010005457522</v>
      </c>
      <c r="I11" s="43"/>
      <c r="J11" s="86"/>
      <c r="K11" s="208">
        <f>COUNTIFS(转置表!L:L,B11,转置表!J:J,C11,转置表!M:M,D11)</f>
        <v>2</v>
      </c>
    </row>
    <row r="12" customHeight="1" spans="1:11">
      <c r="A12" s="37">
        <f t="shared" si="1"/>
        <v>7</v>
      </c>
      <c r="B12" s="38" t="s">
        <v>32</v>
      </c>
      <c r="C12" s="39" t="s">
        <v>313</v>
      </c>
      <c r="D12" s="38">
        <v>2</v>
      </c>
      <c r="E12" s="40">
        <f>SUMIFS(转置表!O:O,转置表!L:L,B12,转置表!J:J,C12,转置表!M:M,D12)</f>
        <v>3444</v>
      </c>
      <c r="F12" s="40">
        <f>SUMIFS(转置表!T:T,转置表!L:L,B12,转置表!J:J,C12,转置表!M:M,D12)</f>
        <v>30.8125</v>
      </c>
      <c r="G12" s="83">
        <f t="shared" si="2"/>
        <v>66974.05</v>
      </c>
      <c r="H12" s="48">
        <f t="shared" si="0"/>
        <v>0.511752322880372</v>
      </c>
      <c r="I12" s="43"/>
      <c r="J12" s="86"/>
      <c r="K12" s="208">
        <f>COUNTIFS(转置表!L:L,B12,转置表!J:J,C12,转置表!M:M,D12)</f>
        <v>2</v>
      </c>
    </row>
    <row r="13" customHeight="1" spans="1:11">
      <c r="A13" s="37">
        <f t="shared" si="1"/>
        <v>8</v>
      </c>
      <c r="B13" s="38" t="s">
        <v>32</v>
      </c>
      <c r="C13" s="39" t="s">
        <v>314</v>
      </c>
      <c r="D13" s="38">
        <v>2</v>
      </c>
      <c r="E13" s="40">
        <f>SUMIFS(转置表!O:O,转置表!L:L,B13,转置表!J:J,C13,转置表!M:M,D13)</f>
        <v>2492</v>
      </c>
      <c r="F13" s="40">
        <f>SUMIFS(转置表!T:T,转置表!L:L,B13,转置表!J:J,C13,转置表!M:M,D13)</f>
        <v>12</v>
      </c>
      <c r="G13" s="83">
        <f t="shared" si="2"/>
        <v>26083.2</v>
      </c>
      <c r="H13" s="48">
        <f t="shared" si="0"/>
        <v>0.275441412520064</v>
      </c>
      <c r="I13" s="44" t="s">
        <v>334</v>
      </c>
      <c r="J13" s="88"/>
      <c r="K13" s="208">
        <f>COUNTIFS(转置表!L:L,B13,转置表!J:J,C13,转置表!M:M,D13)</f>
        <v>1</v>
      </c>
    </row>
    <row r="14" customHeight="1" spans="1:11">
      <c r="A14" s="37">
        <f t="shared" si="1"/>
        <v>9</v>
      </c>
      <c r="B14" s="38" t="s">
        <v>32</v>
      </c>
      <c r="C14" s="39" t="s">
        <v>315</v>
      </c>
      <c r="D14" s="38">
        <v>2</v>
      </c>
      <c r="E14" s="40">
        <f>SUMIFS(转置表!O:O,转置表!L:L,B14,转置表!J:J,C14,转置表!M:M,D14)</f>
        <v>3321</v>
      </c>
      <c r="F14" s="40">
        <f>SUMIFS(转置表!T:T,转置表!L:L,B14,转置表!J:J,C14,转置表!M:M,D14)</f>
        <v>20.4166666665988</v>
      </c>
      <c r="G14" s="83">
        <f t="shared" si="2"/>
        <v>44377.6666665192</v>
      </c>
      <c r="H14" s="48">
        <f t="shared" si="0"/>
        <v>0.351651109102515</v>
      </c>
      <c r="I14" s="43"/>
      <c r="J14" s="86"/>
      <c r="K14" s="208">
        <f>COUNTIFS(转置表!L:L,B14,转置表!J:J,C14,转置表!M:M,D14)</f>
        <v>1</v>
      </c>
    </row>
    <row r="15" customHeight="1" spans="1:11">
      <c r="A15" s="37">
        <f t="shared" si="1"/>
        <v>10</v>
      </c>
      <c r="B15" s="38" t="s">
        <v>32</v>
      </c>
      <c r="C15" s="39" t="s">
        <v>316</v>
      </c>
      <c r="D15" s="38">
        <v>2</v>
      </c>
      <c r="E15" s="40">
        <f>SUMIFS(转置表!O:O,转置表!L:L,B15,转置表!J:J,C15,转置表!M:M,D15)</f>
        <v>16455</v>
      </c>
      <c r="F15" s="40">
        <f>SUMIFS(转置表!T:T,转置表!L:L,B15,转置表!J:J,C15,转置表!M:M,D15)</f>
        <v>142.583333333299</v>
      </c>
      <c r="G15" s="83">
        <f t="shared" si="2"/>
        <v>309919.133333259</v>
      </c>
      <c r="H15" s="48">
        <f t="shared" si="0"/>
        <v>0.495640636078074</v>
      </c>
      <c r="I15" s="43"/>
      <c r="J15" s="86"/>
      <c r="K15" s="208">
        <f>COUNTIFS(转置表!L:L,B15,转置表!J:J,C15,转置表!M:M,D15)</f>
        <v>5</v>
      </c>
    </row>
    <row r="16" customHeight="1" spans="1:11">
      <c r="A16" s="37">
        <f t="shared" ref="A16:A38" si="3">ROW()-5</f>
        <v>11</v>
      </c>
      <c r="B16" s="38" t="s">
        <v>32</v>
      </c>
      <c r="C16" s="39" t="s">
        <v>317</v>
      </c>
      <c r="D16" s="38">
        <v>2</v>
      </c>
      <c r="E16" s="40">
        <f>SUMIFS(转置表!O:O,转置表!L:L,B16,转置表!J:J,C16,转置表!M:M,D16)</f>
        <v>2468</v>
      </c>
      <c r="F16" s="40">
        <f>SUMIFS(转置表!T:T,转置表!L:L,B16,转置表!J:J,C16,转置表!M:M,D16)</f>
        <v>16</v>
      </c>
      <c r="G16" s="83">
        <f t="shared" si="2"/>
        <v>34777.6</v>
      </c>
      <c r="H16" s="48">
        <f t="shared" si="0"/>
        <v>0.370826580226904</v>
      </c>
      <c r="I16" s="43"/>
      <c r="J16" s="86"/>
      <c r="K16" s="208">
        <f>COUNTIFS(转置表!L:L,B16,转置表!J:J,C16,转置表!M:M,D16)</f>
        <v>1</v>
      </c>
    </row>
    <row r="17" customHeight="1" spans="1:11">
      <c r="A17" s="37">
        <f t="shared" si="3"/>
        <v>12</v>
      </c>
      <c r="B17" s="38" t="s">
        <v>32</v>
      </c>
      <c r="C17" s="39" t="s">
        <v>318</v>
      </c>
      <c r="D17" s="38">
        <v>2</v>
      </c>
      <c r="E17" s="40">
        <f>SUMIFS(转置表!O:O,转置表!L:L,B17,转置表!J:J,C17,转置表!M:M,D17)</f>
        <v>9956</v>
      </c>
      <c r="F17" s="40">
        <f>SUMIFS(转置表!T:T,转置表!L:L,B17,转置表!J:J,C17,转置表!M:M,D17)</f>
        <v>72.7916666667006</v>
      </c>
      <c r="G17" s="83">
        <f t="shared" si="2"/>
        <v>158219.96666674</v>
      </c>
      <c r="H17" s="48">
        <f t="shared" si="0"/>
        <v>0.418208450515797</v>
      </c>
      <c r="I17" s="43"/>
      <c r="J17" s="86"/>
      <c r="K17" s="208">
        <f>COUNTIFS(转置表!L:L,B17,转置表!J:J,C17,转置表!M:M,D17)</f>
        <v>2</v>
      </c>
    </row>
    <row r="18" customHeight="1" spans="1:11">
      <c r="A18" s="37">
        <f t="shared" si="3"/>
        <v>13</v>
      </c>
      <c r="B18" s="38" t="s">
        <v>32</v>
      </c>
      <c r="C18" s="45" t="s">
        <v>319</v>
      </c>
      <c r="D18" s="38">
        <v>2</v>
      </c>
      <c r="E18" s="40">
        <f>SUMIFS(转置表!O:O,转置表!L:L,B18,转置表!J:J,C18,转置表!M:M,D18)</f>
        <v>4402</v>
      </c>
      <c r="F18" s="40">
        <f>SUMIFS(转置表!T:T,转置表!L:L,B18,转置表!J:J,C18,转置表!M:M,D18)</f>
        <v>22</v>
      </c>
      <c r="G18" s="83">
        <f t="shared" si="2"/>
        <v>47819.2</v>
      </c>
      <c r="H18" s="48">
        <f t="shared" si="0"/>
        <v>0.285870059064062</v>
      </c>
      <c r="I18" s="43"/>
      <c r="J18" s="86"/>
      <c r="K18" s="208">
        <f>COUNTIFS(转置表!L:L,B18,转置表!J:J,C18,转置表!M:M,D18)</f>
        <v>2</v>
      </c>
    </row>
    <row r="19" customHeight="1" spans="1:11">
      <c r="A19" s="37">
        <f t="shared" si="3"/>
        <v>14</v>
      </c>
      <c r="B19" s="38" t="s">
        <v>32</v>
      </c>
      <c r="C19" s="39" t="s">
        <v>320</v>
      </c>
      <c r="D19" s="38">
        <v>2</v>
      </c>
      <c r="E19" s="40">
        <f>SUMIFS(转置表!O:O,转置表!L:L,B19,转置表!J:J,C19,转置表!M:M,D19)</f>
        <v>2775</v>
      </c>
      <c r="F19" s="40">
        <f>SUMIFS(转置表!T:T,转置表!L:L,B19,转置表!J:J,C19,转置表!M:M,D19)</f>
        <v>21</v>
      </c>
      <c r="G19" s="83">
        <f t="shared" si="2"/>
        <v>45645.6</v>
      </c>
      <c r="H19" s="48">
        <f t="shared" si="0"/>
        <v>0.432864864864865</v>
      </c>
      <c r="I19" s="43"/>
      <c r="J19" s="86"/>
      <c r="K19" s="208">
        <f>COUNTIFS(转置表!L:L,B19,转置表!J:J,C19,转置表!M:M,D19)</f>
        <v>1</v>
      </c>
    </row>
    <row r="20" customHeight="1" spans="1:11">
      <c r="A20" s="37">
        <f t="shared" si="3"/>
        <v>15</v>
      </c>
      <c r="B20" s="38" t="s">
        <v>32</v>
      </c>
      <c r="C20" s="39" t="s">
        <v>321</v>
      </c>
      <c r="D20" s="38">
        <v>2</v>
      </c>
      <c r="E20" s="40">
        <f>SUMIFS(转置表!O:O,转置表!L:L,B20,转置表!J:J,C20,转置表!M:M,D20)</f>
        <v>10593</v>
      </c>
      <c r="F20" s="40">
        <f>SUMIFS(转置表!T:T,转置表!L:L,B20,转置表!J:J,C20,转置表!M:M,D20)</f>
        <v>71</v>
      </c>
      <c r="G20" s="83">
        <f t="shared" si="2"/>
        <v>154325.6</v>
      </c>
      <c r="H20" s="48">
        <f t="shared" si="0"/>
        <v>0.383385254413292</v>
      </c>
      <c r="I20" s="43"/>
      <c r="J20" s="86"/>
      <c r="K20" s="208">
        <f>COUNTIFS(转置表!L:L,B20,转置表!J:J,C20,转置表!M:M,D20)</f>
        <v>4</v>
      </c>
    </row>
    <row r="21" customHeight="1" spans="1:11">
      <c r="A21" s="37">
        <f t="shared" si="3"/>
        <v>16</v>
      </c>
      <c r="B21" s="38" t="s">
        <v>38</v>
      </c>
      <c r="C21" s="39" t="s">
        <v>30</v>
      </c>
      <c r="D21" s="38">
        <v>2</v>
      </c>
      <c r="E21" s="40">
        <f>SUMIFS(转置表!O:O,转置表!L:L,B21,转置表!J:J,C21,转置表!M:M,D21)</f>
        <v>19739</v>
      </c>
      <c r="F21" s="40">
        <f>SUMIFS(转置表!T:T,转置表!L:L,B21,转置表!J:J,C21,转置表!M:M,D21)</f>
        <v>123.812500000102</v>
      </c>
      <c r="G21" s="83">
        <f t="shared" si="2"/>
        <v>269118.850000222</v>
      </c>
      <c r="H21" s="48">
        <f t="shared" si="0"/>
        <v>0.358785906074565</v>
      </c>
      <c r="I21" s="43"/>
      <c r="J21" s="86"/>
      <c r="K21" s="208">
        <f>COUNTIFS(转置表!L:L,B21,转置表!J:J,C21,转置表!M:M,D21)</f>
        <v>8</v>
      </c>
    </row>
    <row r="22" customHeight="1" spans="1:11">
      <c r="A22" s="37">
        <f t="shared" si="3"/>
        <v>17</v>
      </c>
      <c r="B22" s="38" t="s">
        <v>38</v>
      </c>
      <c r="C22" s="39" t="s">
        <v>322</v>
      </c>
      <c r="D22" s="38">
        <v>2</v>
      </c>
      <c r="E22" s="40">
        <f>SUMIFS(转置表!O:O,转置表!L:L,B22,转置表!J:J,C22,转置表!M:M,D22)</f>
        <v>4804</v>
      </c>
      <c r="F22" s="40">
        <f>SUMIFS(转置表!T:T,转置表!L:L,B22,转置表!J:J,C22,转置表!M:M,D22)</f>
        <v>38.9166666667006</v>
      </c>
      <c r="G22" s="83">
        <f t="shared" si="2"/>
        <v>84589.2666667404</v>
      </c>
      <c r="H22" s="48">
        <f t="shared" si="0"/>
        <v>0.463370802109757</v>
      </c>
      <c r="I22" s="43"/>
      <c r="J22" s="86"/>
      <c r="K22" s="208">
        <f>COUNTIFS(转置表!L:L,B22,转置表!J:J,C22,转置表!M:M,D22)</f>
        <v>1</v>
      </c>
    </row>
    <row r="23" customHeight="1" spans="1:11">
      <c r="A23" s="37">
        <f t="shared" si="3"/>
        <v>18</v>
      </c>
      <c r="B23" s="38" t="s">
        <v>38</v>
      </c>
      <c r="C23" s="39" t="s">
        <v>323</v>
      </c>
      <c r="D23" s="38">
        <v>2</v>
      </c>
      <c r="E23" s="40">
        <f>SUMIFS(转置表!O:O,转置表!L:L,B23,转置表!J:J,C23,转置表!M:M,D23)</f>
        <v>18574</v>
      </c>
      <c r="F23" s="40">
        <f>SUMIFS(转置表!T:T,转置表!L:L,B23,转置表!J:J,C23,转置表!M:M,D23)</f>
        <v>100.5243055557</v>
      </c>
      <c r="G23" s="83">
        <f t="shared" si="2"/>
        <v>218499.63055587</v>
      </c>
      <c r="H23" s="48">
        <f t="shared" si="0"/>
        <v>0.309571997296546</v>
      </c>
      <c r="I23" s="43"/>
      <c r="J23" s="86"/>
      <c r="K23" s="208">
        <f>COUNTIFS(转置表!L:L,B23,转置表!J:J,C23,转置表!M:M,D23)</f>
        <v>3</v>
      </c>
    </row>
    <row r="24" customHeight="1" spans="1:11">
      <c r="A24" s="37">
        <f t="shared" si="3"/>
        <v>19</v>
      </c>
      <c r="B24" s="38" t="s">
        <v>38</v>
      </c>
      <c r="C24" s="39" t="s">
        <v>321</v>
      </c>
      <c r="D24" s="38">
        <v>2</v>
      </c>
      <c r="E24" s="40">
        <f>SUMIFS(转置表!O:O,转置表!L:L,B24,转置表!J:J,C24,转置表!M:M,D24)</f>
        <v>8000</v>
      </c>
      <c r="F24" s="40">
        <f>SUMIFS(转置表!T:T,转置表!L:L,B24,转置表!J:J,C24,转置表!M:M,D24)</f>
        <v>83.125</v>
      </c>
      <c r="G24" s="83">
        <f t="shared" si="2"/>
        <v>180680.5</v>
      </c>
      <c r="H24" s="48">
        <f t="shared" si="0"/>
        <v>0.59434375</v>
      </c>
      <c r="I24" s="43"/>
      <c r="J24" s="86"/>
      <c r="K24" s="208">
        <f>COUNTIFS(转置表!L:L,B24,转置表!J:J,C24,转置表!M:M,D24)</f>
        <v>2</v>
      </c>
    </row>
    <row r="25" customHeight="1" spans="1:11">
      <c r="A25" s="37">
        <f t="shared" si="3"/>
        <v>20</v>
      </c>
      <c r="B25" s="38" t="s">
        <v>32</v>
      </c>
      <c r="C25" s="39" t="s">
        <v>30</v>
      </c>
      <c r="D25" s="38">
        <v>3</v>
      </c>
      <c r="E25" s="40">
        <f>SUMIFS(转置表!O:O,转置表!L:L,B25,转置表!J:J,C25,转置表!M:M,D25)</f>
        <v>18653</v>
      </c>
      <c r="F25" s="40">
        <f>SUMIFS(转置表!T:T,转置表!L:L,B25,转置表!J:J,C25,转置表!M:M,D25)</f>
        <v>147</v>
      </c>
      <c r="G25" s="83">
        <f t="shared" si="2"/>
        <v>319519.2</v>
      </c>
      <c r="H25" s="48">
        <f t="shared" si="0"/>
        <v>0.450780035383048</v>
      </c>
      <c r="I25" s="43"/>
      <c r="J25" s="86"/>
      <c r="K25" s="208">
        <f>COUNTIFS(转置表!L:L,B25,转置表!J:J,C25,转置表!M:M,D25)</f>
        <v>5</v>
      </c>
    </row>
    <row r="26" customHeight="1" spans="1:11">
      <c r="A26" s="37">
        <f t="shared" si="3"/>
        <v>21</v>
      </c>
      <c r="B26" s="38" t="s">
        <v>32</v>
      </c>
      <c r="C26" s="39" t="s">
        <v>324</v>
      </c>
      <c r="D26" s="38">
        <v>3</v>
      </c>
      <c r="E26" s="40">
        <f>SUMIFS(转置表!O:O,转置表!L:L,B26,转置表!J:J,C26,转置表!M:M,D26)</f>
        <v>7594</v>
      </c>
      <c r="F26" s="40">
        <f>SUMIFS(转置表!T:T,转置表!L:L,B26,转置表!J:J,C26,转置表!M:M,D26)</f>
        <v>42.9375</v>
      </c>
      <c r="G26" s="83">
        <f t="shared" si="2"/>
        <v>93328.95</v>
      </c>
      <c r="H26" s="48">
        <f t="shared" si="0"/>
        <v>0.323416513036608</v>
      </c>
      <c r="I26" s="43"/>
      <c r="J26" s="86"/>
      <c r="K26" s="208">
        <f>COUNTIFS(转置表!L:L,B26,转置表!J:J,C26,转置表!M:M,D26)</f>
        <v>2</v>
      </c>
    </row>
    <row r="27" customHeight="1" spans="1:11">
      <c r="A27" s="37">
        <f t="shared" si="3"/>
        <v>22</v>
      </c>
      <c r="B27" s="38" t="s">
        <v>32</v>
      </c>
      <c r="C27" s="39" t="s">
        <v>325</v>
      </c>
      <c r="D27" s="38">
        <v>3</v>
      </c>
      <c r="E27" s="40">
        <f>SUMIFS(转置表!O:O,转置表!L:L,B27,转置表!J:J,C27,转置表!M:M,D27)</f>
        <v>23072</v>
      </c>
      <c r="F27" s="40">
        <f>SUMIFS(转置表!T:T,转置表!L:L,B27,转置表!J:J,C27,转置表!M:M,D27)</f>
        <v>153.791666666599</v>
      </c>
      <c r="G27" s="83">
        <f t="shared" si="2"/>
        <v>334281.56666652</v>
      </c>
      <c r="H27" s="48">
        <f t="shared" si="0"/>
        <v>0.381279617429328</v>
      </c>
      <c r="I27" s="43"/>
      <c r="J27" s="86"/>
      <c r="K27" s="208">
        <f>COUNTIFS(转置表!L:L,B27,转置表!J:J,C27,转置表!M:M,D27)</f>
        <v>5</v>
      </c>
    </row>
    <row r="28" customHeight="1" spans="1:11">
      <c r="A28" s="37">
        <f t="shared" si="3"/>
        <v>23</v>
      </c>
      <c r="B28" s="38" t="s">
        <v>32</v>
      </c>
      <c r="C28" s="39" t="s">
        <v>323</v>
      </c>
      <c r="D28" s="38">
        <v>3</v>
      </c>
      <c r="E28" s="40">
        <f>SUMIFS(转置表!O:O,转置表!L:L,B28,转置表!J:J,C28,转置表!M:M,D28)</f>
        <v>3732</v>
      </c>
      <c r="F28" s="40">
        <f>SUMIFS(转置表!T:T,转置表!L:L,B28,转置表!J:J,C28,转置表!M:M,D28)</f>
        <v>39</v>
      </c>
      <c r="G28" s="83">
        <f t="shared" si="2"/>
        <v>84770.4</v>
      </c>
      <c r="H28" s="48">
        <f t="shared" si="0"/>
        <v>0.597749196141479</v>
      </c>
      <c r="I28" s="43"/>
      <c r="J28" s="86"/>
      <c r="K28" s="208">
        <f>COUNTIFS(转置表!L:L,B28,转置表!J:J,C28,转置表!M:M,D28)</f>
        <v>1</v>
      </c>
    </row>
    <row r="29" customHeight="1" spans="1:11">
      <c r="A29" s="37">
        <f t="shared" si="3"/>
        <v>24</v>
      </c>
      <c r="B29" s="38" t="s">
        <v>32</v>
      </c>
      <c r="C29" s="39" t="s">
        <v>310</v>
      </c>
      <c r="D29" s="38">
        <v>3</v>
      </c>
      <c r="E29" s="40">
        <f>SUMIFS(转置表!O:O,转置表!L:L,B29,转置表!J:J,C29,转置表!M:M,D29)</f>
        <v>8427</v>
      </c>
      <c r="F29" s="40">
        <f>SUMIFS(转置表!T:T,转置表!L:L,B29,转置表!J:J,C29,转置表!M:M,D29)</f>
        <v>113.083333333401</v>
      </c>
      <c r="G29" s="83">
        <f t="shared" si="2"/>
        <v>245797.93333348</v>
      </c>
      <c r="H29" s="48">
        <f t="shared" si="0"/>
        <v>0.767576440805807</v>
      </c>
      <c r="I29" s="43"/>
      <c r="J29" s="86"/>
      <c r="K29" s="208">
        <f>COUNTIFS(转置表!L:L,B29,转置表!J:J,C29,转置表!M:M,D29)</f>
        <v>2</v>
      </c>
    </row>
    <row r="30" customHeight="1" spans="1:11">
      <c r="A30" s="37">
        <f t="shared" si="3"/>
        <v>25</v>
      </c>
      <c r="B30" s="38" t="s">
        <v>32</v>
      </c>
      <c r="C30" s="39" t="s">
        <v>326</v>
      </c>
      <c r="D30" s="38">
        <v>3</v>
      </c>
      <c r="E30" s="40">
        <f>SUMIFS(转置表!O:O,转置表!L:L,B30,转置表!J:J,C30,转置表!M:M,D30)</f>
        <v>10314</v>
      </c>
      <c r="F30" s="40">
        <f>SUMIFS(转置表!T:T,转置表!L:L,B30,转置表!J:J,C30,转置表!M:M,D30)</f>
        <v>126</v>
      </c>
      <c r="G30" s="83">
        <f t="shared" si="2"/>
        <v>273873.6</v>
      </c>
      <c r="H30" s="48">
        <f t="shared" si="0"/>
        <v>0.698778359511344</v>
      </c>
      <c r="I30" s="43"/>
      <c r="J30" s="86"/>
      <c r="K30" s="208">
        <f>COUNTIFS(转置表!L:L,B30,转置表!J:J,C30,转置表!M:M,D30)</f>
        <v>2</v>
      </c>
    </row>
    <row r="31" customHeight="1" spans="1:11">
      <c r="A31" s="37">
        <f t="shared" si="3"/>
        <v>26</v>
      </c>
      <c r="B31" s="38" t="s">
        <v>32</v>
      </c>
      <c r="C31" s="39" t="s">
        <v>327</v>
      </c>
      <c r="D31" s="38">
        <v>3</v>
      </c>
      <c r="E31" s="40">
        <f>SUMIFS(转置表!O:O,转置表!L:L,B31,转置表!J:J,C31,转置表!M:M,D31)</f>
        <v>30995</v>
      </c>
      <c r="F31" s="40">
        <f>SUMIFS(转置表!T:T,转置表!L:L,B31,转置表!J:J,C31,转置表!M:M,D31)</f>
        <v>201.083333333365</v>
      </c>
      <c r="G31" s="83">
        <f t="shared" si="2"/>
        <v>437074.733333402</v>
      </c>
      <c r="H31" s="48">
        <f t="shared" si="0"/>
        <v>0.371091036188691</v>
      </c>
      <c r="I31" s="43"/>
      <c r="J31" s="86"/>
      <c r="K31" s="208">
        <f>COUNTIFS(转置表!L:L,B31,转置表!J:J,C31,转置表!M:M,D31)</f>
        <v>7</v>
      </c>
    </row>
    <row r="32" customHeight="1" spans="1:11">
      <c r="A32" s="37">
        <f t="shared" si="3"/>
        <v>27</v>
      </c>
      <c r="B32" s="38" t="s">
        <v>32</v>
      </c>
      <c r="C32" s="39" t="s">
        <v>328</v>
      </c>
      <c r="D32" s="38">
        <v>3</v>
      </c>
      <c r="E32" s="40">
        <f>SUMIFS(转置表!O:O,转置表!L:L,B32,转置表!J:J,C32,转置表!M:M,D32)</f>
        <v>27892</v>
      </c>
      <c r="F32" s="40">
        <f>SUMIFS(转置表!T:T,转置表!L:L,B32,转置表!J:J,C32,转置表!M:M,D32)</f>
        <v>222.895833333198</v>
      </c>
      <c r="G32" s="83">
        <f t="shared" si="2"/>
        <v>484486.383333039</v>
      </c>
      <c r="H32" s="48">
        <f t="shared" si="0"/>
        <v>0.45710747406636</v>
      </c>
      <c r="I32" s="43"/>
      <c r="J32" s="86"/>
      <c r="K32" s="208">
        <f>COUNTIFS(转置表!L:L,B32,转置表!J:J,C32,转置表!M:M,D32)</f>
        <v>5</v>
      </c>
    </row>
    <row r="33" customHeight="1" spans="1:11">
      <c r="A33" s="37">
        <f t="shared" si="3"/>
        <v>28</v>
      </c>
      <c r="B33" s="38" t="s">
        <v>32</v>
      </c>
      <c r="C33" s="39" t="s">
        <v>318</v>
      </c>
      <c r="D33" s="38">
        <v>3</v>
      </c>
      <c r="E33" s="40">
        <f>SUMIFS(转置表!O:O,转置表!L:L,B33,转置表!J:J,C33,转置表!M:M,D33)</f>
        <v>42074</v>
      </c>
      <c r="F33" s="40">
        <f>SUMIFS(转置表!T:T,转置表!L:L,B33,转置表!J:J,C33,转置表!M:M,D33)</f>
        <v>377.7325</v>
      </c>
      <c r="G33" s="83">
        <f t="shared" si="2"/>
        <v>821039.362</v>
      </c>
      <c r="H33" s="48">
        <f t="shared" si="0"/>
        <v>0.513530897941722</v>
      </c>
      <c r="I33" s="43"/>
      <c r="J33" s="86"/>
      <c r="K33" s="208">
        <f>COUNTIFS(转置表!L:L,B33,转置表!J:J,C33,转置表!M:M,D33)</f>
        <v>8</v>
      </c>
    </row>
    <row r="34" customHeight="1" spans="1:11">
      <c r="A34" s="37">
        <f t="shared" si="3"/>
        <v>29</v>
      </c>
      <c r="B34" s="38" t="s">
        <v>38</v>
      </c>
      <c r="C34" s="39" t="s">
        <v>30</v>
      </c>
      <c r="D34" s="38">
        <v>3</v>
      </c>
      <c r="E34" s="40">
        <f>SUMIFS(转置表!O:O,转置表!L:L,B34,转置表!J:J,C34,转置表!M:M,D34)</f>
        <v>0</v>
      </c>
      <c r="F34" s="40">
        <f>SUMIFS(转置表!T:T,转置表!L:L,B34,转置表!J:J,C34,转置表!M:M,D34)</f>
        <v>0</v>
      </c>
      <c r="G34" s="83" t="e">
        <f t="shared" si="2"/>
        <v>#DIV/0!</v>
      </c>
      <c r="H34" s="48" t="e">
        <f t="shared" si="0"/>
        <v>#DIV/0!</v>
      </c>
      <c r="I34" s="43"/>
      <c r="J34" s="86"/>
      <c r="K34" s="208">
        <f>COUNTIFS(转置表!L:L,B34,转置表!J:J,C34,转置表!M:M,D34)</f>
        <v>0</v>
      </c>
    </row>
    <row r="35" customHeight="1" spans="1:11">
      <c r="A35" s="37">
        <f t="shared" si="3"/>
        <v>30</v>
      </c>
      <c r="B35" s="38" t="s">
        <v>38</v>
      </c>
      <c r="C35" s="39" t="s">
        <v>322</v>
      </c>
      <c r="D35" s="38">
        <v>3</v>
      </c>
      <c r="E35" s="40">
        <f>SUMIFS(转置表!O:O,转置表!L:L,B35,转置表!J:J,C35,转置表!M:M,D35)</f>
        <v>8218</v>
      </c>
      <c r="F35" s="40">
        <f>SUMIFS(转置表!T:T,转置表!L:L,B35,转置表!J:J,C35,转置表!M:M,D35)</f>
        <v>62</v>
      </c>
      <c r="G35" s="83">
        <f t="shared" si="2"/>
        <v>134763.2</v>
      </c>
      <c r="H35" s="48">
        <f t="shared" si="0"/>
        <v>0.431540520807982</v>
      </c>
      <c r="I35" s="43"/>
      <c r="J35" s="86"/>
      <c r="K35" s="208">
        <f>COUNTIFS(转置表!L:L,B35,转置表!J:J,C35,转置表!M:M,D35)</f>
        <v>2</v>
      </c>
    </row>
    <row r="36" customHeight="1" spans="1:11">
      <c r="A36" s="37">
        <f t="shared" si="3"/>
        <v>31</v>
      </c>
      <c r="B36" s="38" t="s">
        <v>38</v>
      </c>
      <c r="C36" s="39" t="s">
        <v>323</v>
      </c>
      <c r="D36" s="38">
        <v>3</v>
      </c>
      <c r="E36" s="40">
        <f>SUMIFS(转置表!O:O,转置表!L:L,B36,转置表!J:J,C36,转置表!M:M,D36)</f>
        <v>43535</v>
      </c>
      <c r="F36" s="40">
        <f>SUMIFS(转置表!T:T,转置表!L:L,B36,转置表!J:J,C36,转置表!M:M,D36)</f>
        <v>389</v>
      </c>
      <c r="G36" s="83">
        <f t="shared" si="2"/>
        <v>845530.4</v>
      </c>
      <c r="H36" s="48">
        <f t="shared" si="0"/>
        <v>0.511101412656483</v>
      </c>
      <c r="I36" s="44" t="s">
        <v>335</v>
      </c>
      <c r="J36" s="88"/>
      <c r="K36" s="208">
        <f>COUNTIFS(转置表!L:L,B36,转置表!J:J,C36,转置表!M:M,D36)</f>
        <v>7</v>
      </c>
    </row>
    <row r="37" customHeight="1" spans="1:11">
      <c r="A37" s="37">
        <f t="shared" si="3"/>
        <v>32</v>
      </c>
      <c r="B37" s="38" t="s">
        <v>38</v>
      </c>
      <c r="C37" s="39" t="s">
        <v>44</v>
      </c>
      <c r="D37" s="38">
        <v>3</v>
      </c>
      <c r="E37" s="40">
        <f>SUMIFS(转置表!O:O,转置表!L:L,B37,转置表!J:J,C37,转置表!M:M,D37)</f>
        <v>5842</v>
      </c>
      <c r="F37" s="40">
        <f>SUMIFS(转置表!T:T,转置表!L:L,B37,转置表!J:J,C37,转置表!M:M,D37)</f>
        <v>46.71</v>
      </c>
      <c r="G37" s="83">
        <f t="shared" si="2"/>
        <v>101528.856</v>
      </c>
      <c r="H37" s="48">
        <f t="shared" si="0"/>
        <v>0.457345429647381</v>
      </c>
      <c r="I37" s="43"/>
      <c r="J37" s="86"/>
      <c r="K37" s="208">
        <f>COUNTIFS(转置表!L:L,B37,转置表!J:J,C37,转置表!M:M,D37)</f>
        <v>1</v>
      </c>
    </row>
    <row r="38" customHeight="1" spans="1:11">
      <c r="A38" s="37">
        <f t="shared" si="3"/>
        <v>33</v>
      </c>
      <c r="B38" s="38" t="s">
        <v>32</v>
      </c>
      <c r="C38" s="39" t="s">
        <v>30</v>
      </c>
      <c r="D38" s="38">
        <v>4</v>
      </c>
      <c r="E38" s="40">
        <f>SUMIFS(转置表!O:O,转置表!L:L,B38,转置表!J:J,C38,转置表!M:M,D38)</f>
        <v>14474</v>
      </c>
      <c r="F38" s="40">
        <f>SUMIFS(转置表!T:T,转置表!L:L,B38,转置表!J:J,C38,转置表!M:M,D38)</f>
        <v>152.770833333401</v>
      </c>
      <c r="G38" s="133">
        <f t="shared" si="2"/>
        <v>332062.68333348</v>
      </c>
      <c r="H38" s="48">
        <f t="shared" si="0"/>
        <v>0.603737160886454</v>
      </c>
      <c r="I38" s="43"/>
      <c r="J38" s="86"/>
      <c r="K38" s="208">
        <f>COUNTIFS(转置表!L:L,B38,转置表!J:J,C38,转置表!M:M,D38)</f>
        <v>3</v>
      </c>
    </row>
    <row r="39" customHeight="1" spans="1:11">
      <c r="B39" s="50" t="s">
        <v>32</v>
      </c>
      <c r="C39" s="50" t="s">
        <v>336</v>
      </c>
      <c r="D39" s="50">
        <v>3</v>
      </c>
      <c r="E39" s="51">
        <v>6082</v>
      </c>
      <c r="F39" s="51">
        <v>52.75</v>
      </c>
      <c r="G39" s="213">
        <f t="shared" si="2"/>
        <v>114657.4</v>
      </c>
      <c r="H39" s="182">
        <f t="shared" si="0"/>
        <v>0.496103255508057</v>
      </c>
    </row>
    <row r="40" customHeight="1" spans="1:11">
      <c r="B40" s="50" t="s">
        <v>32</v>
      </c>
      <c r="C40" s="50" t="s">
        <v>337</v>
      </c>
      <c r="D40" s="50">
        <v>3</v>
      </c>
      <c r="E40" s="51">
        <v>5220</v>
      </c>
      <c r="F40" s="51">
        <v>53.5</v>
      </c>
      <c r="G40" s="213">
        <f t="shared" ref="G40:G48" si="4">E40*H40*38</f>
        <v>116287.6</v>
      </c>
      <c r="H40" s="182">
        <f t="shared" si="0"/>
        <v>0.586245210727969</v>
      </c>
    </row>
    <row r="41" customHeight="1" spans="1:11">
      <c r="B41" s="50" t="s">
        <v>32</v>
      </c>
      <c r="C41" s="50" t="s">
        <v>338</v>
      </c>
      <c r="D41" s="50">
        <v>2</v>
      </c>
      <c r="E41" s="51">
        <v>1761</v>
      </c>
      <c r="F41" s="51">
        <v>10</v>
      </c>
      <c r="G41" s="213">
        <f t="shared" si="4"/>
        <v>21736</v>
      </c>
      <c r="H41" s="182">
        <f t="shared" si="0"/>
        <v>0.324815445769449</v>
      </c>
    </row>
    <row r="42" customHeight="1" spans="1:11">
      <c r="B42" s="50" t="s">
        <v>32</v>
      </c>
      <c r="C42" s="50" t="s">
        <v>339</v>
      </c>
      <c r="D42" s="50">
        <v>2</v>
      </c>
      <c r="E42" s="51">
        <v>2327</v>
      </c>
      <c r="F42" s="51">
        <v>14</v>
      </c>
      <c r="G42" s="213">
        <f t="shared" si="4"/>
        <v>30430.4</v>
      </c>
      <c r="H42" s="182">
        <f t="shared" si="0"/>
        <v>0.344134078212291</v>
      </c>
    </row>
    <row r="43" customHeight="1" spans="1:11">
      <c r="B43" s="50" t="s">
        <v>32</v>
      </c>
      <c r="C43" s="50" t="s">
        <v>340</v>
      </c>
      <c r="D43" s="50">
        <v>2</v>
      </c>
      <c r="E43" s="51">
        <v>3092</v>
      </c>
      <c r="F43" s="51">
        <v>17</v>
      </c>
      <c r="G43" s="213">
        <f t="shared" si="4"/>
        <v>36951.2</v>
      </c>
      <c r="H43" s="182">
        <f t="shared" si="0"/>
        <v>0.314489003880983</v>
      </c>
    </row>
    <row r="44" customHeight="1" spans="1:11">
      <c r="B44" s="50" t="s">
        <v>38</v>
      </c>
      <c r="C44" s="50" t="s">
        <v>341</v>
      </c>
      <c r="D44" s="50">
        <v>3</v>
      </c>
      <c r="E44" s="51">
        <v>2695</v>
      </c>
      <c r="F44" s="51">
        <v>25.5</v>
      </c>
      <c r="G44" s="213">
        <f t="shared" si="4"/>
        <v>55426.8</v>
      </c>
      <c r="H44" s="182">
        <f t="shared" si="0"/>
        <v>0.541224489795918</v>
      </c>
    </row>
    <row r="45" customHeight="1" spans="1:11">
      <c r="B45" s="50" t="s">
        <v>38</v>
      </c>
      <c r="C45" s="50" t="s">
        <v>342</v>
      </c>
      <c r="D45" s="50">
        <v>3</v>
      </c>
      <c r="E45" s="51">
        <v>2720</v>
      </c>
      <c r="F45" s="51">
        <v>23.1</v>
      </c>
      <c r="G45" s="213">
        <f t="shared" si="4"/>
        <v>50210.16</v>
      </c>
      <c r="H45" s="182">
        <f t="shared" si="0"/>
        <v>0.485779411764706</v>
      </c>
    </row>
    <row r="46" customHeight="1" spans="1:11">
      <c r="B46" s="50" t="s">
        <v>32</v>
      </c>
      <c r="C46" s="50" t="s">
        <v>343</v>
      </c>
      <c r="D46" s="50">
        <v>3</v>
      </c>
      <c r="E46" s="51">
        <v>3632</v>
      </c>
      <c r="F46" s="51">
        <v>27</v>
      </c>
      <c r="G46" s="213">
        <f t="shared" si="4"/>
        <v>58687.2</v>
      </c>
      <c r="H46" s="182">
        <f t="shared" ref="H46:H48" si="5">(1300*2.2/30)*F46/E46*0.6</f>
        <v>0.425220264317181</v>
      </c>
    </row>
    <row r="47" customHeight="1" spans="1:11">
      <c r="B47" s="50" t="s">
        <v>32</v>
      </c>
      <c r="C47" s="50" t="s">
        <v>344</v>
      </c>
      <c r="D47" s="50">
        <v>2</v>
      </c>
      <c r="E47" s="51">
        <v>3092</v>
      </c>
      <c r="F47" s="51">
        <v>18.5</v>
      </c>
      <c r="G47" s="213">
        <f t="shared" si="4"/>
        <v>40211.6</v>
      </c>
      <c r="H47" s="182">
        <f t="shared" si="5"/>
        <v>0.342238033635188</v>
      </c>
    </row>
    <row r="48" customHeight="1" spans="1:11">
      <c r="B48" s="50" t="s">
        <v>32</v>
      </c>
      <c r="C48" s="50" t="s">
        <v>345</v>
      </c>
      <c r="D48" s="50">
        <v>3</v>
      </c>
      <c r="E48" s="51">
        <v>4540</v>
      </c>
      <c r="F48" s="51">
        <v>27.5</v>
      </c>
      <c r="G48" s="213">
        <f t="shared" si="4"/>
        <v>59774</v>
      </c>
      <c r="H48" s="182">
        <f t="shared" si="5"/>
        <v>0.34647577092511</v>
      </c>
    </row>
  </sheetData>
  <sheetProtection formatCells="0" formatColumns="0" formatRows="0" insertRows="0" insertColumns="0" insertHyperlinks="0" deleteColumns="0" deleteRows="0" sort="0" autoFilter="0" pivotTables="0"/>
  <mergeCells count="2">
    <mergeCell ref="A3:I3"/>
    <mergeCell ref="H4:I4"/>
  </mergeCells>
  <pageMargins left="0.432638888888889" right="0.156944444444444" top="0.904861111111111" bottom="0.708333333333333" header="0.314583333333333" footer="0.393055555555556"/>
  <pageSetup paperSize="9" fitToHeight="0" orientation="portrait" horizontalDpi="600"/>
  <headerFooter>
    <oddFooter>&amp;C第 &amp;P 页，共 &amp;N 页</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XEZ46"/>
  <sheetViews>
    <sheetView workbookViewId="0">
      <pane ySplit="4" topLeftCell="A15" activePane="bottomLeft" state="frozen"/>
      <selection/>
      <selection pane="bottomLeft" activeCell="G5" sqref="G5:G37"/>
    </sheetView>
  </sheetViews>
  <sheetFormatPr defaultColWidth="4.87962962962963" defaultRowHeight="16" customHeight="1"/>
  <cols>
    <col min="1" max="1" width="4.16666666666667" style="19" customWidth="1"/>
    <col min="2" max="2" width="6.46296296296296" style="19" customWidth="1"/>
    <col min="3" max="3" width="15.5" style="19" customWidth="1"/>
    <col min="4" max="4" width="6.62962962962963" style="20" customWidth="1"/>
    <col min="5" max="8" width="14.6296296296296" style="22" customWidth="1"/>
    <col min="9" max="9" width="11" style="22" customWidth="1"/>
    <col min="10" max="10" width="11.8796296296296" style="22" customWidth="1"/>
    <col min="11" max="11" width="17.2592592592593" style="22" customWidth="1"/>
    <col min="12" max="12" width="4.87962962962963" style="23"/>
    <col min="13" max="13" width="7" style="23" hidden="1" customWidth="1"/>
    <col min="14" max="14" width="10.1296296296296" style="23" hidden="1" customWidth="1"/>
    <col min="15" max="15" width="8.37962962962963" style="23" hidden="1" customWidth="1"/>
    <col min="16" max="16" width="4.87962962962963" style="23"/>
    <col min="17" max="17" width="80.1296296296296" style="23" customWidth="1"/>
    <col min="18" max="19" width="4.87962962962963" style="23"/>
    <col min="20" max="21" width="13.7592592592593" style="23"/>
    <col min="22" max="22" width="23.7592592592593" style="23"/>
    <col min="23" max="23" width="12.6296296296296" style="23"/>
    <col min="24" max="16351" width="4.87962962962963" style="23"/>
  </cols>
  <sheetData>
    <row r="1" s="17" customFormat="1" ht="20.4" spans="1:23 16352:16380">
      <c r="A1" s="25" t="s">
        <v>346</v>
      </c>
    </row>
    <row r="2" s="18" customFormat="1" ht="21.6" spans="1:23 16352:16380">
      <c r="A2" s="200" t="s">
        <v>347</v>
      </c>
      <c r="B2" s="200"/>
      <c r="C2" s="200"/>
      <c r="D2" s="200"/>
      <c r="E2" s="201"/>
      <c r="F2" s="201"/>
      <c r="G2" s="201"/>
      <c r="H2" s="201"/>
      <c r="I2" s="201"/>
      <c r="J2" s="201"/>
      <c r="K2" s="201"/>
    </row>
    <row r="3" s="18" customFormat="1" customHeight="1" spans="1:23 16352:16380">
      <c r="A3" s="28"/>
      <c r="B3" s="28"/>
      <c r="C3" s="29"/>
      <c r="D3" s="29"/>
      <c r="E3" s="46"/>
      <c r="F3" s="31"/>
      <c r="G3" s="31"/>
      <c r="H3" s="31"/>
      <c r="I3" s="47" t="s">
        <v>348</v>
      </c>
      <c r="J3" s="47"/>
      <c r="K3" s="47"/>
    </row>
    <row r="4" s="139" customFormat="1" ht="32" customHeight="1" spans="1:23 16352:16380">
      <c r="A4" s="32" t="s">
        <v>1</v>
      </c>
      <c r="B4" s="33" t="s">
        <v>10</v>
      </c>
      <c r="C4" s="33" t="s">
        <v>8</v>
      </c>
      <c r="D4" s="33" t="s">
        <v>11</v>
      </c>
      <c r="E4" s="33" t="s">
        <v>331</v>
      </c>
      <c r="F4" s="33" t="s">
        <v>297</v>
      </c>
      <c r="G4" s="33" t="s">
        <v>349</v>
      </c>
      <c r="H4" s="33" t="s">
        <v>350</v>
      </c>
      <c r="I4" s="33" t="s">
        <v>351</v>
      </c>
      <c r="J4" s="33" t="s">
        <v>352</v>
      </c>
      <c r="K4" s="35" t="s">
        <v>157</v>
      </c>
      <c r="L4" s="23"/>
      <c r="M4" s="23"/>
      <c r="Q4" s="202" t="s">
        <v>353</v>
      </c>
      <c r="XDX4"/>
      <c r="XDY4"/>
      <c r="XDZ4"/>
      <c r="XEA4"/>
      <c r="XEB4"/>
      <c r="XEC4"/>
      <c r="XED4"/>
      <c r="XEE4"/>
      <c r="XEF4"/>
      <c r="XEG4"/>
      <c r="XEH4"/>
      <c r="XEI4"/>
      <c r="XEJ4"/>
      <c r="XEK4"/>
      <c r="XEL4"/>
      <c r="XEM4"/>
      <c r="XEN4"/>
      <c r="XEO4"/>
      <c r="XEP4"/>
      <c r="XEQ4"/>
      <c r="XER4"/>
      <c r="XES4"/>
      <c r="XET4"/>
      <c r="XEU4"/>
      <c r="XEV4"/>
      <c r="XEW4"/>
      <c r="XEX4"/>
      <c r="XEY4"/>
      <c r="XEZ4"/>
    </row>
    <row r="5" s="139" customFormat="1" customHeight="1" spans="1:23 16352:16380">
      <c r="A5" s="37">
        <f t="shared" ref="A5:A20" si="0">ROW()-4</f>
        <v>1</v>
      </c>
      <c r="B5" s="38" t="s">
        <v>32</v>
      </c>
      <c r="C5" s="39" t="s">
        <v>307</v>
      </c>
      <c r="D5" s="38">
        <v>2</v>
      </c>
      <c r="E5" s="40">
        <f>SUMIFS(转置表!O:O,转置表!L:L,B5,转置表!J:J,C5,转置表!M:M,D5)</f>
        <v>3957</v>
      </c>
      <c r="F5" s="40">
        <f>SUMIFS(转置表!T:T,转置表!L:L,B5,转置表!J:J,C5,转置表!M:M,D5)</f>
        <v>25</v>
      </c>
      <c r="G5" s="83">
        <f>E5*I5</f>
        <v>53125</v>
      </c>
      <c r="H5" s="83">
        <f>E5*J5</f>
        <v>60208.3333333333</v>
      </c>
      <c r="I5" s="48">
        <f>(75000/30)*F5/E5*0.85</f>
        <v>13.4255749305029</v>
      </c>
      <c r="J5" s="48">
        <f>(85000/30)*F5/E5*0.85</f>
        <v>15.2156515879033</v>
      </c>
      <c r="K5" s="42"/>
      <c r="L5" s="23"/>
      <c r="M5" s="23"/>
      <c r="Q5" s="203" t="s">
        <v>354</v>
      </c>
      <c r="R5" s="19"/>
      <c r="S5" s="19"/>
      <c r="T5" s="135">
        <v>13.4255749305029</v>
      </c>
      <c r="U5" s="204">
        <f>ROUND(T5,2)</f>
        <v>13.43</v>
      </c>
      <c r="V5" s="204">
        <v>15.2156515879033</v>
      </c>
      <c r="W5" s="204">
        <f>ROUND(V5,2)</f>
        <v>15.22</v>
      </c>
      <c r="XDX5"/>
      <c r="XDY5"/>
      <c r="XDZ5"/>
      <c r="XEA5"/>
      <c r="XEB5"/>
      <c r="XEC5"/>
      <c r="XED5"/>
      <c r="XEE5"/>
      <c r="XEF5"/>
      <c r="XEG5"/>
      <c r="XEH5"/>
      <c r="XEI5"/>
      <c r="XEJ5"/>
      <c r="XEK5"/>
      <c r="XEL5"/>
      <c r="XEM5"/>
      <c r="XEN5"/>
      <c r="XEO5"/>
      <c r="XEP5"/>
      <c r="XEQ5"/>
      <c r="XER5"/>
      <c r="XES5"/>
      <c r="XET5"/>
      <c r="XEU5"/>
      <c r="XEV5"/>
      <c r="XEW5"/>
      <c r="XEX5"/>
      <c r="XEY5"/>
      <c r="XEZ5"/>
    </row>
    <row r="6" s="139" customFormat="1" customHeight="1" spans="1:23 16352:16380">
      <c r="A6" s="37">
        <f t="shared" si="0"/>
        <v>2</v>
      </c>
      <c r="B6" s="38" t="s">
        <v>32</v>
      </c>
      <c r="C6" s="39" t="s">
        <v>308</v>
      </c>
      <c r="D6" s="38">
        <v>2</v>
      </c>
      <c r="E6" s="40">
        <f>SUMIFS(转置表!O:O,转置表!L:L,B6,转置表!J:J,C6,转置表!M:M,D6)</f>
        <v>44234</v>
      </c>
      <c r="F6" s="40">
        <f>SUMIFS(转置表!T:T,转置表!L:L,B6,转置表!J:J,C6,转置表!M:M,D6)</f>
        <v>264.854166666802</v>
      </c>
      <c r="G6" s="83">
        <f t="shared" ref="G6:G37" si="1">E6*I6</f>
        <v>562815.104166955</v>
      </c>
      <c r="H6" s="83">
        <f t="shared" ref="H6:H37" si="2">E6*J6</f>
        <v>637857.118055882</v>
      </c>
      <c r="I6" s="48">
        <f t="shared" ref="I6:I23" si="3">(75000/30)*F6/E6*0.85</f>
        <v>12.7235860235781</v>
      </c>
      <c r="J6" s="48">
        <f t="shared" ref="J6:J23" si="4">(85000/30)*F6/E6*0.85</f>
        <v>14.4200641600552</v>
      </c>
      <c r="K6" s="42"/>
      <c r="L6" s="23"/>
      <c r="M6" s="23"/>
      <c r="Q6" s="203" t="s">
        <v>355</v>
      </c>
      <c r="R6" s="19"/>
      <c r="S6" s="19"/>
      <c r="T6" s="135">
        <v>13.0551969783991</v>
      </c>
      <c r="U6" s="204">
        <f t="shared" ref="U6:U37" si="5">ROUND(T6,2)</f>
        <v>13.06</v>
      </c>
      <c r="V6" s="204">
        <v>14.7958899088524</v>
      </c>
      <c r="W6" s="204">
        <f t="shared" ref="W6:W37" si="6">ROUND(V6,2)</f>
        <v>14.8</v>
      </c>
      <c r="XDX6"/>
      <c r="XDY6"/>
      <c r="XDZ6"/>
      <c r="XEA6"/>
      <c r="XEB6"/>
      <c r="XEC6"/>
      <c r="XED6"/>
      <c r="XEE6"/>
      <c r="XEF6"/>
      <c r="XEG6"/>
      <c r="XEH6"/>
      <c r="XEI6"/>
      <c r="XEJ6"/>
      <c r="XEK6"/>
      <c r="XEL6"/>
      <c r="XEM6"/>
      <c r="XEN6"/>
      <c r="XEO6"/>
      <c r="XEP6"/>
      <c r="XEQ6"/>
      <c r="XER6"/>
      <c r="XES6"/>
      <c r="XET6"/>
      <c r="XEU6"/>
      <c r="XEV6"/>
      <c r="XEW6"/>
      <c r="XEX6"/>
      <c r="XEY6"/>
      <c r="XEZ6"/>
    </row>
    <row r="7" s="139" customFormat="1" customHeight="1" spans="1:23 16352:16380">
      <c r="A7" s="37">
        <f t="shared" si="0"/>
        <v>3</v>
      </c>
      <c r="B7" s="38" t="s">
        <v>32</v>
      </c>
      <c r="C7" s="39" t="s">
        <v>309</v>
      </c>
      <c r="D7" s="38">
        <v>2</v>
      </c>
      <c r="E7" s="40">
        <f>SUMIFS(转置表!O:O,转置表!L:L,B7,转置表!J:J,C7,转置表!M:M,D7)</f>
        <v>21858</v>
      </c>
      <c r="F7" s="40">
        <f>SUMIFS(转置表!T:T,转置表!L:L,B7,转置表!J:J,C7,转置表!M:M,D7)</f>
        <v>182.666666666701</v>
      </c>
      <c r="G7" s="83">
        <f t="shared" si="1"/>
        <v>388166.666666739</v>
      </c>
      <c r="H7" s="83">
        <f t="shared" si="2"/>
        <v>439922.222222304</v>
      </c>
      <c r="I7" s="48">
        <f t="shared" si="3"/>
        <v>17.7585628450333</v>
      </c>
      <c r="J7" s="48">
        <f t="shared" si="4"/>
        <v>20.1263712243711</v>
      </c>
      <c r="K7" s="43"/>
      <c r="L7" s="23"/>
      <c r="M7" s="23" t="s">
        <v>32</v>
      </c>
      <c r="N7" s="139" t="s">
        <v>30</v>
      </c>
      <c r="O7" s="139" t="b">
        <f t="shared" ref="O7:O35" si="7">N7=C7</f>
        <v>0</v>
      </c>
      <c r="Q7" s="205"/>
      <c r="T7" s="206">
        <v>17.7585628450333</v>
      </c>
      <c r="U7" s="204">
        <f t="shared" si="5"/>
        <v>17.76</v>
      </c>
      <c r="V7" s="206">
        <v>20.1263712243711</v>
      </c>
      <c r="W7" s="204">
        <f t="shared" si="6"/>
        <v>20.13</v>
      </c>
      <c r="XDX7"/>
      <c r="XDY7"/>
      <c r="XDZ7"/>
      <c r="XEA7"/>
      <c r="XEB7"/>
      <c r="XEC7"/>
      <c r="XED7"/>
      <c r="XEE7"/>
      <c r="XEF7"/>
      <c r="XEG7"/>
      <c r="XEH7"/>
      <c r="XEI7"/>
      <c r="XEJ7"/>
      <c r="XEK7"/>
      <c r="XEL7"/>
      <c r="XEM7"/>
      <c r="XEN7"/>
      <c r="XEO7"/>
      <c r="XEP7"/>
      <c r="XEQ7"/>
      <c r="XER7"/>
      <c r="XES7"/>
      <c r="XET7"/>
      <c r="XEU7"/>
      <c r="XEV7"/>
      <c r="XEW7"/>
      <c r="XEX7"/>
      <c r="XEY7"/>
      <c r="XEZ7"/>
    </row>
    <row r="8" s="139" customFormat="1" customHeight="1" spans="1:23 16352:16380">
      <c r="A8" s="37">
        <f t="shared" si="0"/>
        <v>4</v>
      </c>
      <c r="B8" s="38" t="s">
        <v>32</v>
      </c>
      <c r="C8" s="39" t="s">
        <v>310</v>
      </c>
      <c r="D8" s="38">
        <v>2</v>
      </c>
      <c r="E8" s="40">
        <f>SUMIFS(转置表!O:O,转置表!L:L,B8,转置表!J:J,C8,转置表!M:M,D8)</f>
        <v>3835</v>
      </c>
      <c r="F8" s="40">
        <f>SUMIFS(转置表!T:T,转置表!L:L,B8,转置表!J:J,C8,转置表!M:M,D8)</f>
        <v>20.1041666667006</v>
      </c>
      <c r="G8" s="83">
        <f t="shared" si="1"/>
        <v>42721.3541667388</v>
      </c>
      <c r="H8" s="83">
        <f t="shared" si="2"/>
        <v>48417.5347223039</v>
      </c>
      <c r="I8" s="48">
        <f t="shared" si="3"/>
        <v>11.1398576705968</v>
      </c>
      <c r="J8" s="48">
        <f t="shared" si="4"/>
        <v>12.6251720266764</v>
      </c>
      <c r="K8" s="43"/>
      <c r="L8" s="23"/>
      <c r="M8" s="23" t="s">
        <v>32</v>
      </c>
      <c r="N8" s="139" t="s">
        <v>310</v>
      </c>
      <c r="O8" s="139" t="b">
        <f t="shared" si="7"/>
        <v>1</v>
      </c>
      <c r="Q8" s="205"/>
      <c r="T8" s="206">
        <v>11.1398576705968</v>
      </c>
      <c r="U8" s="204">
        <f t="shared" si="5"/>
        <v>11.14</v>
      </c>
      <c r="V8" s="206">
        <v>12.6251720266764</v>
      </c>
      <c r="W8" s="204">
        <f t="shared" si="6"/>
        <v>12.63</v>
      </c>
      <c r="XDX8"/>
      <c r="XDY8"/>
      <c r="XDZ8"/>
      <c r="XEA8"/>
      <c r="XEB8"/>
      <c r="XEC8"/>
      <c r="XED8"/>
      <c r="XEE8"/>
      <c r="XEF8"/>
      <c r="XEG8"/>
      <c r="XEH8"/>
      <c r="XEI8"/>
      <c r="XEJ8"/>
      <c r="XEK8"/>
      <c r="XEL8"/>
      <c r="XEM8"/>
      <c r="XEN8"/>
      <c r="XEO8"/>
      <c r="XEP8"/>
      <c r="XEQ8"/>
      <c r="XER8"/>
      <c r="XES8"/>
      <c r="XET8"/>
      <c r="XEU8"/>
      <c r="XEV8"/>
      <c r="XEW8"/>
      <c r="XEX8"/>
      <c r="XEY8"/>
      <c r="XEZ8"/>
    </row>
    <row r="9" s="139" customFormat="1" customHeight="1" spans="1:23 16352:16380">
      <c r="A9" s="37">
        <f t="shared" si="0"/>
        <v>5</v>
      </c>
      <c r="B9" s="38" t="s">
        <v>32</v>
      </c>
      <c r="C9" s="39" t="s">
        <v>311</v>
      </c>
      <c r="D9" s="38">
        <v>2</v>
      </c>
      <c r="E9" s="40">
        <f>SUMIFS(转置表!O:O,转置表!L:L,B9,转置表!J:J,C9,转置表!M:M,D9)</f>
        <v>12133</v>
      </c>
      <c r="F9" s="40">
        <f>SUMIFS(转置表!T:T,转置表!L:L,B9,转置表!J:J,C9,转置表!M:M,D9)</f>
        <v>93</v>
      </c>
      <c r="G9" s="83">
        <f t="shared" si="1"/>
        <v>197625</v>
      </c>
      <c r="H9" s="83">
        <f t="shared" si="2"/>
        <v>223975</v>
      </c>
      <c r="I9" s="48">
        <f t="shared" si="3"/>
        <v>16.2882222039067</v>
      </c>
      <c r="J9" s="48">
        <f t="shared" si="4"/>
        <v>18.4599851644276</v>
      </c>
      <c r="K9" s="43"/>
      <c r="L9" s="23"/>
      <c r="M9" s="23" t="s">
        <v>32</v>
      </c>
      <c r="N9" s="139" t="s">
        <v>311</v>
      </c>
      <c r="O9" s="139" t="b">
        <f t="shared" si="7"/>
        <v>1</v>
      </c>
      <c r="Q9" s="205"/>
      <c r="T9" s="206">
        <v>16.2882222039067</v>
      </c>
      <c r="U9" s="204">
        <f t="shared" si="5"/>
        <v>16.29</v>
      </c>
      <c r="V9" s="206">
        <v>18.4599851644276</v>
      </c>
      <c r="W9" s="204">
        <f t="shared" si="6"/>
        <v>18.46</v>
      </c>
      <c r="XDX9"/>
      <c r="XDY9"/>
      <c r="XDZ9"/>
      <c r="XEA9"/>
      <c r="XEB9"/>
      <c r="XEC9"/>
      <c r="XED9"/>
      <c r="XEE9"/>
      <c r="XEF9"/>
      <c r="XEG9"/>
      <c r="XEH9"/>
      <c r="XEI9"/>
      <c r="XEJ9"/>
      <c r="XEK9"/>
      <c r="XEL9"/>
      <c r="XEM9"/>
      <c r="XEN9"/>
      <c r="XEO9"/>
      <c r="XEP9"/>
      <c r="XEQ9"/>
      <c r="XER9"/>
      <c r="XES9"/>
      <c r="XET9"/>
      <c r="XEU9"/>
      <c r="XEV9"/>
      <c r="XEW9"/>
      <c r="XEX9"/>
      <c r="XEY9"/>
      <c r="XEZ9"/>
    </row>
    <row r="10" s="139" customFormat="1" customHeight="1" spans="1:23 16352:16380">
      <c r="A10" s="37">
        <f t="shared" si="0"/>
        <v>6</v>
      </c>
      <c r="B10" s="38" t="s">
        <v>32</v>
      </c>
      <c r="C10" s="39" t="s">
        <v>312</v>
      </c>
      <c r="D10" s="38">
        <v>2</v>
      </c>
      <c r="E10" s="40">
        <f>SUMIFS(转置表!O:O,转置表!L:L,B10,转置表!J:J,C10,转置表!M:M,D10)</f>
        <v>5497</v>
      </c>
      <c r="F10" s="40">
        <f>SUMIFS(转置表!T:T,转置表!L:L,B10,转置表!J:J,C10,转置表!M:M,D10)</f>
        <v>37</v>
      </c>
      <c r="G10" s="83">
        <f t="shared" si="1"/>
        <v>78625</v>
      </c>
      <c r="H10" s="83">
        <f t="shared" si="2"/>
        <v>89108.3333333333</v>
      </c>
      <c r="I10" s="48">
        <f t="shared" si="3"/>
        <v>14.30325632163</v>
      </c>
      <c r="J10" s="48">
        <f t="shared" si="4"/>
        <v>16.210357164514</v>
      </c>
      <c r="K10" s="43"/>
      <c r="L10" s="23"/>
      <c r="M10" s="23" t="s">
        <v>32</v>
      </c>
      <c r="N10" s="139" t="s">
        <v>312</v>
      </c>
      <c r="O10" s="139" t="b">
        <f t="shared" si="7"/>
        <v>1</v>
      </c>
      <c r="T10" s="206">
        <v>14.30325632163</v>
      </c>
      <c r="U10" s="204">
        <f t="shared" si="5"/>
        <v>14.3</v>
      </c>
      <c r="V10" s="206">
        <v>16.210357164514</v>
      </c>
      <c r="W10" s="204">
        <f t="shared" si="6"/>
        <v>16.21</v>
      </c>
      <c r="XDX10"/>
      <c r="XDY10"/>
      <c r="XDZ10"/>
      <c r="XEA10"/>
      <c r="XEB10"/>
      <c r="XEC10"/>
      <c r="XED10"/>
      <c r="XEE10"/>
      <c r="XEF10"/>
      <c r="XEG10"/>
      <c r="XEH10"/>
      <c r="XEI10"/>
      <c r="XEJ10"/>
      <c r="XEK10"/>
      <c r="XEL10"/>
      <c r="XEM10"/>
      <c r="XEN10"/>
      <c r="XEO10"/>
      <c r="XEP10"/>
      <c r="XEQ10"/>
      <c r="XER10"/>
      <c r="XES10"/>
      <c r="XET10"/>
      <c r="XEU10"/>
      <c r="XEV10"/>
      <c r="XEW10"/>
      <c r="XEX10"/>
      <c r="XEY10"/>
      <c r="XEZ10"/>
    </row>
    <row r="11" s="139" customFormat="1" customHeight="1" spans="1:23 16352:16380">
      <c r="A11" s="37">
        <f t="shared" si="0"/>
        <v>7</v>
      </c>
      <c r="B11" s="38" t="s">
        <v>32</v>
      </c>
      <c r="C11" s="39" t="s">
        <v>313</v>
      </c>
      <c r="D11" s="38">
        <v>2</v>
      </c>
      <c r="E11" s="40">
        <f>SUMIFS(转置表!O:O,转置表!L:L,B11,转置表!J:J,C11,转置表!M:M,D11)</f>
        <v>3444</v>
      </c>
      <c r="F11" s="40">
        <f>SUMIFS(转置表!T:T,转置表!L:L,B11,转置表!J:J,C11,转置表!M:M,D11)</f>
        <v>30.8125</v>
      </c>
      <c r="G11" s="83">
        <f t="shared" si="1"/>
        <v>65476.5625</v>
      </c>
      <c r="H11" s="83">
        <f t="shared" si="2"/>
        <v>74206.7708333333</v>
      </c>
      <c r="I11" s="48">
        <f t="shared" si="3"/>
        <v>19.0117777293844</v>
      </c>
      <c r="J11" s="48">
        <f t="shared" si="4"/>
        <v>21.5466814266357</v>
      </c>
      <c r="K11" s="43"/>
      <c r="L11" s="23"/>
      <c r="M11" s="23" t="s">
        <v>32</v>
      </c>
      <c r="N11" s="139" t="s">
        <v>313</v>
      </c>
      <c r="O11" s="139" t="b">
        <f t="shared" si="7"/>
        <v>1</v>
      </c>
      <c r="T11" s="206">
        <v>19.0117777293844</v>
      </c>
      <c r="U11" s="204">
        <f t="shared" si="5"/>
        <v>19.01</v>
      </c>
      <c r="V11" s="206">
        <v>21.5466814266357</v>
      </c>
      <c r="W11" s="204">
        <f t="shared" si="6"/>
        <v>21.55</v>
      </c>
      <c r="XDX11"/>
      <c r="XDY11"/>
      <c r="XDZ11"/>
      <c r="XEA11"/>
      <c r="XEB11"/>
      <c r="XEC11"/>
      <c r="XED11"/>
      <c r="XEE11"/>
      <c r="XEF11"/>
      <c r="XEG11"/>
      <c r="XEH11"/>
      <c r="XEI11"/>
      <c r="XEJ11"/>
      <c r="XEK11"/>
      <c r="XEL11"/>
      <c r="XEM11"/>
      <c r="XEN11"/>
      <c r="XEO11"/>
      <c r="XEP11"/>
      <c r="XEQ11"/>
      <c r="XER11"/>
      <c r="XES11"/>
      <c r="XET11"/>
      <c r="XEU11"/>
      <c r="XEV11"/>
      <c r="XEW11"/>
      <c r="XEX11"/>
      <c r="XEY11"/>
      <c r="XEZ11"/>
    </row>
    <row r="12" s="139" customFormat="1" customHeight="1" spans="1:23 16352:16380">
      <c r="A12" s="37">
        <f t="shared" si="0"/>
        <v>8</v>
      </c>
      <c r="B12" s="38" t="s">
        <v>32</v>
      </c>
      <c r="C12" s="39" t="s">
        <v>314</v>
      </c>
      <c r="D12" s="38">
        <v>2</v>
      </c>
      <c r="E12" s="40">
        <f>SUMIFS(转置表!O:O,转置表!L:L,B12,转置表!J:J,C12,转置表!M:M,D12)</f>
        <v>2492</v>
      </c>
      <c r="F12" s="40">
        <f>SUMIFS(转置表!T:T,转置表!L:L,B12,转置表!J:J,C12,转置表!M:M,D12)</f>
        <v>12</v>
      </c>
      <c r="G12" s="83">
        <f t="shared" si="1"/>
        <v>25500</v>
      </c>
      <c r="H12" s="83">
        <f t="shared" si="2"/>
        <v>28900</v>
      </c>
      <c r="I12" s="48">
        <f t="shared" si="3"/>
        <v>10.2327447833066</v>
      </c>
      <c r="J12" s="48">
        <f t="shared" si="4"/>
        <v>11.5971107544141</v>
      </c>
      <c r="K12" s="44" t="s">
        <v>334</v>
      </c>
      <c r="L12" s="23"/>
      <c r="M12" s="23" t="s">
        <v>32</v>
      </c>
      <c r="N12" s="139" t="s">
        <v>314</v>
      </c>
      <c r="O12" s="139" t="b">
        <f t="shared" si="7"/>
        <v>1</v>
      </c>
      <c r="T12" s="206">
        <v>10.2327447833066</v>
      </c>
      <c r="U12" s="204">
        <f t="shared" si="5"/>
        <v>10.23</v>
      </c>
      <c r="V12" s="206">
        <v>11.5971107544141</v>
      </c>
      <c r="W12" s="204">
        <f t="shared" si="6"/>
        <v>11.6</v>
      </c>
      <c r="XDX12"/>
      <c r="XDY12"/>
      <c r="XDZ12"/>
      <c r="XEA12"/>
      <c r="XEB12"/>
      <c r="XEC12"/>
      <c r="XED12"/>
      <c r="XEE12"/>
      <c r="XEF12"/>
      <c r="XEG12"/>
      <c r="XEH12"/>
      <c r="XEI12"/>
      <c r="XEJ12"/>
      <c r="XEK12"/>
      <c r="XEL12"/>
      <c r="XEM12"/>
      <c r="XEN12"/>
      <c r="XEO12"/>
      <c r="XEP12"/>
      <c r="XEQ12"/>
      <c r="XER12"/>
      <c r="XES12"/>
      <c r="XET12"/>
      <c r="XEU12"/>
      <c r="XEV12"/>
      <c r="XEW12"/>
      <c r="XEX12"/>
      <c r="XEY12"/>
      <c r="XEZ12"/>
    </row>
    <row r="13" s="139" customFormat="1" customHeight="1" spans="1:23 16352:16380">
      <c r="A13" s="37">
        <f t="shared" si="0"/>
        <v>9</v>
      </c>
      <c r="B13" s="38" t="s">
        <v>32</v>
      </c>
      <c r="C13" s="39" t="s">
        <v>315</v>
      </c>
      <c r="D13" s="38">
        <v>2</v>
      </c>
      <c r="E13" s="40">
        <f>SUMIFS(转置表!O:O,转置表!L:L,B13,转置表!J:J,C13,转置表!M:M,D13)</f>
        <v>3321</v>
      </c>
      <c r="F13" s="40">
        <f>SUMIFS(转置表!T:T,转置表!L:L,B13,转置表!J:J,C13,转置表!M:M,D13)</f>
        <v>20.4166666665988</v>
      </c>
      <c r="G13" s="83">
        <f t="shared" si="1"/>
        <v>43385.4166665224</v>
      </c>
      <c r="H13" s="83">
        <f t="shared" si="2"/>
        <v>49170.1388887254</v>
      </c>
      <c r="I13" s="48">
        <f t="shared" si="3"/>
        <v>13.0639616580917</v>
      </c>
      <c r="J13" s="48">
        <f t="shared" si="4"/>
        <v>14.8058232125039</v>
      </c>
      <c r="K13" s="43"/>
      <c r="L13" s="23"/>
      <c r="M13" s="23" t="s">
        <v>32</v>
      </c>
      <c r="N13" s="139" t="s">
        <v>315</v>
      </c>
      <c r="O13" s="139" t="b">
        <f t="shared" si="7"/>
        <v>1</v>
      </c>
      <c r="T13" s="206">
        <v>13.0639616580917</v>
      </c>
      <c r="U13" s="204">
        <f t="shared" si="5"/>
        <v>13.06</v>
      </c>
      <c r="V13" s="206">
        <v>14.8058232125039</v>
      </c>
      <c r="W13" s="204">
        <f t="shared" si="6"/>
        <v>14.81</v>
      </c>
      <c r="XDX13"/>
      <c r="XDY13"/>
      <c r="XDZ13"/>
      <c r="XEA13"/>
      <c r="XEB13"/>
      <c r="XEC13"/>
      <c r="XED13"/>
      <c r="XEE13"/>
      <c r="XEF13"/>
      <c r="XEG13"/>
      <c r="XEH13"/>
      <c r="XEI13"/>
      <c r="XEJ13"/>
      <c r="XEK13"/>
      <c r="XEL13"/>
      <c r="XEM13"/>
      <c r="XEN13"/>
      <c r="XEO13"/>
      <c r="XEP13"/>
      <c r="XEQ13"/>
      <c r="XER13"/>
      <c r="XES13"/>
      <c r="XET13"/>
      <c r="XEU13"/>
      <c r="XEV13"/>
      <c r="XEW13"/>
      <c r="XEX13"/>
      <c r="XEY13"/>
      <c r="XEZ13"/>
    </row>
    <row r="14" s="139" customFormat="1" customHeight="1" spans="1:23 16352:16380">
      <c r="A14" s="37">
        <f t="shared" si="0"/>
        <v>10</v>
      </c>
      <c r="B14" s="38" t="s">
        <v>32</v>
      </c>
      <c r="C14" s="39" t="s">
        <v>316</v>
      </c>
      <c r="D14" s="38">
        <v>2</v>
      </c>
      <c r="E14" s="40">
        <f>SUMIFS(转置表!O:O,转置表!L:L,B14,转置表!J:J,C14,转置表!M:M,D14)</f>
        <v>16455</v>
      </c>
      <c r="F14" s="40">
        <f>SUMIFS(转置表!T:T,转置表!L:L,B14,转置表!J:J,C14,转置表!M:M,D14)</f>
        <v>142.583333333299</v>
      </c>
      <c r="G14" s="83">
        <f t="shared" si="1"/>
        <v>302989.583333261</v>
      </c>
      <c r="H14" s="83">
        <f t="shared" si="2"/>
        <v>343388.194444363</v>
      </c>
      <c r="I14" s="48">
        <f t="shared" si="3"/>
        <v>18.4132229312222</v>
      </c>
      <c r="J14" s="48">
        <f t="shared" si="4"/>
        <v>20.8683193220518</v>
      </c>
      <c r="K14" s="43"/>
      <c r="L14" s="23"/>
      <c r="M14" s="23" t="s">
        <v>32</v>
      </c>
      <c r="N14" s="139" t="s">
        <v>316</v>
      </c>
      <c r="O14" s="139" t="b">
        <f t="shared" si="7"/>
        <v>1</v>
      </c>
      <c r="T14" s="206">
        <v>18.9164422501496</v>
      </c>
      <c r="U14" s="204">
        <f t="shared" si="5"/>
        <v>18.92</v>
      </c>
      <c r="V14" s="206">
        <v>21.4386345501696</v>
      </c>
      <c r="W14" s="204">
        <f t="shared" si="6"/>
        <v>21.44</v>
      </c>
      <c r="XDX14"/>
      <c r="XDY14"/>
      <c r="XDZ14"/>
      <c r="XEA14"/>
      <c r="XEB14"/>
      <c r="XEC14"/>
      <c r="XED14"/>
      <c r="XEE14"/>
      <c r="XEF14"/>
      <c r="XEG14"/>
      <c r="XEH14"/>
      <c r="XEI14"/>
      <c r="XEJ14"/>
      <c r="XEK14"/>
      <c r="XEL14"/>
      <c r="XEM14"/>
      <c r="XEN14"/>
      <c r="XEO14"/>
      <c r="XEP14"/>
      <c r="XEQ14"/>
      <c r="XER14"/>
      <c r="XES14"/>
      <c r="XET14"/>
      <c r="XEU14"/>
      <c r="XEV14"/>
      <c r="XEW14"/>
      <c r="XEX14"/>
      <c r="XEY14"/>
      <c r="XEZ14"/>
    </row>
    <row r="15" s="139" customFormat="1" customHeight="1" spans="1:23 16352:16380">
      <c r="A15" s="37">
        <f t="shared" si="0"/>
        <v>11</v>
      </c>
      <c r="B15" s="38" t="s">
        <v>32</v>
      </c>
      <c r="C15" s="39" t="s">
        <v>317</v>
      </c>
      <c r="D15" s="38">
        <v>2</v>
      </c>
      <c r="E15" s="40">
        <f>SUMIFS(转置表!O:O,转置表!L:L,B15,转置表!J:J,C15,转置表!M:M,D15)</f>
        <v>2468</v>
      </c>
      <c r="F15" s="40">
        <f>SUMIFS(转置表!T:T,转置表!L:L,B15,转置表!J:J,C15,转置表!M:M,D15)</f>
        <v>16</v>
      </c>
      <c r="G15" s="83">
        <f t="shared" si="1"/>
        <v>34000</v>
      </c>
      <c r="H15" s="83">
        <f t="shared" si="2"/>
        <v>38533.3333333333</v>
      </c>
      <c r="I15" s="48">
        <f t="shared" si="3"/>
        <v>13.7763371150729</v>
      </c>
      <c r="J15" s="48">
        <f t="shared" si="4"/>
        <v>15.6131820637493</v>
      </c>
      <c r="K15" s="43"/>
      <c r="L15" s="23"/>
      <c r="M15" s="23" t="s">
        <v>32</v>
      </c>
      <c r="N15" s="139" t="s">
        <v>317</v>
      </c>
      <c r="O15" s="139" t="b">
        <f t="shared" si="7"/>
        <v>1</v>
      </c>
      <c r="T15" s="206">
        <v>13.7763371150729</v>
      </c>
      <c r="U15" s="204">
        <f t="shared" si="5"/>
        <v>13.78</v>
      </c>
      <c r="V15" s="206">
        <v>15.6131820637493</v>
      </c>
      <c r="W15" s="204">
        <f t="shared" si="6"/>
        <v>15.61</v>
      </c>
      <c r="XDX15"/>
      <c r="XDY15"/>
      <c r="XDZ15"/>
      <c r="XEA15"/>
      <c r="XEB15"/>
      <c r="XEC15"/>
      <c r="XED15"/>
      <c r="XEE15"/>
      <c r="XEF15"/>
      <c r="XEG15"/>
      <c r="XEH15"/>
      <c r="XEI15"/>
      <c r="XEJ15"/>
      <c r="XEK15"/>
      <c r="XEL15"/>
      <c r="XEM15"/>
      <c r="XEN15"/>
      <c r="XEO15"/>
      <c r="XEP15"/>
      <c r="XEQ15"/>
      <c r="XER15"/>
      <c r="XES15"/>
      <c r="XET15"/>
      <c r="XEU15"/>
      <c r="XEV15"/>
      <c r="XEW15"/>
      <c r="XEX15"/>
      <c r="XEY15"/>
      <c r="XEZ15"/>
    </row>
    <row r="16" s="139" customFormat="1" customHeight="1" spans="1:23 16352:16380">
      <c r="A16" s="37">
        <f t="shared" si="0"/>
        <v>12</v>
      </c>
      <c r="B16" s="38" t="s">
        <v>32</v>
      </c>
      <c r="C16" s="39" t="s">
        <v>318</v>
      </c>
      <c r="D16" s="38">
        <v>2</v>
      </c>
      <c r="E16" s="40">
        <f>SUMIFS(转置表!O:O,转置表!L:L,B16,转置表!J:J,C16,转置表!M:M,D16)</f>
        <v>9956</v>
      </c>
      <c r="F16" s="40">
        <f>SUMIFS(转置表!T:T,转置表!L:L,B16,转置表!J:J,C16,转置表!M:M,D16)</f>
        <v>72.7916666667006</v>
      </c>
      <c r="G16" s="83">
        <f t="shared" si="1"/>
        <v>154682.291666739</v>
      </c>
      <c r="H16" s="83">
        <f t="shared" si="2"/>
        <v>175306.597222304</v>
      </c>
      <c r="I16" s="48">
        <f t="shared" si="3"/>
        <v>15.5365901633928</v>
      </c>
      <c r="J16" s="48">
        <f t="shared" si="4"/>
        <v>17.6081355185118</v>
      </c>
      <c r="K16" s="43"/>
      <c r="L16" s="23"/>
      <c r="M16" s="23" t="s">
        <v>32</v>
      </c>
      <c r="N16" s="139" t="s">
        <v>318</v>
      </c>
      <c r="O16" s="139" t="b">
        <f t="shared" si="7"/>
        <v>1</v>
      </c>
      <c r="T16" s="206">
        <v>15.5365901633928</v>
      </c>
      <c r="U16" s="204">
        <f t="shared" si="5"/>
        <v>15.54</v>
      </c>
      <c r="V16" s="206">
        <v>17.6081355185118</v>
      </c>
      <c r="W16" s="204">
        <f t="shared" si="6"/>
        <v>17.61</v>
      </c>
      <c r="XDX16"/>
      <c r="XDY16"/>
      <c r="XDZ16"/>
      <c r="XEA16"/>
      <c r="XEB16"/>
      <c r="XEC16"/>
      <c r="XED16"/>
      <c r="XEE16"/>
      <c r="XEF16"/>
      <c r="XEG16"/>
      <c r="XEH16"/>
      <c r="XEI16"/>
      <c r="XEJ16"/>
      <c r="XEK16"/>
      <c r="XEL16"/>
      <c r="XEM16"/>
      <c r="XEN16"/>
      <c r="XEO16"/>
      <c r="XEP16"/>
      <c r="XEQ16"/>
      <c r="XER16"/>
      <c r="XES16"/>
      <c r="XET16"/>
      <c r="XEU16"/>
      <c r="XEV16"/>
      <c r="XEW16"/>
      <c r="XEX16"/>
      <c r="XEY16"/>
      <c r="XEZ16"/>
    </row>
    <row r="17" s="139" customFormat="1" customHeight="1" spans="1:23 16352:16380">
      <c r="A17" s="37">
        <f t="shared" si="0"/>
        <v>13</v>
      </c>
      <c r="B17" s="38" t="s">
        <v>32</v>
      </c>
      <c r="C17" s="45" t="s">
        <v>319</v>
      </c>
      <c r="D17" s="38">
        <v>2</v>
      </c>
      <c r="E17" s="40">
        <f>SUMIFS(转置表!O:O,转置表!L:L,B17,转置表!J:J,C17,转置表!M:M,D17)</f>
        <v>4402</v>
      </c>
      <c r="F17" s="40">
        <f>SUMIFS(转置表!T:T,转置表!L:L,B17,转置表!J:J,C17,转置表!M:M,D17)</f>
        <v>22</v>
      </c>
      <c r="G17" s="83">
        <f t="shared" si="1"/>
        <v>46750</v>
      </c>
      <c r="H17" s="83">
        <f t="shared" si="2"/>
        <v>52983.3333333333</v>
      </c>
      <c r="I17" s="48">
        <f t="shared" si="3"/>
        <v>10.620172648796</v>
      </c>
      <c r="J17" s="48">
        <f t="shared" si="4"/>
        <v>12.0361956686355</v>
      </c>
      <c r="K17" s="43"/>
      <c r="L17" s="23"/>
      <c r="M17" s="23" t="s">
        <v>32</v>
      </c>
      <c r="N17" s="139" t="s">
        <v>319</v>
      </c>
      <c r="O17" s="139" t="b">
        <f t="shared" si="7"/>
        <v>1</v>
      </c>
      <c r="T17" s="206">
        <v>10.620172648796</v>
      </c>
      <c r="U17" s="204">
        <f t="shared" si="5"/>
        <v>10.62</v>
      </c>
      <c r="V17" s="206">
        <v>12.0361956686355</v>
      </c>
      <c r="W17" s="204">
        <f t="shared" si="6"/>
        <v>12.04</v>
      </c>
      <c r="XDX17"/>
      <c r="XDY17"/>
      <c r="XDZ17"/>
      <c r="XEA17"/>
      <c r="XEB17"/>
      <c r="XEC17"/>
      <c r="XED17"/>
      <c r="XEE17"/>
      <c r="XEF17"/>
      <c r="XEG17"/>
      <c r="XEH17"/>
      <c r="XEI17"/>
      <c r="XEJ17"/>
      <c r="XEK17"/>
      <c r="XEL17"/>
      <c r="XEM17"/>
      <c r="XEN17"/>
      <c r="XEO17"/>
      <c r="XEP17"/>
      <c r="XEQ17"/>
      <c r="XER17"/>
      <c r="XES17"/>
      <c r="XET17"/>
      <c r="XEU17"/>
      <c r="XEV17"/>
      <c r="XEW17"/>
      <c r="XEX17"/>
      <c r="XEY17"/>
      <c r="XEZ17"/>
    </row>
    <row r="18" s="139" customFormat="1" customHeight="1" spans="1:23 16352:16380">
      <c r="A18" s="37">
        <f t="shared" si="0"/>
        <v>14</v>
      </c>
      <c r="B18" s="38" t="s">
        <v>32</v>
      </c>
      <c r="C18" s="39" t="s">
        <v>320</v>
      </c>
      <c r="D18" s="38">
        <v>2</v>
      </c>
      <c r="E18" s="40">
        <f>SUMIFS(转置表!O:O,转置表!L:L,B18,转置表!J:J,C18,转置表!M:M,D18)</f>
        <v>2775</v>
      </c>
      <c r="F18" s="40">
        <f>SUMIFS(转置表!T:T,转置表!L:L,B18,转置表!J:J,C18,转置表!M:M,D18)</f>
        <v>21</v>
      </c>
      <c r="G18" s="83">
        <f t="shared" si="1"/>
        <v>44625</v>
      </c>
      <c r="H18" s="83">
        <f t="shared" si="2"/>
        <v>50575</v>
      </c>
      <c r="I18" s="48">
        <f t="shared" si="3"/>
        <v>16.0810810810811</v>
      </c>
      <c r="J18" s="48">
        <f t="shared" si="4"/>
        <v>18.2252252252252</v>
      </c>
      <c r="K18" s="43"/>
      <c r="L18" s="23"/>
      <c r="M18" s="23" t="s">
        <v>32</v>
      </c>
      <c r="N18" s="139" t="s">
        <v>320</v>
      </c>
      <c r="O18" s="139" t="b">
        <f t="shared" si="7"/>
        <v>1</v>
      </c>
      <c r="T18" s="206">
        <v>16.0810810810811</v>
      </c>
      <c r="U18" s="204">
        <f t="shared" si="5"/>
        <v>16.08</v>
      </c>
      <c r="V18" s="206">
        <v>18.2252252252252</v>
      </c>
      <c r="W18" s="204">
        <f t="shared" si="6"/>
        <v>18.23</v>
      </c>
      <c r="XDX18"/>
      <c r="XDY18"/>
      <c r="XDZ18"/>
      <c r="XEA18"/>
      <c r="XEB18"/>
      <c r="XEC18"/>
      <c r="XED18"/>
      <c r="XEE18"/>
      <c r="XEF18"/>
      <c r="XEG18"/>
      <c r="XEH18"/>
      <c r="XEI18"/>
      <c r="XEJ18"/>
      <c r="XEK18"/>
      <c r="XEL18"/>
      <c r="XEM18"/>
      <c r="XEN18"/>
      <c r="XEO18"/>
      <c r="XEP18"/>
      <c r="XEQ18"/>
      <c r="XER18"/>
      <c r="XES18"/>
      <c r="XET18"/>
      <c r="XEU18"/>
      <c r="XEV18"/>
      <c r="XEW18"/>
      <c r="XEX18"/>
      <c r="XEY18"/>
      <c r="XEZ18"/>
    </row>
    <row r="19" s="139" customFormat="1" customHeight="1" spans="1:23 16352:16380">
      <c r="A19" s="37">
        <f t="shared" si="0"/>
        <v>15</v>
      </c>
      <c r="B19" s="38" t="s">
        <v>32</v>
      </c>
      <c r="C19" s="39" t="s">
        <v>321</v>
      </c>
      <c r="D19" s="38">
        <v>2</v>
      </c>
      <c r="E19" s="40">
        <f>SUMIFS(转置表!O:O,转置表!L:L,B19,转置表!J:J,C19,转置表!M:M,D19)</f>
        <v>10593</v>
      </c>
      <c r="F19" s="40">
        <f>SUMIFS(转置表!T:T,转置表!L:L,B19,转置表!J:J,C19,转置表!M:M,D19)</f>
        <v>71</v>
      </c>
      <c r="G19" s="83">
        <f t="shared" si="1"/>
        <v>150875</v>
      </c>
      <c r="H19" s="83">
        <f t="shared" si="2"/>
        <v>170991.666666667</v>
      </c>
      <c r="I19" s="48">
        <f t="shared" si="3"/>
        <v>14.242896252242</v>
      </c>
      <c r="J19" s="48">
        <f t="shared" si="4"/>
        <v>16.1419490858743</v>
      </c>
      <c r="K19" s="43"/>
      <c r="L19" s="23"/>
      <c r="M19" s="23" t="s">
        <v>32</v>
      </c>
      <c r="N19" s="139" t="s">
        <v>321</v>
      </c>
      <c r="O19" s="139" t="b">
        <f t="shared" si="7"/>
        <v>1</v>
      </c>
      <c r="T19" s="206">
        <v>14.242896252242</v>
      </c>
      <c r="U19" s="204">
        <f t="shared" si="5"/>
        <v>14.24</v>
      </c>
      <c r="V19" s="206">
        <v>16.1419490858743</v>
      </c>
      <c r="W19" s="204">
        <f t="shared" si="6"/>
        <v>16.14</v>
      </c>
      <c r="XDX19"/>
      <c r="XDY19"/>
      <c r="XDZ19"/>
      <c r="XEA19"/>
      <c r="XEB19"/>
      <c r="XEC19"/>
      <c r="XED19"/>
      <c r="XEE19"/>
      <c r="XEF19"/>
      <c r="XEG19"/>
      <c r="XEH19"/>
      <c r="XEI19"/>
      <c r="XEJ19"/>
      <c r="XEK19"/>
      <c r="XEL19"/>
      <c r="XEM19"/>
      <c r="XEN19"/>
      <c r="XEO19"/>
      <c r="XEP19"/>
      <c r="XEQ19"/>
      <c r="XER19"/>
      <c r="XES19"/>
      <c r="XET19"/>
      <c r="XEU19"/>
      <c r="XEV19"/>
      <c r="XEW19"/>
      <c r="XEX19"/>
      <c r="XEY19"/>
      <c r="XEZ19"/>
    </row>
    <row r="20" s="139" customFormat="1" customHeight="1" spans="1:23 16352:16380">
      <c r="A20" s="37">
        <f t="shared" si="0"/>
        <v>16</v>
      </c>
      <c r="B20" s="38" t="s">
        <v>38</v>
      </c>
      <c r="C20" s="39" t="s">
        <v>30</v>
      </c>
      <c r="D20" s="38">
        <v>2</v>
      </c>
      <c r="E20" s="40">
        <f>SUMIFS(转置表!O:O,转置表!L:L,B20,转置表!J:J,C20,转置表!M:M,D20)</f>
        <v>19739</v>
      </c>
      <c r="F20" s="40">
        <f>SUMIFS(转置表!T:T,转置表!L:L,B20,转置表!J:J,C20,转置表!M:M,D20)</f>
        <v>123.812500000102</v>
      </c>
      <c r="G20" s="83">
        <f t="shared" si="1"/>
        <v>263101.562500216</v>
      </c>
      <c r="H20" s="83">
        <f t="shared" si="2"/>
        <v>298181.770833579</v>
      </c>
      <c r="I20" s="48">
        <f t="shared" si="3"/>
        <v>13.3290218602876</v>
      </c>
      <c r="J20" s="48">
        <f t="shared" si="4"/>
        <v>15.1062247749926</v>
      </c>
      <c r="K20" s="43"/>
      <c r="L20" s="23"/>
      <c r="M20" s="23" t="s">
        <v>38</v>
      </c>
      <c r="N20" s="139" t="s">
        <v>30</v>
      </c>
      <c r="O20" s="139" t="b">
        <f t="shared" si="7"/>
        <v>1</v>
      </c>
      <c r="T20" s="206">
        <v>13.3290218602876</v>
      </c>
      <c r="U20" s="204">
        <f t="shared" si="5"/>
        <v>13.33</v>
      </c>
      <c r="V20" s="206">
        <v>15.1062247749926</v>
      </c>
      <c r="W20" s="204">
        <f t="shared" si="6"/>
        <v>15.11</v>
      </c>
      <c r="XDX20"/>
      <c r="XDY20"/>
      <c r="XDZ20"/>
      <c r="XEA20"/>
      <c r="XEB20"/>
      <c r="XEC20"/>
      <c r="XED20"/>
      <c r="XEE20"/>
      <c r="XEF20"/>
      <c r="XEG20"/>
      <c r="XEH20"/>
      <c r="XEI20"/>
      <c r="XEJ20"/>
      <c r="XEK20"/>
      <c r="XEL20"/>
      <c r="XEM20"/>
      <c r="XEN20"/>
      <c r="XEO20"/>
      <c r="XEP20"/>
      <c r="XEQ20"/>
      <c r="XER20"/>
      <c r="XES20"/>
      <c r="XET20"/>
      <c r="XEU20"/>
      <c r="XEV20"/>
      <c r="XEW20"/>
      <c r="XEX20"/>
      <c r="XEY20"/>
      <c r="XEZ20"/>
    </row>
    <row r="21" s="139" customFormat="1" customHeight="1" spans="1:23 16352:16380">
      <c r="A21" s="37">
        <f t="shared" ref="A21:A26" si="8">ROW()-4</f>
        <v>17</v>
      </c>
      <c r="B21" s="38" t="s">
        <v>38</v>
      </c>
      <c r="C21" s="39" t="s">
        <v>322</v>
      </c>
      <c r="D21" s="38">
        <v>2</v>
      </c>
      <c r="E21" s="40">
        <f>SUMIFS(转置表!O:O,转置表!L:L,B21,转置表!J:J,C21,转置表!M:M,D21)</f>
        <v>4804</v>
      </c>
      <c r="F21" s="40">
        <f>SUMIFS(转置表!T:T,转置表!L:L,B21,转置表!J:J,C21,转置表!M:M,D21)</f>
        <v>38.9166666667006</v>
      </c>
      <c r="G21" s="83">
        <f t="shared" si="1"/>
        <v>82697.9166667388</v>
      </c>
      <c r="H21" s="83">
        <f t="shared" si="2"/>
        <v>93724.3055556373</v>
      </c>
      <c r="I21" s="48">
        <f t="shared" si="3"/>
        <v>17.2143873161405</v>
      </c>
      <c r="J21" s="48">
        <f t="shared" si="4"/>
        <v>19.5096389582925</v>
      </c>
      <c r="K21" s="43"/>
      <c r="L21" s="23"/>
      <c r="M21" s="23" t="s">
        <v>38</v>
      </c>
      <c r="N21" s="139" t="s">
        <v>322</v>
      </c>
      <c r="O21" s="139" t="b">
        <f t="shared" si="7"/>
        <v>1</v>
      </c>
      <c r="T21" s="206">
        <v>17.2143873161405</v>
      </c>
      <c r="U21" s="204">
        <f t="shared" si="5"/>
        <v>17.21</v>
      </c>
      <c r="V21" s="206">
        <v>19.5096389582925</v>
      </c>
      <c r="W21" s="204">
        <f t="shared" si="6"/>
        <v>19.51</v>
      </c>
      <c r="XDX21"/>
      <c r="XDY21"/>
      <c r="XDZ21"/>
      <c r="XEA21"/>
      <c r="XEB21"/>
      <c r="XEC21"/>
      <c r="XED21"/>
      <c r="XEE21"/>
      <c r="XEF21"/>
      <c r="XEG21"/>
      <c r="XEH21"/>
      <c r="XEI21"/>
      <c r="XEJ21"/>
      <c r="XEK21"/>
      <c r="XEL21"/>
      <c r="XEM21"/>
      <c r="XEN21"/>
      <c r="XEO21"/>
      <c r="XEP21"/>
      <c r="XEQ21"/>
      <c r="XER21"/>
      <c r="XES21"/>
      <c r="XET21"/>
      <c r="XEU21"/>
      <c r="XEV21"/>
      <c r="XEW21"/>
      <c r="XEX21"/>
      <c r="XEY21"/>
      <c r="XEZ21"/>
    </row>
    <row r="22" s="139" customFormat="1" customHeight="1" spans="1:23 16352:16380">
      <c r="A22" s="37">
        <f t="shared" si="8"/>
        <v>18</v>
      </c>
      <c r="B22" s="38" t="s">
        <v>38</v>
      </c>
      <c r="C22" s="39" t="s">
        <v>323</v>
      </c>
      <c r="D22" s="38">
        <v>2</v>
      </c>
      <c r="E22" s="40">
        <f>SUMIFS(转置表!O:O,转置表!L:L,B22,转置表!J:J,C22,转置表!M:M,D22)</f>
        <v>18574</v>
      </c>
      <c r="F22" s="40">
        <f>SUMIFS(转置表!T:T,转置表!L:L,B22,转置表!J:J,C22,转置表!M:M,D22)</f>
        <v>100.5243055557</v>
      </c>
      <c r="G22" s="83">
        <f t="shared" si="1"/>
        <v>213614.149305863</v>
      </c>
      <c r="H22" s="83">
        <f t="shared" si="2"/>
        <v>242096.035879978</v>
      </c>
      <c r="I22" s="48">
        <f t="shared" si="3"/>
        <v>11.5007079415238</v>
      </c>
      <c r="J22" s="48">
        <f t="shared" si="4"/>
        <v>13.0341356670603</v>
      </c>
      <c r="K22" s="43"/>
      <c r="L22" s="23"/>
      <c r="M22" s="23" t="s">
        <v>38</v>
      </c>
      <c r="N22" s="139" t="s">
        <v>323</v>
      </c>
      <c r="O22" s="139" t="b">
        <f t="shared" si="7"/>
        <v>1</v>
      </c>
      <c r="T22" s="206">
        <v>11.5007079415238</v>
      </c>
      <c r="U22" s="204">
        <f t="shared" si="5"/>
        <v>11.5</v>
      </c>
      <c r="V22" s="206">
        <v>13.0341356670603</v>
      </c>
      <c r="W22" s="204">
        <f t="shared" si="6"/>
        <v>13.03</v>
      </c>
      <c r="XDX22"/>
      <c r="XDY22"/>
      <c r="XDZ22"/>
      <c r="XEA22"/>
      <c r="XEB22"/>
      <c r="XEC22"/>
      <c r="XED22"/>
      <c r="XEE22"/>
      <c r="XEF22"/>
      <c r="XEG22"/>
      <c r="XEH22"/>
      <c r="XEI22"/>
      <c r="XEJ22"/>
      <c r="XEK22"/>
      <c r="XEL22"/>
      <c r="XEM22"/>
      <c r="XEN22"/>
      <c r="XEO22"/>
      <c r="XEP22"/>
      <c r="XEQ22"/>
      <c r="XER22"/>
      <c r="XES22"/>
      <c r="XET22"/>
      <c r="XEU22"/>
      <c r="XEV22"/>
      <c r="XEW22"/>
      <c r="XEX22"/>
      <c r="XEY22"/>
      <c r="XEZ22"/>
    </row>
    <row r="23" s="139" customFormat="1" customHeight="1" spans="1:23 16352:16380">
      <c r="A23" s="37">
        <f t="shared" si="8"/>
        <v>19</v>
      </c>
      <c r="B23" s="38" t="s">
        <v>38</v>
      </c>
      <c r="C23" s="39" t="s">
        <v>321</v>
      </c>
      <c r="D23" s="38">
        <v>2</v>
      </c>
      <c r="E23" s="40">
        <f>SUMIFS(转置表!O:O,转置表!L:L,B23,转置表!J:J,C23,转置表!M:M,D23)</f>
        <v>8000</v>
      </c>
      <c r="F23" s="40">
        <f>SUMIFS(转置表!T:T,转置表!L:L,B23,转置表!J:J,C23,转置表!M:M,D23)</f>
        <v>83.125</v>
      </c>
      <c r="G23" s="83">
        <f t="shared" si="1"/>
        <v>176640.625</v>
      </c>
      <c r="H23" s="83">
        <f t="shared" si="2"/>
        <v>200192.708333333</v>
      </c>
      <c r="I23" s="48">
        <f t="shared" si="3"/>
        <v>22.080078125</v>
      </c>
      <c r="J23" s="48">
        <f t="shared" si="4"/>
        <v>25.0240885416667</v>
      </c>
      <c r="K23" s="43"/>
      <c r="L23" s="23"/>
      <c r="M23" s="23" t="s">
        <v>38</v>
      </c>
      <c r="N23" s="139" t="s">
        <v>321</v>
      </c>
      <c r="O23" s="139" t="b">
        <f t="shared" si="7"/>
        <v>1</v>
      </c>
      <c r="T23" s="206">
        <v>22.080078125</v>
      </c>
      <c r="U23" s="204">
        <f t="shared" si="5"/>
        <v>22.08</v>
      </c>
      <c r="V23" s="206">
        <v>25.0240885416667</v>
      </c>
      <c r="W23" s="204">
        <f t="shared" si="6"/>
        <v>25.02</v>
      </c>
      <c r="XDX23"/>
      <c r="XDY23"/>
      <c r="XDZ23"/>
      <c r="XEA23"/>
      <c r="XEB23"/>
      <c r="XEC23"/>
      <c r="XED23"/>
      <c r="XEE23"/>
      <c r="XEF23"/>
      <c r="XEG23"/>
      <c r="XEH23"/>
      <c r="XEI23"/>
      <c r="XEJ23"/>
      <c r="XEK23"/>
      <c r="XEL23"/>
      <c r="XEM23"/>
      <c r="XEN23"/>
      <c r="XEO23"/>
      <c r="XEP23"/>
      <c r="XEQ23"/>
      <c r="XER23"/>
      <c r="XES23"/>
      <c r="XET23"/>
      <c r="XEU23"/>
      <c r="XEV23"/>
      <c r="XEW23"/>
      <c r="XEX23"/>
      <c r="XEY23"/>
      <c r="XEZ23"/>
    </row>
    <row r="24" s="139" customFormat="1" customHeight="1" spans="1:23 16352:16380">
      <c r="A24" s="37">
        <f t="shared" si="8"/>
        <v>20</v>
      </c>
      <c r="B24" s="38" t="s">
        <v>32</v>
      </c>
      <c r="C24" s="39" t="s">
        <v>30</v>
      </c>
      <c r="D24" s="38">
        <v>3</v>
      </c>
      <c r="E24" s="40">
        <f>SUMIFS(转置表!O:O,转置表!L:L,B24,转置表!J:J,C24,转置表!M:M,D24)</f>
        <v>18653</v>
      </c>
      <c r="F24" s="40">
        <f>SUMIFS(转置表!T:T,转置表!L:L,B24,转置表!J:J,C24,转置表!M:M,D24)</f>
        <v>147</v>
      </c>
      <c r="G24" s="83">
        <f t="shared" si="1"/>
        <v>294000</v>
      </c>
      <c r="H24" s="83">
        <f t="shared" si="2"/>
        <v>333200</v>
      </c>
      <c r="I24" s="48">
        <f t="shared" ref="I24:I26" si="9">(75000/30)*F24/E24*0.8</f>
        <v>15.761539698708</v>
      </c>
      <c r="J24" s="48">
        <f t="shared" ref="J24:J26" si="10">(85000/30)*F24/E24*0.8</f>
        <v>17.8630783252024</v>
      </c>
      <c r="K24" s="43"/>
      <c r="L24" s="23"/>
      <c r="M24" s="23" t="s">
        <v>32</v>
      </c>
      <c r="N24" s="139" t="s">
        <v>30</v>
      </c>
      <c r="O24" s="139" t="b">
        <f t="shared" si="7"/>
        <v>1</v>
      </c>
      <c r="T24" s="206">
        <v>15.761539698708</v>
      </c>
      <c r="U24" s="204">
        <f t="shared" si="5"/>
        <v>15.76</v>
      </c>
      <c r="V24" s="206">
        <v>17.8630783252024</v>
      </c>
      <c r="W24" s="204">
        <f t="shared" si="6"/>
        <v>17.86</v>
      </c>
      <c r="XDX24"/>
      <c r="XDY24"/>
      <c r="XDZ24"/>
      <c r="XEA24"/>
      <c r="XEB24"/>
      <c r="XEC24"/>
      <c r="XED24"/>
      <c r="XEE24"/>
      <c r="XEF24"/>
      <c r="XEG24"/>
      <c r="XEH24"/>
      <c r="XEI24"/>
      <c r="XEJ24"/>
      <c r="XEK24"/>
      <c r="XEL24"/>
      <c r="XEM24"/>
      <c r="XEN24"/>
      <c r="XEO24"/>
      <c r="XEP24"/>
      <c r="XEQ24"/>
      <c r="XER24"/>
      <c r="XES24"/>
      <c r="XET24"/>
      <c r="XEU24"/>
      <c r="XEV24"/>
      <c r="XEW24"/>
      <c r="XEX24"/>
      <c r="XEY24"/>
      <c r="XEZ24"/>
    </row>
    <row r="25" s="139" customFormat="1" customHeight="1" spans="1:23 16352:16380">
      <c r="A25" s="37">
        <f t="shared" si="8"/>
        <v>21</v>
      </c>
      <c r="B25" s="38" t="s">
        <v>32</v>
      </c>
      <c r="C25" s="39" t="s">
        <v>324</v>
      </c>
      <c r="D25" s="38">
        <v>3</v>
      </c>
      <c r="E25" s="40">
        <f>SUMIFS(转置表!O:O,转置表!L:L,B25,转置表!J:J,C25,转置表!M:M,D25)</f>
        <v>7594</v>
      </c>
      <c r="F25" s="40">
        <f>SUMIFS(转置表!T:T,转置表!L:L,B25,转置表!J:J,C25,转置表!M:M,D25)</f>
        <v>42.9375</v>
      </c>
      <c r="G25" s="83">
        <f t="shared" si="1"/>
        <v>85875</v>
      </c>
      <c r="H25" s="83">
        <f t="shared" si="2"/>
        <v>97325</v>
      </c>
      <c r="I25" s="48">
        <f t="shared" si="9"/>
        <v>11.3082696865947</v>
      </c>
      <c r="J25" s="48">
        <f t="shared" si="10"/>
        <v>12.8160389781406</v>
      </c>
      <c r="K25" s="43"/>
      <c r="L25" s="23"/>
      <c r="M25" s="23" t="s">
        <v>32</v>
      </c>
      <c r="N25" s="139" t="s">
        <v>322</v>
      </c>
      <c r="O25" s="139" t="b">
        <f t="shared" si="7"/>
        <v>0</v>
      </c>
      <c r="T25" s="206">
        <v>11.3082696865947</v>
      </c>
      <c r="U25" s="204">
        <f t="shared" si="5"/>
        <v>11.31</v>
      </c>
      <c r="V25" s="206">
        <v>12.8160389781406</v>
      </c>
      <c r="W25" s="204">
        <f t="shared" si="6"/>
        <v>12.82</v>
      </c>
      <c r="XDX25"/>
      <c r="XDY25"/>
      <c r="XDZ25"/>
      <c r="XEA25"/>
      <c r="XEB25"/>
      <c r="XEC25"/>
      <c r="XED25"/>
      <c r="XEE25"/>
      <c r="XEF25"/>
      <c r="XEG25"/>
      <c r="XEH25"/>
      <c r="XEI25"/>
      <c r="XEJ25"/>
      <c r="XEK25"/>
      <c r="XEL25"/>
      <c r="XEM25"/>
      <c r="XEN25"/>
      <c r="XEO25"/>
      <c r="XEP25"/>
      <c r="XEQ25"/>
      <c r="XER25"/>
      <c r="XES25"/>
      <c r="XET25"/>
      <c r="XEU25"/>
      <c r="XEV25"/>
      <c r="XEW25"/>
      <c r="XEX25"/>
      <c r="XEY25"/>
      <c r="XEZ25"/>
    </row>
    <row r="26" s="139" customFormat="1" customHeight="1" spans="1:23 16352:16380">
      <c r="A26" s="37">
        <f t="shared" si="8"/>
        <v>22</v>
      </c>
      <c r="B26" s="38" t="s">
        <v>32</v>
      </c>
      <c r="C26" s="39" t="s">
        <v>325</v>
      </c>
      <c r="D26" s="38">
        <v>3</v>
      </c>
      <c r="E26" s="40">
        <f>SUMIFS(转置表!O:O,转置表!L:L,B26,转置表!J:J,C26,转置表!M:M,D26)</f>
        <v>23072</v>
      </c>
      <c r="F26" s="40">
        <f>SUMIFS(转置表!T:T,转置表!L:L,B26,转置表!J:J,C26,转置表!M:M,D26)</f>
        <v>153.791666666599</v>
      </c>
      <c r="G26" s="83">
        <f t="shared" si="1"/>
        <v>307583.333333198</v>
      </c>
      <c r="H26" s="83">
        <f t="shared" si="2"/>
        <v>348594.444444291</v>
      </c>
      <c r="I26" s="48">
        <f t="shared" si="9"/>
        <v>13.3314551548716</v>
      </c>
      <c r="J26" s="48">
        <f t="shared" si="10"/>
        <v>15.1089825088545</v>
      </c>
      <c r="K26" s="43"/>
      <c r="L26" s="23"/>
      <c r="M26" s="23" t="s">
        <v>32</v>
      </c>
      <c r="N26" s="139" t="s">
        <v>322</v>
      </c>
      <c r="O26" s="139" t="b">
        <f t="shared" si="7"/>
        <v>0</v>
      </c>
      <c r="T26" s="206">
        <v>13.3314551548716</v>
      </c>
      <c r="U26" s="204">
        <f t="shared" si="5"/>
        <v>13.33</v>
      </c>
      <c r="V26" s="206">
        <v>15.1089825088545</v>
      </c>
      <c r="W26" s="204">
        <f t="shared" si="6"/>
        <v>15.11</v>
      </c>
      <c r="XDX26"/>
      <c r="XDY26"/>
      <c r="XDZ26"/>
      <c r="XEA26"/>
      <c r="XEB26"/>
      <c r="XEC26"/>
      <c r="XED26"/>
      <c r="XEE26"/>
      <c r="XEF26"/>
      <c r="XEG26"/>
      <c r="XEH26"/>
      <c r="XEI26"/>
      <c r="XEJ26"/>
      <c r="XEK26"/>
      <c r="XEL26"/>
      <c r="XEM26"/>
      <c r="XEN26"/>
      <c r="XEO26"/>
      <c r="XEP26"/>
      <c r="XEQ26"/>
      <c r="XER26"/>
      <c r="XES26"/>
      <c r="XET26"/>
      <c r="XEU26"/>
      <c r="XEV26"/>
      <c r="XEW26"/>
      <c r="XEX26"/>
      <c r="XEY26"/>
      <c r="XEZ26"/>
    </row>
    <row r="27" s="139" customFormat="1" customHeight="1" spans="1:23 16352:16380">
      <c r="A27" s="37">
        <f t="shared" ref="A27:A46" si="11">ROW()-4</f>
        <v>23</v>
      </c>
      <c r="B27" s="38" t="s">
        <v>32</v>
      </c>
      <c r="C27" s="39" t="s">
        <v>323</v>
      </c>
      <c r="D27" s="38">
        <v>3</v>
      </c>
      <c r="E27" s="40">
        <f>SUMIFS(转置表!O:O,转置表!L:L,B27,转置表!J:J,C27,转置表!M:M,D27)</f>
        <v>3732</v>
      </c>
      <c r="F27" s="40">
        <f>SUMIFS(转置表!T:T,转置表!L:L,B27,转置表!J:J,C27,转置表!M:M,D27)</f>
        <v>39</v>
      </c>
      <c r="G27" s="83">
        <f t="shared" si="1"/>
        <v>78000</v>
      </c>
      <c r="H27" s="83">
        <f t="shared" si="2"/>
        <v>88400</v>
      </c>
      <c r="I27" s="48">
        <f t="shared" ref="I27:I46" si="12">(75000/30)*F27/E27*0.8</f>
        <v>20.9003215434084</v>
      </c>
      <c r="J27" s="48">
        <f t="shared" ref="J27:J46" si="13">(85000/30)*F27/E27*0.8</f>
        <v>23.6870310825295</v>
      </c>
      <c r="K27" s="43"/>
      <c r="L27" s="23"/>
      <c r="M27" s="23" t="s">
        <v>32</v>
      </c>
      <c r="N27" s="139" t="s">
        <v>323</v>
      </c>
      <c r="O27" s="139" t="b">
        <f t="shared" si="7"/>
        <v>1</v>
      </c>
      <c r="T27" s="206">
        <v>20.9003215434084</v>
      </c>
      <c r="U27" s="204">
        <f t="shared" si="5"/>
        <v>20.9</v>
      </c>
      <c r="V27" s="206">
        <v>23.6870310825295</v>
      </c>
      <c r="W27" s="204">
        <f t="shared" si="6"/>
        <v>23.69</v>
      </c>
      <c r="XDX27"/>
      <c r="XDY27"/>
      <c r="XDZ27"/>
      <c r="XEA27"/>
      <c r="XEB27"/>
      <c r="XEC27"/>
      <c r="XED27"/>
      <c r="XEE27"/>
      <c r="XEF27"/>
      <c r="XEG27"/>
      <c r="XEH27"/>
      <c r="XEI27"/>
      <c r="XEJ27"/>
      <c r="XEK27"/>
      <c r="XEL27"/>
      <c r="XEM27"/>
      <c r="XEN27"/>
      <c r="XEO27"/>
      <c r="XEP27"/>
      <c r="XEQ27"/>
      <c r="XER27"/>
      <c r="XES27"/>
      <c r="XET27"/>
      <c r="XEU27"/>
      <c r="XEV27"/>
      <c r="XEW27"/>
      <c r="XEX27"/>
      <c r="XEY27"/>
      <c r="XEZ27"/>
    </row>
    <row r="28" s="139" customFormat="1" customHeight="1" spans="1:23 16352:16380">
      <c r="A28" s="37">
        <f t="shared" ref="A28:A37" si="14">ROW()-4</f>
        <v>24</v>
      </c>
      <c r="B28" s="38" t="s">
        <v>32</v>
      </c>
      <c r="C28" s="39" t="s">
        <v>310</v>
      </c>
      <c r="D28" s="38">
        <v>3</v>
      </c>
      <c r="E28" s="40">
        <f>SUMIFS(转置表!O:O,转置表!L:L,B28,转置表!J:J,C28,转置表!M:M,D28)</f>
        <v>8427</v>
      </c>
      <c r="F28" s="40">
        <f>SUMIFS(转置表!T:T,转置表!L:L,B28,转置表!J:J,C28,转置表!M:M,D28)</f>
        <v>113.083333333401</v>
      </c>
      <c r="G28" s="83">
        <f t="shared" si="1"/>
        <v>226166.666666802</v>
      </c>
      <c r="H28" s="83">
        <f t="shared" si="2"/>
        <v>256322.222222376</v>
      </c>
      <c r="I28" s="48">
        <f t="shared" si="12"/>
        <v>26.8383370911122</v>
      </c>
      <c r="J28" s="48">
        <f t="shared" si="13"/>
        <v>30.4167820365938</v>
      </c>
      <c r="K28" s="43"/>
      <c r="L28" s="23"/>
      <c r="M28" s="23" t="s">
        <v>32</v>
      </c>
      <c r="N28" s="139" t="s">
        <v>310</v>
      </c>
      <c r="O28" s="139" t="b">
        <f t="shared" si="7"/>
        <v>1</v>
      </c>
      <c r="T28" s="206">
        <v>26.8383370911122</v>
      </c>
      <c r="U28" s="204">
        <f t="shared" si="5"/>
        <v>26.84</v>
      </c>
      <c r="V28" s="206">
        <v>30.4167820365938</v>
      </c>
      <c r="W28" s="204">
        <f t="shared" si="6"/>
        <v>30.42</v>
      </c>
      <c r="XDX28"/>
      <c r="XDY28"/>
      <c r="XDZ28"/>
      <c r="XEA28"/>
      <c r="XEB28"/>
      <c r="XEC28"/>
      <c r="XED28"/>
      <c r="XEE28"/>
      <c r="XEF28"/>
      <c r="XEG28"/>
      <c r="XEH28"/>
      <c r="XEI28"/>
      <c r="XEJ28"/>
      <c r="XEK28"/>
      <c r="XEL28"/>
      <c r="XEM28"/>
      <c r="XEN28"/>
      <c r="XEO28"/>
      <c r="XEP28"/>
      <c r="XEQ28"/>
      <c r="XER28"/>
      <c r="XES28"/>
      <c r="XET28"/>
      <c r="XEU28"/>
      <c r="XEV28"/>
      <c r="XEW28"/>
      <c r="XEX28"/>
      <c r="XEY28"/>
      <c r="XEZ28"/>
    </row>
    <row r="29" s="139" customFormat="1" customHeight="1" spans="1:23 16352:16380">
      <c r="A29" s="37">
        <f t="shared" si="14"/>
        <v>25</v>
      </c>
      <c r="B29" s="38" t="s">
        <v>32</v>
      </c>
      <c r="C29" s="39" t="s">
        <v>326</v>
      </c>
      <c r="D29" s="38">
        <v>3</v>
      </c>
      <c r="E29" s="40">
        <f>SUMIFS(转置表!O:O,转置表!L:L,B29,转置表!J:J,C29,转置表!M:M,D29)</f>
        <v>10314</v>
      </c>
      <c r="F29" s="40">
        <f>SUMIFS(转置表!T:T,转置表!L:L,B29,转置表!J:J,C29,转置表!M:M,D29)</f>
        <v>126</v>
      </c>
      <c r="G29" s="83">
        <f t="shared" si="1"/>
        <v>252000</v>
      </c>
      <c r="H29" s="83">
        <f t="shared" si="2"/>
        <v>285600</v>
      </c>
      <c r="I29" s="48">
        <f t="shared" si="12"/>
        <v>24.4328097731239</v>
      </c>
      <c r="J29" s="48">
        <f t="shared" si="13"/>
        <v>27.6905177428738</v>
      </c>
      <c r="K29" s="43"/>
      <c r="L29" s="23"/>
      <c r="M29" s="23" t="s">
        <v>32</v>
      </c>
      <c r="N29" s="139" t="s">
        <v>326</v>
      </c>
      <c r="O29" s="139" t="b">
        <f t="shared" si="7"/>
        <v>1</v>
      </c>
      <c r="T29" s="206">
        <v>24.4328097731239</v>
      </c>
      <c r="U29" s="204">
        <f t="shared" si="5"/>
        <v>24.43</v>
      </c>
      <c r="V29" s="206">
        <v>27.6905177428738</v>
      </c>
      <c r="W29" s="204">
        <f t="shared" si="6"/>
        <v>27.69</v>
      </c>
      <c r="XDX29"/>
      <c r="XDY29"/>
      <c r="XDZ29"/>
      <c r="XEA29"/>
      <c r="XEB29"/>
      <c r="XEC29"/>
      <c r="XED29"/>
      <c r="XEE29"/>
      <c r="XEF29"/>
      <c r="XEG29"/>
      <c r="XEH29"/>
      <c r="XEI29"/>
      <c r="XEJ29"/>
      <c r="XEK29"/>
      <c r="XEL29"/>
      <c r="XEM29"/>
      <c r="XEN29"/>
      <c r="XEO29"/>
      <c r="XEP29"/>
      <c r="XEQ29"/>
      <c r="XER29"/>
      <c r="XES29"/>
      <c r="XET29"/>
      <c r="XEU29"/>
      <c r="XEV29"/>
      <c r="XEW29"/>
      <c r="XEX29"/>
      <c r="XEY29"/>
      <c r="XEZ29"/>
    </row>
    <row r="30" s="139" customFormat="1" customHeight="1" spans="1:23 16352:16380">
      <c r="A30" s="37">
        <f t="shared" si="14"/>
        <v>26</v>
      </c>
      <c r="B30" s="38" t="s">
        <v>32</v>
      </c>
      <c r="C30" s="39" t="s">
        <v>327</v>
      </c>
      <c r="D30" s="38">
        <v>3</v>
      </c>
      <c r="E30" s="40">
        <f>SUMIFS(转置表!O:O,转置表!L:L,B30,转置表!J:J,C30,转置表!M:M,D30)</f>
        <v>30995</v>
      </c>
      <c r="F30" s="40">
        <f>SUMIFS(转置表!T:T,转置表!L:L,B30,转置表!J:J,C30,转置表!M:M,D30)</f>
        <v>201.083333333365</v>
      </c>
      <c r="G30" s="83">
        <f t="shared" si="1"/>
        <v>402166.66666673</v>
      </c>
      <c r="H30" s="83">
        <f t="shared" si="2"/>
        <v>455788.88888896</v>
      </c>
      <c r="I30" s="48">
        <f t="shared" si="12"/>
        <v>12.9752110555486</v>
      </c>
      <c r="J30" s="48">
        <f t="shared" si="13"/>
        <v>14.7052391962884</v>
      </c>
      <c r="K30" s="43"/>
      <c r="L30" s="23"/>
      <c r="M30" s="23"/>
      <c r="T30" s="206">
        <v>12.5132761896212</v>
      </c>
      <c r="U30" s="204">
        <f t="shared" si="5"/>
        <v>12.51</v>
      </c>
      <c r="V30" s="206">
        <v>14.181713014904</v>
      </c>
      <c r="W30" s="204">
        <f t="shared" si="6"/>
        <v>14.18</v>
      </c>
      <c r="XDX30"/>
      <c r="XDY30"/>
      <c r="XDZ30"/>
      <c r="XEA30"/>
      <c r="XEB30"/>
      <c r="XEC30"/>
      <c r="XED30"/>
      <c r="XEE30"/>
      <c r="XEF30"/>
      <c r="XEG30"/>
      <c r="XEH30"/>
      <c r="XEI30"/>
      <c r="XEJ30"/>
      <c r="XEK30"/>
      <c r="XEL30"/>
      <c r="XEM30"/>
      <c r="XEN30"/>
      <c r="XEO30"/>
      <c r="XEP30"/>
      <c r="XEQ30"/>
      <c r="XER30"/>
      <c r="XES30"/>
      <c r="XET30"/>
      <c r="XEU30"/>
      <c r="XEV30"/>
      <c r="XEW30"/>
      <c r="XEX30"/>
      <c r="XEY30"/>
      <c r="XEZ30"/>
    </row>
    <row r="31" s="139" customFormat="1" customHeight="1" spans="1:23 16352:16380">
      <c r="A31" s="37">
        <f t="shared" si="14"/>
        <v>27</v>
      </c>
      <c r="B31" s="38" t="s">
        <v>32</v>
      </c>
      <c r="C31" s="39" t="s">
        <v>328</v>
      </c>
      <c r="D31" s="38">
        <v>3</v>
      </c>
      <c r="E31" s="40">
        <f>SUMIFS(转置表!O:O,转置表!L:L,B31,转置表!J:J,C31,转置表!M:M,D31)</f>
        <v>27892</v>
      </c>
      <c r="F31" s="40">
        <f>SUMIFS(转置表!T:T,转置表!L:L,B31,转置表!J:J,C31,转置表!M:M,D31)</f>
        <v>222.895833333198</v>
      </c>
      <c r="G31" s="83">
        <f t="shared" si="1"/>
        <v>445791.666666395</v>
      </c>
      <c r="H31" s="83">
        <f t="shared" si="2"/>
        <v>505230.555555248</v>
      </c>
      <c r="I31" s="48">
        <f t="shared" si="12"/>
        <v>15.9827788135091</v>
      </c>
      <c r="J31" s="48">
        <f t="shared" si="13"/>
        <v>18.1138159886436</v>
      </c>
      <c r="K31" s="43"/>
      <c r="L31" s="23"/>
      <c r="M31" s="23" t="s">
        <v>32</v>
      </c>
      <c r="N31" s="139" t="s">
        <v>44</v>
      </c>
      <c r="O31" s="139" t="b">
        <f t="shared" ref="O31:O37" si="15">N31=C31</f>
        <v>0</v>
      </c>
      <c r="T31" s="206">
        <v>15.1871694687781</v>
      </c>
      <c r="U31" s="204">
        <f t="shared" si="5"/>
        <v>15.19</v>
      </c>
      <c r="V31" s="206">
        <v>17.2121253979485</v>
      </c>
      <c r="W31" s="204">
        <f t="shared" si="6"/>
        <v>17.21</v>
      </c>
      <c r="XDX31"/>
      <c r="XDY31"/>
      <c r="XDZ31"/>
      <c r="XEA31"/>
      <c r="XEB31"/>
      <c r="XEC31"/>
      <c r="XED31"/>
      <c r="XEE31"/>
      <c r="XEF31"/>
      <c r="XEG31"/>
      <c r="XEH31"/>
      <c r="XEI31"/>
      <c r="XEJ31"/>
      <c r="XEK31"/>
      <c r="XEL31"/>
      <c r="XEM31"/>
      <c r="XEN31"/>
      <c r="XEO31"/>
      <c r="XEP31"/>
      <c r="XEQ31"/>
      <c r="XER31"/>
      <c r="XES31"/>
      <c r="XET31"/>
      <c r="XEU31"/>
      <c r="XEV31"/>
      <c r="XEW31"/>
      <c r="XEX31"/>
      <c r="XEY31"/>
      <c r="XEZ31"/>
    </row>
    <row r="32" s="139" customFormat="1" customHeight="1" spans="1:23 16352:16380">
      <c r="A32" s="37">
        <f t="shared" si="14"/>
        <v>28</v>
      </c>
      <c r="B32" s="38" t="s">
        <v>32</v>
      </c>
      <c r="C32" s="39" t="s">
        <v>318</v>
      </c>
      <c r="D32" s="38">
        <v>3</v>
      </c>
      <c r="E32" s="40">
        <f>SUMIFS(转置表!O:O,转置表!L:L,B32,转置表!J:J,C32,转置表!M:M,D32)</f>
        <v>42074</v>
      </c>
      <c r="F32" s="40">
        <f>SUMIFS(转置表!T:T,转置表!L:L,B32,转置表!J:J,C32,转置表!M:M,D32)</f>
        <v>377.7325</v>
      </c>
      <c r="G32" s="83">
        <f t="shared" si="1"/>
        <v>755465</v>
      </c>
      <c r="H32" s="83">
        <f t="shared" si="2"/>
        <v>856193.666666667</v>
      </c>
      <c r="I32" s="48">
        <f t="shared" si="12"/>
        <v>17.9556258021581</v>
      </c>
      <c r="J32" s="48">
        <f t="shared" si="13"/>
        <v>20.3497092424459</v>
      </c>
      <c r="K32" s="43"/>
      <c r="L32" s="23"/>
      <c r="M32" s="23" t="s">
        <v>32</v>
      </c>
      <c r="N32" s="139" t="s">
        <v>318</v>
      </c>
      <c r="O32" s="139" t="b">
        <f t="shared" si="15"/>
        <v>1</v>
      </c>
      <c r="T32" s="206">
        <v>16.4894736352021</v>
      </c>
      <c r="U32" s="204">
        <f t="shared" si="5"/>
        <v>16.49</v>
      </c>
      <c r="V32" s="206">
        <v>18.6880701198957</v>
      </c>
      <c r="W32" s="204">
        <f t="shared" si="6"/>
        <v>18.69</v>
      </c>
      <c r="XDX32"/>
      <c r="XDY32"/>
      <c r="XDZ32"/>
      <c r="XEA32"/>
      <c r="XEB32"/>
      <c r="XEC32"/>
      <c r="XED32"/>
      <c r="XEE32"/>
      <c r="XEF32"/>
      <c r="XEG32"/>
      <c r="XEH32"/>
      <c r="XEI32"/>
      <c r="XEJ32"/>
      <c r="XEK32"/>
      <c r="XEL32"/>
      <c r="XEM32"/>
      <c r="XEN32"/>
      <c r="XEO32"/>
      <c r="XEP32"/>
      <c r="XEQ32"/>
      <c r="XER32"/>
      <c r="XES32"/>
      <c r="XET32"/>
      <c r="XEU32"/>
      <c r="XEV32"/>
      <c r="XEW32"/>
      <c r="XEX32"/>
      <c r="XEY32"/>
      <c r="XEZ32"/>
    </row>
    <row r="33" s="139" customFormat="1" customHeight="1" spans="1:23 16352:16380">
      <c r="A33" s="37">
        <f t="shared" si="14"/>
        <v>29</v>
      </c>
      <c r="B33" s="38" t="s">
        <v>38</v>
      </c>
      <c r="C33" s="39" t="s">
        <v>30</v>
      </c>
      <c r="D33" s="38">
        <v>3</v>
      </c>
      <c r="E33" s="40">
        <f>SUMIFS(转置表!O:O,转置表!L:L,B33,转置表!J:J,C33,转置表!M:M,D33)</f>
        <v>0</v>
      </c>
      <c r="F33" s="40">
        <f>SUMIFS(转置表!T:T,转置表!L:L,B33,转置表!J:J,C33,转置表!M:M,D33)</f>
        <v>0</v>
      </c>
      <c r="G33" s="83" t="e">
        <f t="shared" si="1"/>
        <v>#DIV/0!</v>
      </c>
      <c r="H33" s="83" t="e">
        <f t="shared" si="2"/>
        <v>#DIV/0!</v>
      </c>
      <c r="I33" s="48" t="e">
        <f t="shared" si="12"/>
        <v>#DIV/0!</v>
      </c>
      <c r="J33" s="48" t="e">
        <f t="shared" si="13"/>
        <v>#DIV/0!</v>
      </c>
      <c r="K33" s="43"/>
      <c r="L33" s="23"/>
      <c r="M33" s="23" t="s">
        <v>38</v>
      </c>
      <c r="N33" s="139" t="s">
        <v>30</v>
      </c>
      <c r="O33" s="139" t="b">
        <f t="shared" si="15"/>
        <v>1</v>
      </c>
      <c r="T33" s="206" t="e">
        <v>#DIV/0!</v>
      </c>
      <c r="U33" s="204" t="e">
        <f t="shared" si="5"/>
        <v>#DIV/0!</v>
      </c>
      <c r="V33" s="206" t="e">
        <v>#DIV/0!</v>
      </c>
      <c r="W33" s="204" t="e">
        <f t="shared" si="6"/>
        <v>#DIV/0!</v>
      </c>
      <c r="XDX33"/>
      <c r="XDY33"/>
      <c r="XDZ33"/>
      <c r="XEA33"/>
      <c r="XEB33"/>
      <c r="XEC33"/>
      <c r="XED33"/>
      <c r="XEE33"/>
      <c r="XEF33"/>
      <c r="XEG33"/>
      <c r="XEH33"/>
      <c r="XEI33"/>
      <c r="XEJ33"/>
      <c r="XEK33"/>
      <c r="XEL33"/>
      <c r="XEM33"/>
      <c r="XEN33"/>
      <c r="XEO33"/>
      <c r="XEP33"/>
      <c r="XEQ33"/>
      <c r="XER33"/>
      <c r="XES33"/>
      <c r="XET33"/>
      <c r="XEU33"/>
      <c r="XEV33"/>
      <c r="XEW33"/>
      <c r="XEX33"/>
      <c r="XEY33"/>
      <c r="XEZ33"/>
    </row>
    <row r="34" s="139" customFormat="1" customHeight="1" spans="1:23 16352:16380">
      <c r="A34" s="37">
        <f t="shared" si="14"/>
        <v>30</v>
      </c>
      <c r="B34" s="38" t="s">
        <v>38</v>
      </c>
      <c r="C34" s="39" t="s">
        <v>322</v>
      </c>
      <c r="D34" s="38">
        <v>3</v>
      </c>
      <c r="E34" s="40">
        <f>SUMIFS(转置表!O:O,转置表!L:L,B34,转置表!J:J,C34,转置表!M:M,D34)</f>
        <v>8218</v>
      </c>
      <c r="F34" s="40">
        <f>SUMIFS(转置表!T:T,转置表!L:L,B34,转置表!J:J,C34,转置表!M:M,D34)</f>
        <v>62</v>
      </c>
      <c r="G34" s="83">
        <f t="shared" si="1"/>
        <v>124000</v>
      </c>
      <c r="H34" s="83">
        <f t="shared" si="2"/>
        <v>140533.333333333</v>
      </c>
      <c r="I34" s="48">
        <f t="shared" si="12"/>
        <v>15.0888293988805</v>
      </c>
      <c r="J34" s="48">
        <f t="shared" si="13"/>
        <v>17.1006733187312</v>
      </c>
      <c r="K34" s="43"/>
      <c r="L34" s="23"/>
      <c r="M34" s="23" t="s">
        <v>38</v>
      </c>
      <c r="N34" s="139" t="s">
        <v>322</v>
      </c>
      <c r="O34" s="139" t="b">
        <f t="shared" si="15"/>
        <v>1</v>
      </c>
      <c r="T34" s="206">
        <v>15.0888293988805</v>
      </c>
      <c r="U34" s="204">
        <f t="shared" si="5"/>
        <v>15.09</v>
      </c>
      <c r="V34" s="206">
        <v>17.1006733187312</v>
      </c>
      <c r="W34" s="204">
        <f t="shared" si="6"/>
        <v>17.1</v>
      </c>
      <c r="XDX34"/>
      <c r="XDY34"/>
      <c r="XDZ34"/>
      <c r="XEA34"/>
      <c r="XEB34"/>
      <c r="XEC34"/>
      <c r="XED34"/>
      <c r="XEE34"/>
      <c r="XEF34"/>
      <c r="XEG34"/>
      <c r="XEH34"/>
      <c r="XEI34"/>
      <c r="XEJ34"/>
      <c r="XEK34"/>
      <c r="XEL34"/>
      <c r="XEM34"/>
      <c r="XEN34"/>
      <c r="XEO34"/>
      <c r="XEP34"/>
      <c r="XEQ34"/>
      <c r="XER34"/>
      <c r="XES34"/>
      <c r="XET34"/>
      <c r="XEU34"/>
      <c r="XEV34"/>
      <c r="XEW34"/>
      <c r="XEX34"/>
      <c r="XEY34"/>
      <c r="XEZ34"/>
    </row>
    <row r="35" s="139" customFormat="1" customHeight="1" spans="1:23 16352:16380">
      <c r="A35" s="37">
        <f t="shared" si="14"/>
        <v>31</v>
      </c>
      <c r="B35" s="38" t="s">
        <v>38</v>
      </c>
      <c r="C35" s="39" t="s">
        <v>323</v>
      </c>
      <c r="D35" s="38">
        <v>3</v>
      </c>
      <c r="E35" s="40">
        <f>SUMIFS(转置表!O:O,转置表!L:L,B35,转置表!J:J,C35,转置表!M:M,D35)</f>
        <v>43535</v>
      </c>
      <c r="F35" s="40">
        <f>SUMIFS(转置表!T:T,转置表!L:L,B35,转置表!J:J,C35,转置表!M:M,D35)</f>
        <v>389</v>
      </c>
      <c r="G35" s="83">
        <f t="shared" si="1"/>
        <v>778000</v>
      </c>
      <c r="H35" s="83">
        <f t="shared" si="2"/>
        <v>881733.333333333</v>
      </c>
      <c r="I35" s="48">
        <f t="shared" si="12"/>
        <v>17.8706787642127</v>
      </c>
      <c r="J35" s="48">
        <f t="shared" si="13"/>
        <v>20.2534359327744</v>
      </c>
      <c r="K35" s="44" t="s">
        <v>335</v>
      </c>
      <c r="L35" s="23"/>
      <c r="M35" s="23" t="s">
        <v>38</v>
      </c>
      <c r="N35" s="139" t="s">
        <v>323</v>
      </c>
      <c r="O35" s="139" t="b">
        <f t="shared" si="15"/>
        <v>1</v>
      </c>
      <c r="T35" s="206">
        <v>17.8706787642127</v>
      </c>
      <c r="U35" s="204">
        <f t="shared" si="5"/>
        <v>17.87</v>
      </c>
      <c r="V35" s="206">
        <v>20.2534359327744</v>
      </c>
      <c r="W35" s="204">
        <f t="shared" si="6"/>
        <v>20.25</v>
      </c>
      <c r="XDX35"/>
      <c r="XDY35"/>
      <c r="XDZ35"/>
      <c r="XEA35"/>
      <c r="XEB35"/>
      <c r="XEC35"/>
      <c r="XED35"/>
      <c r="XEE35"/>
      <c r="XEF35"/>
      <c r="XEG35"/>
      <c r="XEH35"/>
      <c r="XEI35"/>
      <c r="XEJ35"/>
      <c r="XEK35"/>
      <c r="XEL35"/>
      <c r="XEM35"/>
      <c r="XEN35"/>
      <c r="XEO35"/>
      <c r="XEP35"/>
      <c r="XEQ35"/>
      <c r="XER35"/>
      <c r="XES35"/>
      <c r="XET35"/>
      <c r="XEU35"/>
      <c r="XEV35"/>
      <c r="XEW35"/>
      <c r="XEX35"/>
      <c r="XEY35"/>
      <c r="XEZ35"/>
    </row>
    <row r="36" s="139" customFormat="1" customHeight="1" spans="1:23 16352:16380">
      <c r="A36" s="37">
        <f t="shared" si="14"/>
        <v>32</v>
      </c>
      <c r="B36" s="38" t="s">
        <v>38</v>
      </c>
      <c r="C36" s="39" t="s">
        <v>44</v>
      </c>
      <c r="D36" s="38">
        <v>3</v>
      </c>
      <c r="E36" s="40">
        <f>SUMIFS(转置表!O:O,转置表!L:L,B36,转置表!J:J,C36,转置表!M:M,D36)</f>
        <v>5842</v>
      </c>
      <c r="F36" s="40">
        <f>SUMIFS(转置表!T:T,转置表!L:L,B36,转置表!J:J,C36,转置表!M:M,D36)</f>
        <v>46.71</v>
      </c>
      <c r="G36" s="83">
        <f t="shared" si="1"/>
        <v>93420</v>
      </c>
      <c r="H36" s="83">
        <f t="shared" si="2"/>
        <v>105876</v>
      </c>
      <c r="I36" s="48">
        <f t="shared" si="12"/>
        <v>15.9910989387196</v>
      </c>
      <c r="J36" s="48">
        <f t="shared" si="13"/>
        <v>18.1232454638822</v>
      </c>
      <c r="K36" s="43"/>
      <c r="L36" s="23"/>
      <c r="M36" s="23" t="s">
        <v>38</v>
      </c>
      <c r="N36" s="139" t="s">
        <v>44</v>
      </c>
      <c r="O36" s="139" t="b">
        <f t="shared" si="15"/>
        <v>1</v>
      </c>
      <c r="T36" s="206">
        <v>15.9910989387196</v>
      </c>
      <c r="U36" s="204">
        <f t="shared" si="5"/>
        <v>15.99</v>
      </c>
      <c r="V36" s="206">
        <v>18.1232454638822</v>
      </c>
      <c r="W36" s="204">
        <f t="shared" si="6"/>
        <v>18.12</v>
      </c>
      <c r="XDX36"/>
      <c r="XDY36"/>
      <c r="XDZ36"/>
      <c r="XEA36"/>
      <c r="XEB36"/>
      <c r="XEC36"/>
      <c r="XED36"/>
      <c r="XEE36"/>
      <c r="XEF36"/>
      <c r="XEG36"/>
      <c r="XEH36"/>
      <c r="XEI36"/>
      <c r="XEJ36"/>
      <c r="XEK36"/>
      <c r="XEL36"/>
      <c r="XEM36"/>
      <c r="XEN36"/>
      <c r="XEO36"/>
      <c r="XEP36"/>
      <c r="XEQ36"/>
      <c r="XER36"/>
      <c r="XES36"/>
      <c r="XET36"/>
      <c r="XEU36"/>
      <c r="XEV36"/>
      <c r="XEW36"/>
      <c r="XEX36"/>
      <c r="XEY36"/>
      <c r="XEZ36"/>
    </row>
    <row r="37" s="139" customFormat="1" customHeight="1" spans="1:23 16352:16380">
      <c r="A37" s="37">
        <f t="shared" si="14"/>
        <v>33</v>
      </c>
      <c r="B37" s="38" t="s">
        <v>32</v>
      </c>
      <c r="C37" s="39" t="s">
        <v>30</v>
      </c>
      <c r="D37" s="38">
        <v>4</v>
      </c>
      <c r="E37" s="40">
        <f>SUMIFS(转置表!O:O,转置表!L:L,B37,转置表!J:J,C37,转置表!M:M,D37)</f>
        <v>14474</v>
      </c>
      <c r="F37" s="40">
        <f>SUMIFS(转置表!T:T,转置表!L:L,B37,转置表!J:J,C37,转置表!M:M,D37)</f>
        <v>152.770833333401</v>
      </c>
      <c r="G37" s="83">
        <f t="shared" si="1"/>
        <v>305541.666666802</v>
      </c>
      <c r="H37" s="83">
        <f t="shared" si="2"/>
        <v>346280.555555709</v>
      </c>
      <c r="I37" s="48">
        <f t="shared" si="12"/>
        <v>21.1096909400858</v>
      </c>
      <c r="J37" s="48">
        <f t="shared" si="13"/>
        <v>23.9243163987639</v>
      </c>
      <c r="K37" s="43"/>
      <c r="L37" s="23"/>
      <c r="M37" s="23" t="s">
        <v>32</v>
      </c>
      <c r="N37" s="139" t="s">
        <v>30</v>
      </c>
      <c r="O37" s="139" t="b">
        <f t="shared" si="15"/>
        <v>1</v>
      </c>
      <c r="T37" s="206">
        <v>21.1096909400858</v>
      </c>
      <c r="U37" s="204">
        <f t="shared" si="5"/>
        <v>21.11</v>
      </c>
      <c r="V37" s="206">
        <v>23.9243163987639</v>
      </c>
      <c r="W37" s="204">
        <f t="shared" si="6"/>
        <v>23.92</v>
      </c>
      <c r="XDX37"/>
      <c r="XDY37"/>
      <c r="XDZ37"/>
      <c r="XEA37"/>
      <c r="XEB37"/>
      <c r="XEC37"/>
      <c r="XED37"/>
      <c r="XEE37"/>
      <c r="XEF37"/>
      <c r="XEG37"/>
      <c r="XEH37"/>
      <c r="XEI37"/>
      <c r="XEJ37"/>
      <c r="XEK37"/>
      <c r="XEL37"/>
      <c r="XEM37"/>
      <c r="XEN37"/>
      <c r="XEO37"/>
      <c r="XEP37"/>
      <c r="XEQ37"/>
      <c r="XER37"/>
      <c r="XES37"/>
      <c r="XET37"/>
      <c r="XEU37"/>
      <c r="XEV37"/>
      <c r="XEW37"/>
      <c r="XEX37"/>
      <c r="XEY37"/>
      <c r="XEZ37"/>
    </row>
    <row r="38" customHeight="1" spans="1:23 16352:16380">
      <c r="B38" s="50" t="s">
        <v>32</v>
      </c>
      <c r="C38" s="50" t="s">
        <v>336</v>
      </c>
      <c r="D38" s="50">
        <v>3</v>
      </c>
      <c r="E38" s="51">
        <v>6082</v>
      </c>
      <c r="F38" s="51">
        <v>52.75</v>
      </c>
      <c r="G38" s="51"/>
      <c r="H38" s="51"/>
      <c r="I38" s="51">
        <f t="shared" si="12"/>
        <v>17.3462676751069</v>
      </c>
      <c r="J38" s="51">
        <f t="shared" si="13"/>
        <v>19.6591033651211</v>
      </c>
    </row>
    <row r="39" customHeight="1" spans="1:23 16352:16380">
      <c r="B39" s="50" t="s">
        <v>32</v>
      </c>
      <c r="C39" s="50" t="s">
        <v>337</v>
      </c>
      <c r="D39" s="50">
        <v>3</v>
      </c>
      <c r="E39" s="51">
        <v>5220</v>
      </c>
      <c r="F39" s="51">
        <v>53.5</v>
      </c>
      <c r="G39" s="51"/>
      <c r="H39" s="51"/>
      <c r="I39" s="51">
        <f t="shared" si="12"/>
        <v>20.4980842911877</v>
      </c>
      <c r="J39" s="51">
        <f t="shared" si="13"/>
        <v>23.2311621966794</v>
      </c>
    </row>
    <row r="40" customHeight="1" spans="1:23 16352:16380">
      <c r="B40" s="50" t="s">
        <v>32</v>
      </c>
      <c r="C40" s="50" t="s">
        <v>338</v>
      </c>
      <c r="D40" s="50">
        <v>2</v>
      </c>
      <c r="E40" s="51">
        <v>1761</v>
      </c>
      <c r="F40" s="51">
        <v>10</v>
      </c>
      <c r="G40" s="51"/>
      <c r="H40" s="51"/>
      <c r="I40" s="51">
        <f t="shared" si="12"/>
        <v>11.3571834185122</v>
      </c>
      <c r="J40" s="51">
        <f t="shared" si="13"/>
        <v>12.8714745409805</v>
      </c>
    </row>
    <row r="41" customHeight="1" spans="1:23 16352:16380">
      <c r="B41" s="50" t="s">
        <v>32</v>
      </c>
      <c r="C41" s="50" t="s">
        <v>339</v>
      </c>
      <c r="D41" s="50">
        <v>2</v>
      </c>
      <c r="E41" s="51">
        <v>2327</v>
      </c>
      <c r="F41" s="51">
        <v>14</v>
      </c>
      <c r="G41" s="51"/>
      <c r="H41" s="51"/>
      <c r="I41" s="51">
        <f t="shared" si="12"/>
        <v>12.0326600773528</v>
      </c>
      <c r="J41" s="51">
        <f t="shared" si="13"/>
        <v>13.6370147543332</v>
      </c>
    </row>
    <row r="42" customHeight="1" spans="1:23 16352:16380">
      <c r="B42" s="50" t="s">
        <v>32</v>
      </c>
      <c r="C42" s="50" t="s">
        <v>340</v>
      </c>
      <c r="D42" s="50">
        <v>2</v>
      </c>
      <c r="E42" s="51">
        <v>3092</v>
      </c>
      <c r="F42" s="51">
        <v>17</v>
      </c>
      <c r="G42" s="51"/>
      <c r="H42" s="51"/>
      <c r="I42" s="51">
        <f t="shared" si="12"/>
        <v>10.9961190168176</v>
      </c>
      <c r="J42" s="51">
        <f t="shared" si="13"/>
        <v>12.4622682190599</v>
      </c>
    </row>
    <row r="43" customHeight="1" spans="1:23 16352:16380">
      <c r="B43" s="50" t="s">
        <v>38</v>
      </c>
      <c r="C43" s="50" t="s">
        <v>341</v>
      </c>
      <c r="D43" s="50">
        <v>3</v>
      </c>
      <c r="E43" s="51">
        <v>2695</v>
      </c>
      <c r="F43" s="51">
        <v>25.5</v>
      </c>
      <c r="G43" s="51"/>
      <c r="H43" s="51"/>
      <c r="I43" s="51">
        <f t="shared" si="12"/>
        <v>18.9239332096475</v>
      </c>
      <c r="J43" s="51">
        <f t="shared" si="13"/>
        <v>21.4471243042672</v>
      </c>
    </row>
    <row r="44" customHeight="1" spans="1:23 16352:16380">
      <c r="B44" s="50" t="s">
        <v>38</v>
      </c>
      <c r="C44" s="50" t="s">
        <v>342</v>
      </c>
      <c r="D44" s="50">
        <v>3</v>
      </c>
      <c r="E44" s="51">
        <v>2720</v>
      </c>
      <c r="F44" s="51">
        <v>23.1</v>
      </c>
      <c r="G44" s="51"/>
      <c r="H44" s="51"/>
      <c r="I44" s="51">
        <f t="shared" si="12"/>
        <v>16.9852941176471</v>
      </c>
      <c r="J44" s="51">
        <f t="shared" si="13"/>
        <v>19.25</v>
      </c>
    </row>
    <row r="45" customHeight="1" spans="1:23 16352:16380">
      <c r="B45" s="50" t="s">
        <v>32</v>
      </c>
      <c r="C45" s="50" t="s">
        <v>344</v>
      </c>
      <c r="D45" s="50">
        <v>2</v>
      </c>
      <c r="E45" s="51">
        <v>3092</v>
      </c>
      <c r="F45" s="51">
        <v>18.5</v>
      </c>
      <c r="G45" s="51"/>
      <c r="H45" s="51"/>
      <c r="I45" s="51">
        <f t="shared" si="12"/>
        <v>11.9663648124191</v>
      </c>
      <c r="J45" s="51">
        <f t="shared" si="13"/>
        <v>13.5618801207417</v>
      </c>
    </row>
    <row r="46" customHeight="1" spans="1:23 16352:16380">
      <c r="B46" s="50" t="s">
        <v>32</v>
      </c>
      <c r="C46" s="50" t="s">
        <v>345</v>
      </c>
      <c r="D46" s="50">
        <v>3</v>
      </c>
      <c r="E46" s="51">
        <v>4540</v>
      </c>
      <c r="F46" s="51">
        <v>27.5</v>
      </c>
      <c r="G46" s="51"/>
      <c r="H46" s="51"/>
      <c r="I46" s="51">
        <f t="shared" si="12"/>
        <v>12.1145374449339</v>
      </c>
      <c r="J46" s="51">
        <f t="shared" si="13"/>
        <v>13.7298091042584</v>
      </c>
    </row>
  </sheetData>
  <sheetProtection formatCells="0" formatColumns="0" formatRows="0" insertRows="0" insertColumns="0" insertHyperlinks="0" deleteColumns="0" deleteRows="0" sort="0" autoFilter="0" pivotTables="0"/>
  <mergeCells count="2">
    <mergeCell ref="A2:K2"/>
    <mergeCell ref="I3:K3"/>
  </mergeCells>
  <pageMargins left="0.708333333333333" right="0.393055555555556" top="0.904861111111111" bottom="0.708333333333333" header="0.314583333333333" footer="0.393055555555556"/>
  <pageSetup paperSize="9" scale="83" orientation="portrait"/>
  <headerFooter>
    <oddFooter>&amp;C&amp;B第 &amp;P 页，共 &amp;N 页</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P41"/>
  <sheetViews>
    <sheetView workbookViewId="0">
      <pane ySplit="3" topLeftCell="A4" activePane="bottomLeft" state="frozen"/>
      <selection/>
      <selection pane="bottomLeft" activeCell="U44" sqref="U44"/>
    </sheetView>
  </sheetViews>
  <sheetFormatPr defaultColWidth="4.87962962962963" defaultRowHeight="16" customHeight="1"/>
  <cols>
    <col min="1" max="1" width="4.16666666666667" style="19" customWidth="1"/>
    <col min="2" max="2" width="6.46296296296296" style="19" customWidth="1"/>
    <col min="3" max="3" width="9.5" style="135" customWidth="1"/>
    <col min="4" max="4" width="6.62962962962963" style="166" customWidth="1"/>
    <col min="5" max="8" width="14.6296296296296" style="22" customWidth="1"/>
    <col min="9" max="9" width="4.87962962962963" style="23"/>
    <col min="10" max="10" width="6.46296296296296" style="19" customWidth="1"/>
    <col min="11" max="11" width="9.5" style="135" customWidth="1"/>
    <col min="12" max="12" width="6.62962962962963" style="166" customWidth="1"/>
    <col min="13" max="13" width="9.5" style="23" customWidth="1"/>
    <col min="14" max="14" width="10.8796296296296" style="23" customWidth="1"/>
    <col min="15" max="15" width="9.62962962962963" style="23" customWidth="1"/>
    <col min="16" max="16" width="11.8796296296296" style="23" customWidth="1"/>
    <col min="17" max="16354" width="4.87962962962963" style="23"/>
  </cols>
  <sheetData>
    <row r="1" s="17" customFormat="1" ht="20.4" spans="1:16">
      <c r="A1" s="25" t="s">
        <v>356</v>
      </c>
      <c r="C1" s="167"/>
      <c r="D1" s="168"/>
      <c r="K1" s="167"/>
      <c r="L1" s="168"/>
    </row>
    <row r="2" s="18" customFormat="1" ht="29.4" spans="1:16">
      <c r="A2" s="26" t="s">
        <v>357</v>
      </c>
      <c r="B2" s="26"/>
      <c r="C2" s="169"/>
      <c r="D2" s="170"/>
      <c r="E2" s="26"/>
      <c r="F2" s="26"/>
      <c r="G2" s="26"/>
      <c r="H2" s="26"/>
      <c r="J2" s="26"/>
      <c r="K2" s="169"/>
      <c r="L2" s="170"/>
      <c r="M2" s="171" t="s">
        <v>358</v>
      </c>
      <c r="N2" s="171"/>
      <c r="O2" s="199" t="s">
        <v>359</v>
      </c>
      <c r="P2" s="199"/>
    </row>
    <row r="3" s="18" customFormat="1" customHeight="1" spans="1:16">
      <c r="A3" s="28"/>
      <c r="B3" s="28"/>
      <c r="C3" s="176"/>
      <c r="D3" s="177"/>
      <c r="E3" s="46"/>
      <c r="F3" s="31"/>
      <c r="G3" s="47" t="s">
        <v>348</v>
      </c>
      <c r="H3" s="47"/>
      <c r="J3" s="28"/>
      <c r="K3" s="176"/>
      <c r="L3" s="177"/>
      <c r="M3" s="18" t="s">
        <v>360</v>
      </c>
      <c r="N3" s="18" t="s">
        <v>361</v>
      </c>
      <c r="O3" s="18" t="s">
        <v>360</v>
      </c>
      <c r="P3" s="18" t="s">
        <v>361</v>
      </c>
    </row>
    <row r="4" ht="32" customHeight="1" spans="1:16">
      <c r="A4" s="32" t="s">
        <v>1</v>
      </c>
      <c r="B4" s="33" t="s">
        <v>10</v>
      </c>
      <c r="C4" s="180" t="s">
        <v>8</v>
      </c>
      <c r="D4" s="181" t="s">
        <v>11</v>
      </c>
      <c r="E4" s="33" t="s">
        <v>362</v>
      </c>
      <c r="F4" s="33" t="s">
        <v>363</v>
      </c>
      <c r="G4" s="33" t="s">
        <v>364</v>
      </c>
      <c r="H4" s="35" t="s">
        <v>157</v>
      </c>
      <c r="J4" s="33" t="s">
        <v>10</v>
      </c>
      <c r="K4" s="180" t="s">
        <v>8</v>
      </c>
      <c r="L4" s="181" t="s">
        <v>11</v>
      </c>
      <c r="M4" s="48" t="s">
        <v>364</v>
      </c>
      <c r="N4" s="48" t="s">
        <v>364</v>
      </c>
      <c r="O4" s="48" t="s">
        <v>364</v>
      </c>
      <c r="P4" s="48" t="s">
        <v>364</v>
      </c>
    </row>
    <row r="5" customHeight="1" spans="1:16">
      <c r="A5" s="37">
        <v>1</v>
      </c>
      <c r="B5" s="48" t="s">
        <v>32</v>
      </c>
      <c r="C5" s="184" t="s">
        <v>30</v>
      </c>
      <c r="D5" s="185">
        <v>2</v>
      </c>
      <c r="E5" s="48">
        <v>3238.6875</v>
      </c>
      <c r="F5" s="48">
        <v>811397.065422315</v>
      </c>
      <c r="G5" s="48">
        <f t="shared" ref="G5:G28" si="0">F5/E5</f>
        <v>250.532681965245</v>
      </c>
      <c r="H5" s="44"/>
      <c r="J5" s="48" t="s">
        <v>32</v>
      </c>
      <c r="K5" s="184" t="s">
        <v>30</v>
      </c>
      <c r="L5" s="185">
        <v>2</v>
      </c>
      <c r="M5" s="184" t="e">
        <f>VLOOKUP(C$5:C$17,#REF!,5,FALSE)</f>
        <v>#REF!</v>
      </c>
      <c r="N5" s="184">
        <v>177.976328830475</v>
      </c>
      <c r="O5" s="184">
        <v>209.799781339498</v>
      </c>
      <c r="P5" s="184">
        <v>174.754399643573</v>
      </c>
    </row>
    <row r="6" customHeight="1" spans="1:16">
      <c r="A6" s="37">
        <v>2</v>
      </c>
      <c r="B6" s="48" t="s">
        <v>32</v>
      </c>
      <c r="C6" s="184" t="s">
        <v>310</v>
      </c>
      <c r="D6" s="185">
        <v>2</v>
      </c>
      <c r="E6" s="48">
        <v>1917.5</v>
      </c>
      <c r="F6" s="48">
        <v>251792.158145185</v>
      </c>
      <c r="G6" s="48">
        <f t="shared" si="0"/>
        <v>131.312729150031</v>
      </c>
      <c r="H6" s="43"/>
      <c r="J6" s="48" t="s">
        <v>32</v>
      </c>
      <c r="K6" s="184" t="s">
        <v>310</v>
      </c>
      <c r="L6" s="185">
        <v>2</v>
      </c>
      <c r="M6" s="184" t="e">
        <f>VLOOKUP(C$5:C$17,#REF!,5,FALSE)</f>
        <v>#REF!</v>
      </c>
      <c r="N6" s="184">
        <v>78.8417845484222</v>
      </c>
      <c r="O6" s="184">
        <v>119.634451677516</v>
      </c>
      <c r="P6" s="184">
        <v>112.388465723613</v>
      </c>
    </row>
    <row r="7" customHeight="1" spans="1:16">
      <c r="A7" s="37">
        <v>3</v>
      </c>
      <c r="B7" s="48" t="s">
        <v>32</v>
      </c>
      <c r="C7" s="184" t="s">
        <v>311</v>
      </c>
      <c r="D7" s="185">
        <v>2</v>
      </c>
      <c r="E7" s="48">
        <v>1516.625</v>
      </c>
      <c r="F7" s="48">
        <v>268978.125</v>
      </c>
      <c r="G7" s="48">
        <f t="shared" si="0"/>
        <v>177.353086623259</v>
      </c>
      <c r="H7" s="43"/>
      <c r="J7" s="48" t="s">
        <v>32</v>
      </c>
      <c r="K7" s="184" t="s">
        <v>311</v>
      </c>
      <c r="L7" s="185">
        <v>2</v>
      </c>
      <c r="M7" s="184" t="e">
        <f>VLOOKUP(C$5:C$17,#REF!,5,FALSE)</f>
        <v>#REF!</v>
      </c>
      <c r="N7" s="184"/>
      <c r="O7" s="184">
        <v>161.68713426193</v>
      </c>
      <c r="P7" s="184"/>
    </row>
    <row r="8" customHeight="1" spans="1:16">
      <c r="A8" s="37">
        <v>4</v>
      </c>
      <c r="B8" s="48" t="s">
        <v>32</v>
      </c>
      <c r="C8" s="184" t="s">
        <v>312</v>
      </c>
      <c r="D8" s="185">
        <v>2</v>
      </c>
      <c r="E8" s="48">
        <v>2748.5</v>
      </c>
      <c r="F8" s="48">
        <v>433459</v>
      </c>
      <c r="G8" s="48">
        <f t="shared" si="0"/>
        <v>157.70747680553</v>
      </c>
      <c r="H8" s="43"/>
      <c r="J8" s="48" t="s">
        <v>32</v>
      </c>
      <c r="K8" s="184" t="s">
        <v>312</v>
      </c>
      <c r="L8" s="185">
        <v>2</v>
      </c>
      <c r="M8" s="184" t="e">
        <f>VLOOKUP(C$5:C$17,#REF!,5,FALSE)</f>
        <v>#REF!</v>
      </c>
      <c r="N8" s="184"/>
      <c r="O8" s="184">
        <v>125.712206658177</v>
      </c>
      <c r="P8" s="184"/>
    </row>
    <row r="9" customHeight="1" spans="1:16">
      <c r="A9" s="37">
        <v>5</v>
      </c>
      <c r="B9" s="48" t="s">
        <v>32</v>
      </c>
      <c r="C9" s="184" t="s">
        <v>313</v>
      </c>
      <c r="D9" s="185">
        <v>2</v>
      </c>
      <c r="E9" s="48">
        <v>1785</v>
      </c>
      <c r="F9" s="48">
        <v>312767</v>
      </c>
      <c r="G9" s="48">
        <f t="shared" si="0"/>
        <v>175.219607843137</v>
      </c>
      <c r="H9" s="43"/>
      <c r="J9" s="48" t="s">
        <v>32</v>
      </c>
      <c r="K9" s="184" t="s">
        <v>313</v>
      </c>
      <c r="L9" s="185">
        <v>2</v>
      </c>
      <c r="M9" s="184" t="e">
        <f>VLOOKUP(C$5:C$17,#REF!,5,FALSE)</f>
        <v>#REF!</v>
      </c>
      <c r="N9" s="184"/>
      <c r="O9" s="184">
        <v>152.941176470588</v>
      </c>
      <c r="P9" s="184"/>
    </row>
    <row r="10" customHeight="1" spans="1:16">
      <c r="A10" s="37">
        <v>6</v>
      </c>
      <c r="B10" s="48" t="s">
        <v>32</v>
      </c>
      <c r="C10" s="184" t="s">
        <v>314</v>
      </c>
      <c r="D10" s="185">
        <v>2</v>
      </c>
      <c r="E10" s="48">
        <v>3026</v>
      </c>
      <c r="F10" s="48">
        <v>999531</v>
      </c>
      <c r="G10" s="48">
        <f t="shared" si="0"/>
        <v>330.314276272307</v>
      </c>
      <c r="H10" s="43"/>
      <c r="J10" s="48" t="s">
        <v>32</v>
      </c>
      <c r="K10" s="184" t="s">
        <v>314</v>
      </c>
      <c r="L10" s="185">
        <v>2</v>
      </c>
      <c r="M10" s="184" t="e">
        <f>VLOOKUP(C$5:C$17,#REF!,5,FALSE)</f>
        <v>#REF!</v>
      </c>
      <c r="N10" s="184"/>
      <c r="O10" s="184">
        <v>290.548578982155</v>
      </c>
      <c r="P10" s="184"/>
    </row>
    <row r="11" customHeight="1" spans="1:16">
      <c r="A11" s="37">
        <v>7</v>
      </c>
      <c r="B11" s="48" t="s">
        <v>32</v>
      </c>
      <c r="C11" s="184" t="s">
        <v>365</v>
      </c>
      <c r="D11" s="185">
        <v>2</v>
      </c>
      <c r="E11" s="48">
        <v>1346</v>
      </c>
      <c r="F11" s="48">
        <v>312602.51</v>
      </c>
      <c r="G11" s="48">
        <f t="shared" si="0"/>
        <v>232.245549777117</v>
      </c>
      <c r="H11" s="43"/>
      <c r="J11" s="48" t="s">
        <v>32</v>
      </c>
      <c r="K11" s="184" t="s">
        <v>365</v>
      </c>
      <c r="L11" s="185">
        <v>2</v>
      </c>
      <c r="M11" s="184" t="e">
        <f>VLOOKUP(C$5:C$17,#REF!,5,FALSE)</f>
        <v>#REF!</v>
      </c>
      <c r="N11" s="184"/>
      <c r="O11" s="184">
        <v>284.576523031204</v>
      </c>
      <c r="P11" s="184"/>
    </row>
    <row r="12" customHeight="1" spans="1:16">
      <c r="A12" s="37">
        <v>8</v>
      </c>
      <c r="B12" s="48" t="s">
        <v>32</v>
      </c>
      <c r="C12" s="184" t="s">
        <v>315</v>
      </c>
      <c r="D12" s="185">
        <v>2</v>
      </c>
      <c r="E12" s="48">
        <v>3321</v>
      </c>
      <c r="F12" s="48">
        <v>358453.089925926</v>
      </c>
      <c r="G12" s="48">
        <f t="shared" si="0"/>
        <v>107.935287541682</v>
      </c>
      <c r="H12" s="43"/>
      <c r="J12" s="48" t="s">
        <v>32</v>
      </c>
      <c r="K12" s="184" t="s">
        <v>315</v>
      </c>
      <c r="L12" s="185">
        <v>2</v>
      </c>
      <c r="M12" s="184"/>
      <c r="N12" s="184">
        <v>111.663660644384</v>
      </c>
      <c r="O12" s="184"/>
      <c r="P12" s="184">
        <v>117.931345980126</v>
      </c>
    </row>
    <row r="13" customHeight="1" spans="1:16">
      <c r="A13" s="37">
        <v>9</v>
      </c>
      <c r="B13" s="48" t="s">
        <v>32</v>
      </c>
      <c r="C13" s="184" t="s">
        <v>316</v>
      </c>
      <c r="D13" s="185">
        <v>2</v>
      </c>
      <c r="E13" s="48">
        <v>2859</v>
      </c>
      <c r="F13" s="48">
        <v>559907.9</v>
      </c>
      <c r="G13" s="48">
        <f t="shared" si="0"/>
        <v>195.840468695348</v>
      </c>
      <c r="H13" s="43"/>
      <c r="J13" s="48" t="s">
        <v>32</v>
      </c>
      <c r="K13" s="184" t="s">
        <v>316</v>
      </c>
      <c r="L13" s="185">
        <v>2</v>
      </c>
      <c r="M13" s="184" t="e">
        <f>VLOOKUP(C$5:C$17,#REF!,5,FALSE)</f>
        <v>#REF!</v>
      </c>
      <c r="N13" s="184"/>
      <c r="O13" s="184">
        <v>118.600909408884</v>
      </c>
      <c r="P13" s="184"/>
    </row>
    <row r="14" customHeight="1" spans="1:16">
      <c r="A14" s="37">
        <v>10</v>
      </c>
      <c r="B14" s="48" t="s">
        <v>32</v>
      </c>
      <c r="C14" s="184" t="s">
        <v>317</v>
      </c>
      <c r="D14" s="185">
        <v>2</v>
      </c>
      <c r="E14" s="48">
        <v>2468</v>
      </c>
      <c r="F14" s="48">
        <v>411422.213084444</v>
      </c>
      <c r="G14" s="48">
        <f t="shared" si="0"/>
        <v>166.702679531784</v>
      </c>
      <c r="H14" s="43"/>
      <c r="J14" s="48" t="s">
        <v>32</v>
      </c>
      <c r="K14" s="184" t="s">
        <v>317</v>
      </c>
      <c r="L14" s="185">
        <v>2</v>
      </c>
      <c r="M14" s="184" t="e">
        <f>VLOOKUP(C$5:C$17,#REF!,5,FALSE)</f>
        <v>#REF!</v>
      </c>
      <c r="N14" s="184"/>
      <c r="O14" s="184">
        <v>110.871150729336</v>
      </c>
      <c r="P14" s="184"/>
    </row>
    <row r="15" customHeight="1" spans="1:16">
      <c r="A15" s="37">
        <v>11</v>
      </c>
      <c r="B15" s="48" t="s">
        <v>32</v>
      </c>
      <c r="C15" s="184" t="s">
        <v>319</v>
      </c>
      <c r="D15" s="185">
        <v>2</v>
      </c>
      <c r="E15" s="48">
        <v>2201</v>
      </c>
      <c r="F15" s="48">
        <v>311229.61024</v>
      </c>
      <c r="G15" s="48">
        <f t="shared" si="0"/>
        <v>141.403730231713</v>
      </c>
      <c r="H15" s="43"/>
      <c r="J15" s="48" t="s">
        <v>32</v>
      </c>
      <c r="K15" s="184" t="s">
        <v>319</v>
      </c>
      <c r="L15" s="185">
        <v>2</v>
      </c>
      <c r="M15" s="184" t="e">
        <f>VLOOKUP(C$5:C$17,#REF!,5,FALSE)</f>
        <v>#REF!</v>
      </c>
      <c r="N15" s="184"/>
      <c r="O15" s="184">
        <v>125.084052703317</v>
      </c>
      <c r="P15" s="184"/>
    </row>
    <row r="16" customHeight="1" spans="1:16">
      <c r="A16" s="37">
        <v>12</v>
      </c>
      <c r="B16" s="48" t="s">
        <v>32</v>
      </c>
      <c r="C16" s="184" t="s">
        <v>320</v>
      </c>
      <c r="D16" s="185">
        <v>2</v>
      </c>
      <c r="E16" s="48">
        <v>2775</v>
      </c>
      <c r="F16" s="48">
        <v>514657</v>
      </c>
      <c r="G16" s="48">
        <f t="shared" si="0"/>
        <v>185.461981981982</v>
      </c>
      <c r="H16" s="43"/>
      <c r="J16" s="48" t="s">
        <v>32</v>
      </c>
      <c r="K16" s="184" t="s">
        <v>320</v>
      </c>
      <c r="L16" s="185">
        <v>2</v>
      </c>
      <c r="M16" s="184" t="e">
        <f>VLOOKUP(C$5:C$17,#REF!,5,FALSE)</f>
        <v>#REF!</v>
      </c>
      <c r="N16" s="184"/>
      <c r="O16" s="184">
        <v>119.138738738739</v>
      </c>
      <c r="P16" s="184"/>
    </row>
    <row r="17" customHeight="1" spans="1:16">
      <c r="A17" s="37">
        <v>13</v>
      </c>
      <c r="B17" s="48" t="s">
        <v>32</v>
      </c>
      <c r="C17" s="184" t="s">
        <v>321</v>
      </c>
      <c r="D17" s="185">
        <v>2</v>
      </c>
      <c r="E17" s="48">
        <v>2658.8</v>
      </c>
      <c r="F17" s="48">
        <v>765488.101274963</v>
      </c>
      <c r="G17" s="48">
        <f t="shared" si="0"/>
        <v>287.907364703988</v>
      </c>
      <c r="H17" s="43"/>
      <c r="J17" s="48" t="s">
        <v>32</v>
      </c>
      <c r="K17" s="184" t="s">
        <v>321</v>
      </c>
      <c r="L17" s="185">
        <v>2</v>
      </c>
      <c r="M17" s="184" t="e">
        <f>VLOOKUP(C$5:C$17,#REF!,5,FALSE)</f>
        <v>#REF!</v>
      </c>
      <c r="N17" s="184"/>
      <c r="O17" s="184">
        <v>198.210470889123</v>
      </c>
      <c r="P17" s="184"/>
    </row>
    <row r="18" customHeight="1" spans="1:16">
      <c r="A18" s="37">
        <v>14</v>
      </c>
      <c r="B18" s="48" t="s">
        <v>38</v>
      </c>
      <c r="C18" s="184" t="s">
        <v>30</v>
      </c>
      <c r="D18" s="185">
        <v>2</v>
      </c>
      <c r="E18" s="48">
        <v>2642.33333333333</v>
      </c>
      <c r="F18" s="48">
        <v>429491.83190642</v>
      </c>
      <c r="G18" s="48">
        <f t="shared" si="0"/>
        <v>162.5426385416</v>
      </c>
      <c r="H18" s="43"/>
      <c r="J18" s="48" t="s">
        <v>38</v>
      </c>
      <c r="K18" s="184" t="s">
        <v>30</v>
      </c>
      <c r="L18" s="185">
        <v>2</v>
      </c>
      <c r="M18" s="184" t="e">
        <f>VLOOKUP(C$18:C$19,#REF!,5,FALSE)</f>
        <v>#REF!</v>
      </c>
      <c r="N18" s="184">
        <v>184.261298599805</v>
      </c>
      <c r="O18" s="184">
        <v>154.291926940326</v>
      </c>
      <c r="P18" s="184">
        <v>185.131878866819</v>
      </c>
    </row>
    <row r="19" customHeight="1" spans="1:16">
      <c r="A19" s="37">
        <v>15</v>
      </c>
      <c r="B19" s="48" t="s">
        <v>38</v>
      </c>
      <c r="C19" s="184" t="s">
        <v>321</v>
      </c>
      <c r="D19" s="185">
        <v>2</v>
      </c>
      <c r="E19" s="48">
        <v>3896</v>
      </c>
      <c r="F19" s="48">
        <v>2108266.45555556</v>
      </c>
      <c r="G19" s="48">
        <f t="shared" si="0"/>
        <v>541.136153890031</v>
      </c>
      <c r="H19" s="43"/>
      <c r="J19" s="48" t="s">
        <v>38</v>
      </c>
      <c r="K19" s="184" t="s">
        <v>321</v>
      </c>
      <c r="L19" s="185">
        <v>2</v>
      </c>
      <c r="M19" s="184" t="e">
        <f>VLOOKUP(C$18:C$19,#REF!,5,FALSE)</f>
        <v>#REF!</v>
      </c>
      <c r="N19" s="184"/>
      <c r="O19" s="184">
        <v>476.506673511294</v>
      </c>
      <c r="P19" s="184"/>
    </row>
    <row r="20" customHeight="1" spans="1:16">
      <c r="A20" s="37">
        <v>16</v>
      </c>
      <c r="B20" s="48" t="s">
        <v>366</v>
      </c>
      <c r="C20" s="184" t="s">
        <v>365</v>
      </c>
      <c r="D20" s="185">
        <v>2</v>
      </c>
      <c r="E20" s="48">
        <v>1008.5</v>
      </c>
      <c r="F20" s="48">
        <v>1045813.55</v>
      </c>
      <c r="G20" s="48">
        <f t="shared" si="0"/>
        <v>1036.99905800694</v>
      </c>
      <c r="H20" s="43"/>
      <c r="J20" s="48" t="s">
        <v>366</v>
      </c>
      <c r="K20" s="184" t="s">
        <v>365</v>
      </c>
      <c r="L20" s="185">
        <v>2</v>
      </c>
      <c r="M20" s="184">
        <v>874.132804757185</v>
      </c>
      <c r="N20" s="184">
        <v>1165.1975</v>
      </c>
      <c r="O20" s="184">
        <v>898.485959696046</v>
      </c>
      <c r="P20" s="184">
        <v>930.694733796299</v>
      </c>
    </row>
    <row r="21" customHeight="1" spans="1:16">
      <c r="A21" s="37">
        <v>17</v>
      </c>
      <c r="B21" s="48" t="s">
        <v>32</v>
      </c>
      <c r="C21" s="184" t="s">
        <v>30</v>
      </c>
      <c r="D21" s="185">
        <v>3</v>
      </c>
      <c r="E21" s="48">
        <v>3779.5</v>
      </c>
      <c r="F21" s="48">
        <v>998593.545012591</v>
      </c>
      <c r="G21" s="48">
        <f t="shared" si="0"/>
        <v>264.213135338693</v>
      </c>
      <c r="H21" s="43"/>
      <c r="J21" s="48" t="s">
        <v>32</v>
      </c>
      <c r="K21" s="184" t="s">
        <v>30</v>
      </c>
      <c r="L21" s="185">
        <v>3</v>
      </c>
      <c r="M21" s="184">
        <v>245.583411748891</v>
      </c>
      <c r="N21" s="184">
        <v>252.388289676425</v>
      </c>
      <c r="O21" s="184">
        <v>263.259846753596</v>
      </c>
      <c r="P21" s="184">
        <v>239.103749357987</v>
      </c>
    </row>
    <row r="22" customHeight="1" spans="1:16">
      <c r="A22" s="37">
        <v>18</v>
      </c>
      <c r="B22" s="48" t="s">
        <v>32</v>
      </c>
      <c r="C22" s="184" t="s">
        <v>365</v>
      </c>
      <c r="D22" s="185">
        <v>3</v>
      </c>
      <c r="E22" s="48">
        <v>1107</v>
      </c>
      <c r="F22" s="48">
        <v>267997.212</v>
      </c>
      <c r="G22" s="48">
        <f t="shared" si="0"/>
        <v>242.093235772358</v>
      </c>
      <c r="H22" s="43"/>
      <c r="J22" s="48" t="s">
        <v>32</v>
      </c>
      <c r="K22" s="184" t="s">
        <v>365</v>
      </c>
      <c r="L22" s="185">
        <v>3</v>
      </c>
      <c r="M22" s="184">
        <v>354.110207768744</v>
      </c>
      <c r="N22" s="184"/>
      <c r="O22" s="184">
        <v>313.387533875339</v>
      </c>
      <c r="P22" s="184"/>
    </row>
    <row r="23" customHeight="1" spans="1:16">
      <c r="A23" s="37">
        <v>19</v>
      </c>
      <c r="B23" s="48" t="s">
        <v>32</v>
      </c>
      <c r="C23" s="184" t="s">
        <v>44</v>
      </c>
      <c r="D23" s="185">
        <v>3</v>
      </c>
      <c r="E23" s="48">
        <v>4210</v>
      </c>
      <c r="F23" s="48">
        <v>1110104.56266667</v>
      </c>
      <c r="G23" s="48">
        <f t="shared" si="0"/>
        <v>263.682793982582</v>
      </c>
      <c r="H23" s="43"/>
      <c r="J23" s="48" t="s">
        <v>32</v>
      </c>
      <c r="K23" s="184" t="s">
        <v>44</v>
      </c>
      <c r="L23" s="185">
        <v>3</v>
      </c>
      <c r="M23" s="184"/>
      <c r="N23" s="184">
        <v>298.274123515439</v>
      </c>
      <c r="O23" s="184"/>
      <c r="P23" s="184">
        <v>236.536817102138</v>
      </c>
    </row>
    <row r="24" customHeight="1" spans="1:16">
      <c r="A24" s="37">
        <v>20</v>
      </c>
      <c r="B24" s="48" t="s">
        <v>32</v>
      </c>
      <c r="C24" s="184" t="s">
        <v>318</v>
      </c>
      <c r="D24" s="185">
        <v>3</v>
      </c>
      <c r="E24" s="48">
        <v>5245</v>
      </c>
      <c r="F24" s="48">
        <v>1200328.56170371</v>
      </c>
      <c r="G24" s="48">
        <f t="shared" si="0"/>
        <v>228.851966006427</v>
      </c>
      <c r="H24" s="43"/>
      <c r="J24" s="48" t="s">
        <v>32</v>
      </c>
      <c r="K24" s="184" t="s">
        <v>318</v>
      </c>
      <c r="L24" s="185">
        <v>3</v>
      </c>
      <c r="M24" s="184"/>
      <c r="N24" s="184"/>
      <c r="O24" s="184"/>
      <c r="P24" s="184"/>
    </row>
    <row r="25" customHeight="1" spans="1:16">
      <c r="A25" s="37">
        <v>21</v>
      </c>
      <c r="B25" s="48" t="s">
        <v>38</v>
      </c>
      <c r="C25" s="184" t="s">
        <v>30</v>
      </c>
      <c r="D25" s="185">
        <v>3</v>
      </c>
      <c r="E25" s="48">
        <v>2382</v>
      </c>
      <c r="F25" s="48">
        <v>401511.655703704</v>
      </c>
      <c r="G25" s="48">
        <f t="shared" si="0"/>
        <v>168.560728674939</v>
      </c>
      <c r="H25" s="43"/>
      <c r="J25" s="48" t="s">
        <v>38</v>
      </c>
      <c r="K25" s="184" t="s">
        <v>30</v>
      </c>
      <c r="L25" s="185">
        <v>3</v>
      </c>
      <c r="M25" s="184">
        <v>161.452560873216</v>
      </c>
      <c r="N25" s="184"/>
      <c r="O25" s="184">
        <v>130.860621326616</v>
      </c>
      <c r="P25" s="184"/>
    </row>
    <row r="26" customHeight="1" spans="1:16">
      <c r="A26" s="37">
        <v>22</v>
      </c>
      <c r="B26" s="48" t="s">
        <v>38</v>
      </c>
      <c r="C26" s="184" t="s">
        <v>323</v>
      </c>
      <c r="D26" s="185">
        <v>3</v>
      </c>
      <c r="E26" s="48">
        <v>6182</v>
      </c>
      <c r="F26" s="48">
        <v>2698592.04842519</v>
      </c>
      <c r="G26" s="48">
        <f t="shared" si="0"/>
        <v>436.524110065544</v>
      </c>
      <c r="H26" s="43"/>
      <c r="J26" s="48" t="s">
        <v>38</v>
      </c>
      <c r="K26" s="184" t="s">
        <v>323</v>
      </c>
      <c r="L26" s="185">
        <v>3</v>
      </c>
      <c r="M26" s="184"/>
      <c r="N26" s="184"/>
      <c r="O26" s="184"/>
      <c r="P26" s="184"/>
    </row>
    <row r="27" customHeight="1" spans="1:16">
      <c r="A27" s="37">
        <v>23</v>
      </c>
      <c r="B27" s="48" t="s">
        <v>366</v>
      </c>
      <c r="C27" s="184" t="s">
        <v>365</v>
      </c>
      <c r="D27" s="185">
        <v>3</v>
      </c>
      <c r="E27" s="48">
        <v>1033</v>
      </c>
      <c r="F27" s="48">
        <v>1168872.77</v>
      </c>
      <c r="G27" s="48">
        <f t="shared" si="0"/>
        <v>1131.5322071636</v>
      </c>
      <c r="H27" s="43"/>
      <c r="J27" s="48" t="s">
        <v>366</v>
      </c>
      <c r="K27" s="184" t="s">
        <v>365</v>
      </c>
      <c r="L27" s="185">
        <v>3</v>
      </c>
      <c r="M27" s="184">
        <v>1097.77347531462</v>
      </c>
      <c r="N27" s="184"/>
      <c r="O27" s="184">
        <v>1079.74830590513</v>
      </c>
      <c r="P27" s="184"/>
    </row>
    <row r="28" customHeight="1" spans="1:16">
      <c r="A28" s="37">
        <v>24</v>
      </c>
      <c r="B28" s="48" t="s">
        <v>32</v>
      </c>
      <c r="C28" s="184" t="s">
        <v>30</v>
      </c>
      <c r="D28" s="188">
        <v>4</v>
      </c>
      <c r="E28" s="48">
        <v>4942</v>
      </c>
      <c r="F28" s="48">
        <v>1663166.23069185</v>
      </c>
      <c r="G28" s="48">
        <f t="shared" si="0"/>
        <v>336.537076222552</v>
      </c>
      <c r="H28" s="43"/>
      <c r="J28" s="48" t="s">
        <v>32</v>
      </c>
      <c r="K28" s="184" t="s">
        <v>30</v>
      </c>
      <c r="L28" s="188">
        <v>4</v>
      </c>
      <c r="M28" s="184"/>
      <c r="N28" s="184">
        <v>314.901515011547</v>
      </c>
      <c r="O28" s="184"/>
      <c r="P28" s="184">
        <v>297.068899153195</v>
      </c>
    </row>
    <row r="29" customHeight="1" spans="1:16">
      <c r="A29" s="37">
        <v>25</v>
      </c>
      <c r="B29" s="38"/>
      <c r="C29" s="39"/>
      <c r="D29" s="188"/>
      <c r="E29" s="48"/>
      <c r="F29" s="48"/>
      <c r="G29" s="48"/>
      <c r="H29" s="43"/>
      <c r="J29" s="38"/>
      <c r="K29" s="39"/>
      <c r="L29" s="188"/>
    </row>
    <row r="30" customHeight="1" spans="1:16">
      <c r="A30" s="37">
        <v>26</v>
      </c>
      <c r="B30" s="38"/>
      <c r="C30" s="39"/>
      <c r="D30" s="188"/>
      <c r="E30" s="48"/>
      <c r="F30" s="48"/>
      <c r="G30" s="48"/>
      <c r="H30" s="43"/>
      <c r="J30" s="38"/>
      <c r="K30" s="39"/>
      <c r="L30" s="188"/>
    </row>
    <row r="31" customHeight="1" spans="1:16">
      <c r="A31" s="37">
        <v>27</v>
      </c>
      <c r="B31" s="38"/>
      <c r="C31" s="39"/>
      <c r="D31" s="188"/>
      <c r="E31" s="48"/>
      <c r="F31" s="48"/>
      <c r="G31" s="48"/>
      <c r="H31" s="43"/>
      <c r="J31" s="38"/>
      <c r="K31" s="39"/>
      <c r="L31" s="188"/>
    </row>
    <row r="32" customHeight="1" spans="1:16">
      <c r="A32" s="37">
        <v>28</v>
      </c>
      <c r="B32" s="38"/>
      <c r="C32" s="39"/>
      <c r="D32" s="188"/>
      <c r="E32" s="48"/>
      <c r="F32" s="48"/>
      <c r="G32" s="48"/>
      <c r="H32" s="43"/>
      <c r="J32" s="38"/>
      <c r="K32" s="39"/>
      <c r="L32" s="188"/>
    </row>
    <row r="33" customHeight="1" spans="1:12">
      <c r="A33" s="37">
        <v>29</v>
      </c>
      <c r="B33" s="38"/>
      <c r="C33" s="39"/>
      <c r="D33" s="188"/>
      <c r="E33" s="48"/>
      <c r="F33" s="48"/>
      <c r="G33" s="48"/>
      <c r="H33" s="43"/>
      <c r="J33" s="38"/>
      <c r="K33" s="39"/>
      <c r="L33" s="188"/>
    </row>
    <row r="34" customHeight="1" spans="1:12">
      <c r="A34" s="37">
        <v>30</v>
      </c>
      <c r="B34" s="38"/>
      <c r="C34" s="39"/>
      <c r="D34" s="188"/>
      <c r="E34" s="48"/>
      <c r="F34" s="48"/>
      <c r="G34" s="48"/>
      <c r="H34" s="43"/>
      <c r="J34" s="38"/>
      <c r="K34" s="39"/>
      <c r="L34" s="188"/>
    </row>
    <row r="35" customHeight="1" spans="1:12">
      <c r="A35" s="37">
        <v>31</v>
      </c>
      <c r="B35" s="38"/>
      <c r="C35" s="39"/>
      <c r="D35" s="188"/>
      <c r="E35" s="48"/>
      <c r="F35" s="48"/>
      <c r="G35" s="48"/>
      <c r="H35" s="43"/>
      <c r="J35" s="38"/>
      <c r="K35" s="39"/>
      <c r="L35" s="188"/>
    </row>
    <row r="36" customHeight="1" spans="1:12">
      <c r="A36" s="37">
        <v>32</v>
      </c>
      <c r="B36" s="38"/>
      <c r="C36" s="39"/>
      <c r="D36" s="188"/>
      <c r="E36" s="48"/>
      <c r="F36" s="48"/>
      <c r="G36" s="48"/>
      <c r="H36" s="43"/>
      <c r="J36" s="38"/>
      <c r="K36" s="39"/>
      <c r="L36" s="188"/>
    </row>
    <row r="37" customHeight="1" spans="1:12">
      <c r="A37" s="37">
        <v>33</v>
      </c>
      <c r="B37" s="38"/>
      <c r="C37" s="39"/>
      <c r="D37" s="188"/>
      <c r="E37" s="48"/>
      <c r="F37" s="48"/>
      <c r="G37" s="48"/>
      <c r="H37" s="43"/>
      <c r="J37" s="38"/>
      <c r="K37" s="39"/>
      <c r="L37" s="188"/>
    </row>
    <row r="38" customHeight="1" spans="1:12">
      <c r="A38" s="37">
        <v>34</v>
      </c>
      <c r="B38" s="38"/>
      <c r="C38" s="39"/>
      <c r="D38" s="188"/>
      <c r="E38" s="48"/>
      <c r="F38" s="48"/>
      <c r="G38" s="48"/>
      <c r="H38" s="43"/>
      <c r="J38" s="38"/>
      <c r="K38" s="39"/>
      <c r="L38" s="188"/>
    </row>
    <row r="39" customHeight="1" spans="1:12">
      <c r="A39" s="37">
        <v>35</v>
      </c>
      <c r="B39" s="38"/>
      <c r="C39" s="39"/>
      <c r="D39" s="188"/>
      <c r="E39" s="48"/>
      <c r="F39" s="48"/>
      <c r="G39" s="48"/>
      <c r="H39" s="43"/>
      <c r="J39" s="38"/>
      <c r="K39" s="39"/>
      <c r="L39" s="188"/>
    </row>
    <row r="40" customHeight="1" spans="1:12">
      <c r="A40" s="37">
        <v>36</v>
      </c>
      <c r="B40" s="38"/>
      <c r="C40" s="39"/>
      <c r="D40" s="188"/>
      <c r="E40" s="48"/>
      <c r="F40" s="48"/>
      <c r="G40" s="48"/>
      <c r="H40" s="43"/>
      <c r="J40" s="38"/>
      <c r="K40" s="39"/>
      <c r="L40" s="188"/>
    </row>
    <row r="41" customHeight="1" spans="1:12">
      <c r="A41" s="37">
        <v>37</v>
      </c>
      <c r="B41" s="38"/>
      <c r="C41" s="39"/>
      <c r="D41" s="188"/>
      <c r="E41" s="48"/>
      <c r="F41" s="48"/>
      <c r="G41" s="48"/>
      <c r="H41" s="43"/>
      <c r="J41" s="38"/>
      <c r="K41" s="39"/>
      <c r="L41" s="188"/>
    </row>
  </sheetData>
  <sheetProtection formatCells="0" formatColumns="0" formatRows="0" insertRows="0" insertColumns="0" insertHyperlinks="0" deleteColumns="0" deleteRows="0" sort="0" autoFilter="0" pivotTables="0"/>
  <autoFilter xmlns:etc="http://www.wps.cn/officeDocument/2017/etCustomData" ref="A4:XDZ41" etc:filterBottomFollowUsedRange="0">
    <extLst/>
  </autoFilter>
  <mergeCells count="4">
    <mergeCell ref="A2:H2"/>
    <mergeCell ref="M2:N2"/>
    <mergeCell ref="O2:P2"/>
    <mergeCell ref="G3:H3"/>
  </mergeCells>
  <pageMargins left="0.432638888888889" right="0.156944444444444" top="0.904861111111111" bottom="0.432638888888889" header="0.314583333333333" footer="0.393055555555556"/>
  <pageSetup paperSize="9" fitToHeight="0" orientation="portrait" horizontalDpi="600"/>
  <headerFooter>
    <oddFooter>&amp;C第 &amp;P 页，共 &amp;N 页</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T45"/>
  <sheetViews>
    <sheetView zoomScale="175" zoomScaleNormal="175" workbookViewId="0">
      <pane ySplit="5" topLeftCell="A28" activePane="bottomLeft" state="frozen"/>
      <selection/>
      <selection pane="bottomLeft" activeCell="J51" sqref="J51"/>
    </sheetView>
  </sheetViews>
  <sheetFormatPr defaultColWidth="4" defaultRowHeight="16" customHeight="1"/>
  <cols>
    <col min="1" max="1" width="5.32407407407407" style="95" customWidth="1"/>
    <col min="2" max="2" width="8.87962962962963" style="95" customWidth="1"/>
    <col min="3" max="3" width="8.75925925925926" style="95" customWidth="1"/>
    <col min="4" max="4" width="5.87037037037037" style="95" customWidth="1"/>
    <col min="5" max="5" width="8.37962962962963" style="95" customWidth="1"/>
    <col min="6" max="6" width="7.5" style="95" customWidth="1"/>
    <col min="7" max="8" width="7.5" style="98" customWidth="1"/>
    <col min="9" max="9" width="17.2592592592593" style="95" customWidth="1"/>
    <col min="10" max="10" width="14.6574074074074" style="165" customWidth="1"/>
    <col min="11" max="11" width="6.46296296296296" style="19" hidden="1" customWidth="1"/>
    <col min="12" max="12" width="9.5" style="135" hidden="1" customWidth="1"/>
    <col min="13" max="13" width="6.62962962962963" style="166" hidden="1" customWidth="1"/>
    <col min="14" max="14" width="9.12962962962963" style="23" hidden="1" customWidth="1"/>
    <col min="15" max="15" width="10.8796296296296" style="23" hidden="1" customWidth="1"/>
    <col min="16" max="16" width="6.46296296296296" style="19" hidden="1" customWidth="1"/>
    <col min="17" max="17" width="9.75925925925926" style="19" hidden="1" customWidth="1"/>
    <col min="18" max="18" width="6.62962962962963" style="20" hidden="1" customWidth="1"/>
    <col min="19" max="20" width="15.8796296296296" style="19" hidden="1" customWidth="1"/>
    <col min="21" max="16384" width="4.87962962962963" style="95"/>
  </cols>
  <sheetData>
    <row r="1" ht="20.4" spans="1:20">
      <c r="A1" s="25" t="s">
        <v>356</v>
      </c>
      <c r="D1" s="96"/>
      <c r="E1" s="97"/>
      <c r="F1" s="97"/>
      <c r="K1" s="17"/>
      <c r="L1" s="167"/>
      <c r="M1" s="168"/>
      <c r="N1" s="17"/>
      <c r="O1" s="17"/>
      <c r="P1" s="17"/>
      <c r="Q1" s="17"/>
      <c r="R1" s="17"/>
      <c r="S1" s="17"/>
      <c r="T1" s="17"/>
    </row>
    <row r="2" s="96" customFormat="1" ht="29.4" spans="1:20">
      <c r="A2" s="26" t="s">
        <v>80</v>
      </c>
      <c r="B2" s="26"/>
      <c r="C2" s="26"/>
      <c r="D2" s="26"/>
      <c r="E2" s="26"/>
      <c r="F2" s="26"/>
      <c r="G2" s="26"/>
      <c r="H2" s="26"/>
      <c r="I2" s="26"/>
      <c r="K2" s="26"/>
      <c r="L2" s="169"/>
      <c r="M2" s="170"/>
      <c r="N2" s="171" t="s">
        <v>358</v>
      </c>
      <c r="O2" s="171"/>
      <c r="P2" s="26"/>
      <c r="Q2" s="26"/>
      <c r="R2" s="26"/>
      <c r="S2" s="26" t="s">
        <v>359</v>
      </c>
      <c r="T2" s="26"/>
    </row>
    <row r="3" s="18" customFormat="1" customHeight="1" spans="1:20">
      <c r="A3" s="85" t="s">
        <v>348</v>
      </c>
      <c r="B3" s="85"/>
      <c r="C3" s="85"/>
      <c r="D3" s="85"/>
      <c r="E3" s="85"/>
      <c r="F3" s="85"/>
      <c r="G3" s="85"/>
      <c r="H3" s="85"/>
      <c r="I3" s="85"/>
    </row>
    <row r="4" s="139" customFormat="1" customHeight="1" spans="1:20">
      <c r="A4" s="172" t="s">
        <v>1</v>
      </c>
      <c r="B4" s="173" t="s">
        <v>10</v>
      </c>
      <c r="C4" s="33" t="s">
        <v>8</v>
      </c>
      <c r="D4" s="173" t="s">
        <v>11</v>
      </c>
      <c r="E4" s="174" t="s">
        <v>15</v>
      </c>
      <c r="F4" s="174"/>
      <c r="G4" s="174" t="s">
        <v>367</v>
      </c>
      <c r="H4" s="174"/>
      <c r="I4" s="35" t="s">
        <v>157</v>
      </c>
      <c r="J4" s="175"/>
      <c r="K4" s="28"/>
      <c r="L4" s="176"/>
      <c r="M4" s="177"/>
      <c r="N4" s="18" t="s">
        <v>360</v>
      </c>
      <c r="O4" s="18" t="s">
        <v>361</v>
      </c>
      <c r="P4" s="28"/>
      <c r="Q4" s="29"/>
      <c r="R4" s="29"/>
      <c r="S4" s="29" t="s">
        <v>360</v>
      </c>
      <c r="T4" s="29" t="s">
        <v>361</v>
      </c>
    </row>
    <row r="5" s="139" customFormat="1" customHeight="1" spans="1:20">
      <c r="A5" s="178"/>
      <c r="B5" s="147"/>
      <c r="C5" s="48"/>
      <c r="D5" s="147"/>
      <c r="E5" s="48" t="s">
        <v>368</v>
      </c>
      <c r="F5" s="48" t="s">
        <v>369</v>
      </c>
      <c r="G5" s="48" t="s">
        <v>368</v>
      </c>
      <c r="H5" s="48" t="s">
        <v>369</v>
      </c>
      <c r="I5" s="43"/>
      <c r="J5" s="175"/>
      <c r="K5" s="179" t="s">
        <v>10</v>
      </c>
      <c r="L5" s="180" t="s">
        <v>8</v>
      </c>
      <c r="M5" s="181" t="s">
        <v>11</v>
      </c>
      <c r="N5" s="48" t="s">
        <v>364</v>
      </c>
      <c r="O5" s="48" t="s">
        <v>364</v>
      </c>
      <c r="P5" s="33" t="s">
        <v>10</v>
      </c>
      <c r="Q5" s="33" t="s">
        <v>8</v>
      </c>
      <c r="R5" s="33" t="s">
        <v>11</v>
      </c>
      <c r="S5" s="33" t="s">
        <v>370</v>
      </c>
      <c r="T5" s="33" t="s">
        <v>370</v>
      </c>
    </row>
    <row r="6" s="139" customFormat="1" customHeight="1" spans="1:20">
      <c r="A6" s="37">
        <f>ROW()-5</f>
        <v>1</v>
      </c>
      <c r="B6" s="38" t="s">
        <v>32</v>
      </c>
      <c r="C6" s="39" t="s">
        <v>30</v>
      </c>
      <c r="D6" s="38">
        <v>2</v>
      </c>
      <c r="E6" s="48">
        <v>220.971908261732</v>
      </c>
      <c r="F6" s="48">
        <v>177.976328830475</v>
      </c>
      <c r="G6" s="48"/>
      <c r="H6" s="48">
        <v>81.5479152308573</v>
      </c>
      <c r="I6" s="43"/>
      <c r="J6" s="182"/>
      <c r="K6" s="183" t="s">
        <v>32</v>
      </c>
      <c r="L6" s="184" t="s">
        <v>30</v>
      </c>
      <c r="M6" s="185">
        <v>2</v>
      </c>
      <c r="N6" s="184">
        <v>220.971908261732</v>
      </c>
      <c r="O6" s="184">
        <v>177.976328830475</v>
      </c>
      <c r="P6" s="38" t="s">
        <v>32</v>
      </c>
      <c r="Q6" s="39" t="s">
        <v>314</v>
      </c>
      <c r="R6" s="38">
        <v>2</v>
      </c>
      <c r="S6" s="156">
        <v>68.7593557811966</v>
      </c>
      <c r="T6" s="156"/>
    </row>
    <row r="7" s="139" customFormat="1" customHeight="1" spans="1:20">
      <c r="A7" s="37">
        <f t="shared" ref="A7:A16" si="0">ROW()-5</f>
        <v>2</v>
      </c>
      <c r="B7" s="38" t="s">
        <v>32</v>
      </c>
      <c r="C7" s="39" t="s">
        <v>310</v>
      </c>
      <c r="D7" s="38">
        <v>2</v>
      </c>
      <c r="E7" s="48">
        <v>104.366641962944</v>
      </c>
      <c r="F7" s="48">
        <v>78.8417845484222</v>
      </c>
      <c r="G7" s="48"/>
      <c r="H7" s="48"/>
      <c r="I7" s="43"/>
      <c r="J7" s="182"/>
      <c r="K7" s="183" t="s">
        <v>32</v>
      </c>
      <c r="L7" s="184" t="s">
        <v>310</v>
      </c>
      <c r="M7" s="185">
        <v>2</v>
      </c>
      <c r="N7" s="184">
        <v>104.366641962944</v>
      </c>
      <c r="O7" s="184">
        <v>78.8417845484222</v>
      </c>
      <c r="P7" s="38" t="s">
        <v>32</v>
      </c>
      <c r="Q7" s="39" t="s">
        <v>371</v>
      </c>
      <c r="R7" s="38">
        <v>2</v>
      </c>
      <c r="S7" s="156">
        <v>96.995684401886</v>
      </c>
      <c r="T7" s="156"/>
    </row>
    <row r="8" s="139" customFormat="1" customHeight="1" spans="1:20">
      <c r="A8" s="37">
        <f t="shared" si="0"/>
        <v>3</v>
      </c>
      <c r="B8" s="38" t="s">
        <v>32</v>
      </c>
      <c r="C8" s="39" t="s">
        <v>311</v>
      </c>
      <c r="D8" s="38">
        <v>2</v>
      </c>
      <c r="E8" s="48">
        <v>157.504327041951</v>
      </c>
      <c r="F8" s="38"/>
      <c r="G8" s="48"/>
      <c r="H8" s="48"/>
      <c r="I8" s="43"/>
      <c r="J8" s="182"/>
      <c r="K8" s="183" t="s">
        <v>32</v>
      </c>
      <c r="L8" s="184" t="s">
        <v>311</v>
      </c>
      <c r="M8" s="185">
        <v>2</v>
      </c>
      <c r="N8" s="184">
        <v>157.504327041951</v>
      </c>
      <c r="O8" s="184"/>
      <c r="P8" s="38" t="s">
        <v>32</v>
      </c>
      <c r="Q8" s="39" t="s">
        <v>316</v>
      </c>
      <c r="R8" s="38">
        <v>2</v>
      </c>
      <c r="S8" s="156">
        <v>109.020162136752</v>
      </c>
      <c r="T8" s="156"/>
    </row>
    <row r="9" s="139" customFormat="1" customHeight="1" spans="1:20">
      <c r="A9" s="37">
        <f t="shared" si="0"/>
        <v>4</v>
      </c>
      <c r="B9" s="38" t="s">
        <v>32</v>
      </c>
      <c r="C9" s="39" t="s">
        <v>312</v>
      </c>
      <c r="D9" s="38">
        <v>2</v>
      </c>
      <c r="E9" s="48">
        <v>132.435874113152</v>
      </c>
      <c r="F9" s="38"/>
      <c r="G9" s="48"/>
      <c r="H9" s="48"/>
      <c r="I9" s="43"/>
      <c r="J9" s="182"/>
      <c r="K9" s="183" t="s">
        <v>32</v>
      </c>
      <c r="L9" s="184" t="s">
        <v>312</v>
      </c>
      <c r="M9" s="185">
        <v>2</v>
      </c>
      <c r="N9" s="184">
        <v>132.435874113152</v>
      </c>
      <c r="O9" s="184"/>
      <c r="P9" s="38" t="s">
        <v>32</v>
      </c>
      <c r="Q9" s="39" t="s">
        <v>30</v>
      </c>
      <c r="R9" s="38">
        <v>2</v>
      </c>
      <c r="S9" s="156"/>
      <c r="T9" s="156">
        <v>81.5479152308573</v>
      </c>
    </row>
    <row r="10" s="139" customFormat="1" customHeight="1" spans="1:20">
      <c r="A10" s="37">
        <f t="shared" si="0"/>
        <v>5</v>
      </c>
      <c r="B10" s="38" t="s">
        <v>32</v>
      </c>
      <c r="C10" s="39" t="s">
        <v>313</v>
      </c>
      <c r="D10" s="38">
        <v>2</v>
      </c>
      <c r="E10" s="48">
        <v>152.941176470588</v>
      </c>
      <c r="F10" s="38"/>
      <c r="G10" s="48"/>
      <c r="H10" s="48"/>
      <c r="I10" s="43"/>
      <c r="J10" s="182"/>
      <c r="K10" s="183" t="s">
        <v>32</v>
      </c>
      <c r="L10" s="184" t="s">
        <v>313</v>
      </c>
      <c r="M10" s="185">
        <v>2</v>
      </c>
      <c r="N10" s="184">
        <v>152.941176470588</v>
      </c>
      <c r="O10" s="184"/>
      <c r="P10" s="38" t="s">
        <v>32</v>
      </c>
      <c r="Q10" s="39" t="s">
        <v>318</v>
      </c>
      <c r="R10" s="38">
        <v>2</v>
      </c>
      <c r="S10" s="156"/>
      <c r="T10" s="156">
        <v>120.549470264594</v>
      </c>
    </row>
    <row r="11" s="139" customFormat="1" customHeight="1" spans="1:20">
      <c r="A11" s="37">
        <f t="shared" si="0"/>
        <v>6</v>
      </c>
      <c r="B11" s="38" t="s">
        <v>32</v>
      </c>
      <c r="C11" s="39" t="s">
        <v>314</v>
      </c>
      <c r="D11" s="38">
        <v>2</v>
      </c>
      <c r="E11" s="111"/>
      <c r="F11" s="186"/>
      <c r="G11" s="111">
        <v>68.7593557811966</v>
      </c>
      <c r="H11" s="48"/>
      <c r="I11" s="44" t="s">
        <v>334</v>
      </c>
      <c r="J11" s="182"/>
      <c r="K11" s="183" t="s">
        <v>32</v>
      </c>
      <c r="L11" s="184" t="s">
        <v>314</v>
      </c>
      <c r="M11" s="185">
        <v>2</v>
      </c>
      <c r="N11" s="184">
        <v>290.548578982154</v>
      </c>
      <c r="O11" s="184"/>
      <c r="P11" s="38" t="s">
        <v>38</v>
      </c>
      <c r="Q11" s="39" t="s">
        <v>322</v>
      </c>
      <c r="R11" s="38">
        <v>2</v>
      </c>
      <c r="S11" s="156"/>
      <c r="T11" s="156">
        <v>127.466694421316</v>
      </c>
    </row>
    <row r="12" s="139" customFormat="1" customHeight="1" spans="1:20">
      <c r="A12" s="37">
        <f t="shared" si="0"/>
        <v>7</v>
      </c>
      <c r="B12" s="38" t="s">
        <v>32</v>
      </c>
      <c r="C12" s="39" t="s">
        <v>371</v>
      </c>
      <c r="D12" s="38">
        <v>2</v>
      </c>
      <c r="E12" s="38"/>
      <c r="F12" s="38"/>
      <c r="G12" s="48">
        <v>96.995684401886</v>
      </c>
      <c r="H12" s="48"/>
      <c r="I12" s="43"/>
      <c r="J12" s="182"/>
      <c r="K12" s="183" t="s">
        <v>32</v>
      </c>
      <c r="L12" s="184" t="s">
        <v>365</v>
      </c>
      <c r="M12" s="185">
        <v>2</v>
      </c>
      <c r="N12" s="184">
        <v>178.380386329866</v>
      </c>
      <c r="O12" s="184"/>
      <c r="P12" s="38" t="s">
        <v>38</v>
      </c>
      <c r="Q12" s="39" t="s">
        <v>323</v>
      </c>
      <c r="R12" s="38">
        <v>2</v>
      </c>
      <c r="S12" s="156"/>
      <c r="T12" s="156">
        <v>141.067709625109</v>
      </c>
    </row>
    <row r="13" s="139" customFormat="1" customHeight="1" spans="1:20">
      <c r="A13" s="37">
        <f t="shared" si="0"/>
        <v>8</v>
      </c>
      <c r="B13" s="38" t="s">
        <v>32</v>
      </c>
      <c r="C13" s="39" t="s">
        <v>365</v>
      </c>
      <c r="D13" s="38">
        <v>2</v>
      </c>
      <c r="E13" s="111">
        <v>178.380386329866</v>
      </c>
      <c r="F13" s="38"/>
      <c r="G13" s="48"/>
      <c r="H13" s="48"/>
      <c r="I13" s="43"/>
      <c r="J13" s="182"/>
      <c r="K13" s="183" t="s">
        <v>32</v>
      </c>
      <c r="L13" s="184" t="s">
        <v>315</v>
      </c>
      <c r="M13" s="185">
        <v>2</v>
      </c>
      <c r="N13" s="184"/>
      <c r="O13" s="184">
        <v>111.663660644384</v>
      </c>
      <c r="P13" s="38" t="s">
        <v>38</v>
      </c>
      <c r="Q13" s="39" t="s">
        <v>321</v>
      </c>
      <c r="R13" s="38">
        <v>2</v>
      </c>
      <c r="S13" s="156"/>
      <c r="T13" s="156">
        <v>117.037037037037</v>
      </c>
    </row>
    <row r="14" s="139" customFormat="1" customHeight="1" spans="1:20">
      <c r="A14" s="37">
        <f t="shared" si="0"/>
        <v>9</v>
      </c>
      <c r="B14" s="38" t="s">
        <v>32</v>
      </c>
      <c r="C14" s="39" t="s">
        <v>315</v>
      </c>
      <c r="D14" s="38">
        <v>2</v>
      </c>
      <c r="E14" s="38"/>
      <c r="F14" s="48">
        <v>111.663660644384</v>
      </c>
      <c r="G14" s="48"/>
      <c r="H14" s="48"/>
      <c r="I14" s="43"/>
      <c r="J14" s="182"/>
      <c r="K14" s="183" t="s">
        <v>32</v>
      </c>
      <c r="L14" s="184" t="s">
        <v>316</v>
      </c>
      <c r="M14" s="185">
        <v>2</v>
      </c>
      <c r="N14" s="184">
        <v>179.468345575376</v>
      </c>
      <c r="O14" s="184"/>
      <c r="P14" s="38" t="s">
        <v>32</v>
      </c>
      <c r="Q14" s="39" t="s">
        <v>30</v>
      </c>
      <c r="R14" s="38">
        <v>3</v>
      </c>
      <c r="S14" s="156">
        <v>85.1940731793887</v>
      </c>
      <c r="T14" s="156">
        <v>106.456913006694</v>
      </c>
    </row>
    <row r="15" s="139" customFormat="1" customHeight="1" spans="1:20">
      <c r="A15" s="37">
        <f t="shared" si="0"/>
        <v>10</v>
      </c>
      <c r="B15" s="38" t="s">
        <v>32</v>
      </c>
      <c r="C15" s="39" t="s">
        <v>316</v>
      </c>
      <c r="D15" s="38">
        <v>2</v>
      </c>
      <c r="E15" s="48">
        <v>179.468345575376</v>
      </c>
      <c r="F15" s="38"/>
      <c r="G15" s="48">
        <v>109.020162136752</v>
      </c>
      <c r="H15" s="48"/>
      <c r="I15" s="43"/>
      <c r="J15" s="182"/>
      <c r="K15" s="183" t="s">
        <v>32</v>
      </c>
      <c r="L15" s="184" t="s">
        <v>317</v>
      </c>
      <c r="M15" s="185">
        <v>2</v>
      </c>
      <c r="N15" s="184">
        <v>195.37388006483</v>
      </c>
      <c r="O15" s="184"/>
      <c r="P15" s="38" t="s">
        <v>32</v>
      </c>
      <c r="Q15" s="39" t="s">
        <v>322</v>
      </c>
      <c r="R15" s="38">
        <v>3</v>
      </c>
      <c r="S15" s="156"/>
      <c r="T15" s="156">
        <v>173.952637243552</v>
      </c>
    </row>
    <row r="16" s="139" customFormat="1" customHeight="1" spans="1:20">
      <c r="A16" s="37">
        <f t="shared" si="0"/>
        <v>11</v>
      </c>
      <c r="B16" s="38" t="s">
        <v>32</v>
      </c>
      <c r="C16" s="39" t="s">
        <v>317</v>
      </c>
      <c r="D16" s="38">
        <v>2</v>
      </c>
      <c r="E16" s="48">
        <v>195.37388006483</v>
      </c>
      <c r="F16" s="38"/>
      <c r="G16" s="48"/>
      <c r="H16" s="48"/>
      <c r="I16" s="43"/>
      <c r="J16" s="182"/>
      <c r="K16" s="183" t="s">
        <v>32</v>
      </c>
      <c r="L16" s="184" t="s">
        <v>319</v>
      </c>
      <c r="M16" s="185">
        <v>2</v>
      </c>
      <c r="N16" s="184">
        <v>136.544868696047</v>
      </c>
      <c r="O16" s="184"/>
      <c r="P16" s="38" t="s">
        <v>32</v>
      </c>
      <c r="Q16" s="39" t="s">
        <v>323</v>
      </c>
      <c r="R16" s="38">
        <v>3</v>
      </c>
      <c r="S16" s="156">
        <v>118.431141137886</v>
      </c>
      <c r="T16" s="156"/>
    </row>
    <row r="17" s="139" customFormat="1" customHeight="1" spans="1:20">
      <c r="A17" s="37">
        <f t="shared" ref="A17:A26" si="1">ROW()-5</f>
        <v>12</v>
      </c>
      <c r="B17" s="38" t="s">
        <v>32</v>
      </c>
      <c r="C17" s="39" t="s">
        <v>318</v>
      </c>
      <c r="D17" s="38">
        <v>2</v>
      </c>
      <c r="E17" s="38"/>
      <c r="F17" s="38"/>
      <c r="G17" s="48"/>
      <c r="H17" s="48">
        <v>120.549470264594</v>
      </c>
      <c r="I17" s="43"/>
      <c r="J17" s="182"/>
      <c r="K17" s="183" t="s">
        <v>32</v>
      </c>
      <c r="L17" s="184" t="s">
        <v>320</v>
      </c>
      <c r="M17" s="185">
        <v>2</v>
      </c>
      <c r="N17" s="184">
        <v>165.603603603604</v>
      </c>
      <c r="O17" s="184"/>
      <c r="P17" s="38" t="s">
        <v>32</v>
      </c>
      <c r="Q17" s="158" t="s">
        <v>310</v>
      </c>
      <c r="R17" s="38">
        <v>3</v>
      </c>
      <c r="S17" s="159">
        <v>109.829088365849</v>
      </c>
      <c r="T17" s="160"/>
    </row>
    <row r="18" s="139" customFormat="1" customHeight="1" spans="1:20">
      <c r="A18" s="37">
        <f t="shared" si="1"/>
        <v>13</v>
      </c>
      <c r="B18" s="38" t="s">
        <v>32</v>
      </c>
      <c r="C18" s="45" t="s">
        <v>319</v>
      </c>
      <c r="D18" s="38">
        <v>2</v>
      </c>
      <c r="E18" s="48">
        <v>136.544868696047</v>
      </c>
      <c r="F18" s="38"/>
      <c r="G18" s="187"/>
      <c r="H18" s="48"/>
      <c r="I18" s="43"/>
      <c r="J18" s="182"/>
      <c r="K18" s="183" t="s">
        <v>32</v>
      </c>
      <c r="L18" s="184" t="s">
        <v>321</v>
      </c>
      <c r="M18" s="185">
        <v>2</v>
      </c>
      <c r="N18" s="184">
        <v>254.380867759892</v>
      </c>
      <c r="O18" s="184"/>
      <c r="P18" s="38" t="s">
        <v>32</v>
      </c>
      <c r="Q18" s="45" t="s">
        <v>326</v>
      </c>
      <c r="R18" s="38">
        <v>3</v>
      </c>
      <c r="S18" s="161"/>
      <c r="T18" s="161">
        <v>201.500596621878</v>
      </c>
    </row>
    <row r="19" s="139" customFormat="1" customHeight="1" spans="1:20">
      <c r="A19" s="37">
        <f t="shared" si="1"/>
        <v>14</v>
      </c>
      <c r="B19" s="38" t="s">
        <v>32</v>
      </c>
      <c r="C19" s="39" t="s">
        <v>320</v>
      </c>
      <c r="D19" s="38">
        <v>2</v>
      </c>
      <c r="E19" s="48">
        <v>165.603603603604</v>
      </c>
      <c r="F19" s="38"/>
      <c r="G19" s="48"/>
      <c r="H19" s="48"/>
      <c r="I19" s="43"/>
      <c r="J19" s="182"/>
      <c r="K19" s="183" t="s">
        <v>38</v>
      </c>
      <c r="L19" s="184" t="s">
        <v>30</v>
      </c>
      <c r="M19" s="185">
        <v>2</v>
      </c>
      <c r="N19" s="184">
        <v>146.379208401977</v>
      </c>
      <c r="O19" s="184">
        <v>184.261298599805</v>
      </c>
      <c r="P19" s="38" t="s">
        <v>32</v>
      </c>
      <c r="Q19" s="39" t="s">
        <v>365</v>
      </c>
      <c r="R19" s="38">
        <v>3</v>
      </c>
      <c r="S19" s="156">
        <v>350.4773057568</v>
      </c>
      <c r="T19" s="156"/>
    </row>
    <row r="20" s="139" customFormat="1" customHeight="1" spans="1:20">
      <c r="A20" s="37">
        <f t="shared" si="1"/>
        <v>15</v>
      </c>
      <c r="B20" s="38" t="s">
        <v>32</v>
      </c>
      <c r="C20" s="39" t="s">
        <v>321</v>
      </c>
      <c r="D20" s="38">
        <v>2</v>
      </c>
      <c r="E20" s="48">
        <v>254.380867759892</v>
      </c>
      <c r="F20" s="38"/>
      <c r="G20" s="48"/>
      <c r="H20" s="48"/>
      <c r="I20" s="43"/>
      <c r="J20" s="182"/>
      <c r="K20" s="183" t="s">
        <v>38</v>
      </c>
      <c r="L20" s="184" t="s">
        <v>321</v>
      </c>
      <c r="M20" s="185">
        <v>2</v>
      </c>
      <c r="N20" s="184">
        <v>505.292736139631</v>
      </c>
      <c r="O20" s="184"/>
      <c r="P20" s="38" t="s">
        <v>32</v>
      </c>
      <c r="Q20" s="39" t="s">
        <v>44</v>
      </c>
      <c r="R20" s="38">
        <v>3</v>
      </c>
      <c r="S20" s="156"/>
      <c r="T20" s="156">
        <v>119.760397312436</v>
      </c>
    </row>
    <row r="21" s="139" customFormat="1" customHeight="1" spans="1:20">
      <c r="A21" s="37">
        <f t="shared" si="1"/>
        <v>16</v>
      </c>
      <c r="B21" s="38" t="s">
        <v>38</v>
      </c>
      <c r="C21" s="39" t="s">
        <v>30</v>
      </c>
      <c r="D21" s="38">
        <v>2</v>
      </c>
      <c r="E21" s="38"/>
      <c r="F21" s="48">
        <v>184.261298599805</v>
      </c>
      <c r="G21" s="48"/>
      <c r="H21" s="48"/>
      <c r="I21" s="43"/>
      <c r="J21" s="182"/>
      <c r="K21" s="183" t="s">
        <v>366</v>
      </c>
      <c r="L21" s="184" t="s">
        <v>365</v>
      </c>
      <c r="M21" s="185">
        <v>2</v>
      </c>
      <c r="N21" s="184">
        <v>874.132804757185</v>
      </c>
      <c r="O21" s="184">
        <v>1165.1975</v>
      </c>
      <c r="P21" s="38" t="s">
        <v>32</v>
      </c>
      <c r="Q21" s="39" t="s">
        <v>318</v>
      </c>
      <c r="R21" s="38">
        <v>3</v>
      </c>
      <c r="S21" s="156">
        <v>127.311506409552</v>
      </c>
      <c r="T21" s="156">
        <v>153.222865691897</v>
      </c>
    </row>
    <row r="22" s="139" customFormat="1" customHeight="1" spans="1:20">
      <c r="A22" s="37">
        <f t="shared" si="1"/>
        <v>17</v>
      </c>
      <c r="B22" s="38" t="s">
        <v>38</v>
      </c>
      <c r="C22" s="39" t="s">
        <v>322</v>
      </c>
      <c r="D22" s="38">
        <v>2</v>
      </c>
      <c r="E22" s="38"/>
      <c r="F22" s="38"/>
      <c r="G22" s="48"/>
      <c r="H22" s="48">
        <v>127.466694421316</v>
      </c>
      <c r="I22" s="43"/>
      <c r="J22" s="182"/>
      <c r="K22" s="183" t="s">
        <v>32</v>
      </c>
      <c r="L22" s="184" t="s">
        <v>30</v>
      </c>
      <c r="M22" s="185">
        <v>3</v>
      </c>
      <c r="N22" s="184">
        <v>245.583411748891</v>
      </c>
      <c r="O22" s="184">
        <v>252.388289676425</v>
      </c>
      <c r="P22" s="38" t="s">
        <v>38</v>
      </c>
      <c r="Q22" s="39" t="s">
        <v>322</v>
      </c>
      <c r="R22" s="38">
        <v>3</v>
      </c>
      <c r="S22" s="156"/>
      <c r="T22" s="156">
        <v>133.191869860897</v>
      </c>
    </row>
    <row r="23" s="139" customFormat="1" customHeight="1" spans="1:20">
      <c r="A23" s="37">
        <f t="shared" si="1"/>
        <v>18</v>
      </c>
      <c r="B23" s="38" t="s">
        <v>38</v>
      </c>
      <c r="C23" s="39" t="s">
        <v>323</v>
      </c>
      <c r="D23" s="38">
        <v>2</v>
      </c>
      <c r="E23" s="38"/>
      <c r="F23" s="38"/>
      <c r="G23" s="48"/>
      <c r="H23" s="48">
        <v>141.067709625109</v>
      </c>
      <c r="I23" s="43"/>
      <c r="J23" s="182"/>
      <c r="K23" s="183" t="s">
        <v>32</v>
      </c>
      <c r="L23" s="184" t="s">
        <v>365</v>
      </c>
      <c r="M23" s="185">
        <v>3</v>
      </c>
      <c r="N23" s="184">
        <v>354.110207768744</v>
      </c>
      <c r="O23" s="184"/>
      <c r="P23" s="38" t="s">
        <v>38</v>
      </c>
      <c r="Q23" s="39" t="s">
        <v>323</v>
      </c>
      <c r="R23" s="38">
        <v>3</v>
      </c>
      <c r="S23" s="156"/>
      <c r="T23" s="156">
        <v>215.843910522771</v>
      </c>
    </row>
    <row r="24" s="139" customFormat="1" customHeight="1" spans="1:20">
      <c r="A24" s="37">
        <f t="shared" si="1"/>
        <v>19</v>
      </c>
      <c r="B24" s="38" t="s">
        <v>38</v>
      </c>
      <c r="C24" s="39" t="s">
        <v>321</v>
      </c>
      <c r="D24" s="38">
        <v>2</v>
      </c>
      <c r="E24" s="38"/>
      <c r="F24" s="38"/>
      <c r="G24" s="48"/>
      <c r="H24" s="48">
        <v>117.037037037037</v>
      </c>
      <c r="I24" s="43"/>
      <c r="J24" s="182"/>
      <c r="K24" s="183" t="s">
        <v>32</v>
      </c>
      <c r="L24" s="184" t="s">
        <v>44</v>
      </c>
      <c r="M24" s="185">
        <v>3</v>
      </c>
      <c r="N24" s="184"/>
      <c r="O24" s="184">
        <v>298.274123515439</v>
      </c>
      <c r="P24" s="38" t="s">
        <v>38</v>
      </c>
      <c r="Q24" s="39" t="s">
        <v>310</v>
      </c>
      <c r="R24" s="38">
        <v>3</v>
      </c>
      <c r="S24" s="156"/>
      <c r="T24" s="156">
        <v>208.913346371643</v>
      </c>
    </row>
    <row r="25" s="139" customFormat="1" customHeight="1" spans="1:20">
      <c r="A25" s="37">
        <f t="shared" si="1"/>
        <v>20</v>
      </c>
      <c r="B25" s="38" t="s">
        <v>366</v>
      </c>
      <c r="C25" s="39" t="s">
        <v>365</v>
      </c>
      <c r="D25" s="38">
        <v>2</v>
      </c>
      <c r="E25" s="48">
        <v>874.132804757185</v>
      </c>
      <c r="F25" s="38"/>
      <c r="G25" s="48"/>
      <c r="H25" s="48"/>
      <c r="I25" s="43"/>
      <c r="J25" s="182"/>
      <c r="K25" s="183" t="s">
        <v>32</v>
      </c>
      <c r="L25" s="184" t="s">
        <v>318</v>
      </c>
      <c r="M25" s="185">
        <v>3</v>
      </c>
      <c r="N25" s="184"/>
      <c r="O25" s="184"/>
      <c r="P25" s="38" t="s">
        <v>38</v>
      </c>
      <c r="Q25" s="39" t="s">
        <v>44</v>
      </c>
      <c r="R25" s="38">
        <v>3</v>
      </c>
      <c r="S25" s="156"/>
      <c r="T25" s="156">
        <v>169.063187021017</v>
      </c>
    </row>
    <row r="26" s="139" customFormat="1" customHeight="1" spans="1:20">
      <c r="A26" s="37">
        <f t="shared" si="1"/>
        <v>21</v>
      </c>
      <c r="B26" s="38" t="s">
        <v>32</v>
      </c>
      <c r="C26" s="39" t="s">
        <v>30</v>
      </c>
      <c r="D26" s="38">
        <v>3</v>
      </c>
      <c r="E26" s="48">
        <v>245.583411748891</v>
      </c>
      <c r="F26" s="48">
        <v>252.388289676425</v>
      </c>
      <c r="G26" s="48">
        <v>85.1940731793887</v>
      </c>
      <c r="H26" s="48">
        <v>106.456913006694</v>
      </c>
      <c r="I26" s="43"/>
      <c r="J26" s="182"/>
      <c r="K26" s="183" t="s">
        <v>38</v>
      </c>
      <c r="L26" s="184" t="s">
        <v>30</v>
      </c>
      <c r="M26" s="185">
        <v>3</v>
      </c>
      <c r="N26" s="184">
        <v>161.452560873216</v>
      </c>
      <c r="O26" s="184"/>
      <c r="P26" s="38" t="s">
        <v>38</v>
      </c>
      <c r="Q26" s="158" t="s">
        <v>316</v>
      </c>
      <c r="R26" s="38">
        <v>3</v>
      </c>
      <c r="S26" s="162"/>
      <c r="T26" s="163">
        <v>461.761966493582</v>
      </c>
    </row>
    <row r="27" s="139" customFormat="1" customHeight="1" spans="1:20">
      <c r="A27" s="37">
        <f t="shared" ref="A27:A36" si="2">ROW()-5</f>
        <v>22</v>
      </c>
      <c r="B27" s="38" t="s">
        <v>32</v>
      </c>
      <c r="C27" s="39" t="s">
        <v>322</v>
      </c>
      <c r="D27" s="38">
        <v>3</v>
      </c>
      <c r="E27" s="38"/>
      <c r="F27" s="38"/>
      <c r="G27" s="48"/>
      <c r="H27" s="48">
        <v>173.952637243552</v>
      </c>
      <c r="I27" s="43"/>
      <c r="J27" s="182"/>
      <c r="K27" s="183" t="s">
        <v>38</v>
      </c>
      <c r="L27" s="184" t="s">
        <v>323</v>
      </c>
      <c r="M27" s="185">
        <v>3</v>
      </c>
      <c r="N27" s="184"/>
      <c r="O27" s="184"/>
      <c r="P27" s="38" t="s">
        <v>38</v>
      </c>
      <c r="Q27" s="39" t="s">
        <v>372</v>
      </c>
      <c r="R27" s="38">
        <v>3</v>
      </c>
      <c r="S27" s="156"/>
      <c r="T27" s="156">
        <v>158.209083119109</v>
      </c>
    </row>
    <row r="28" s="139" customFormat="1" customHeight="1" spans="1:20">
      <c r="A28" s="37">
        <f t="shared" si="2"/>
        <v>23</v>
      </c>
      <c r="B28" s="38" t="s">
        <v>32</v>
      </c>
      <c r="C28" s="39" t="s">
        <v>323</v>
      </c>
      <c r="D28" s="38">
        <v>3</v>
      </c>
      <c r="E28" s="38"/>
      <c r="F28" s="38"/>
      <c r="G28" s="48">
        <v>118.431141137886</v>
      </c>
      <c r="H28" s="48"/>
      <c r="I28" s="43"/>
      <c r="J28" s="182"/>
      <c r="K28" s="183" t="s">
        <v>366</v>
      </c>
      <c r="L28" s="184" t="s">
        <v>365</v>
      </c>
      <c r="M28" s="185">
        <v>3</v>
      </c>
      <c r="N28" s="184">
        <v>1097.77347531462</v>
      </c>
      <c r="O28" s="184"/>
      <c r="P28" s="38" t="s">
        <v>38</v>
      </c>
      <c r="Q28" s="39" t="s">
        <v>318</v>
      </c>
      <c r="R28" s="38">
        <v>3</v>
      </c>
      <c r="S28" s="156"/>
      <c r="T28" s="156">
        <v>234.329512764247</v>
      </c>
    </row>
    <row r="29" s="139" customFormat="1" customHeight="1" spans="1:20">
      <c r="A29" s="37">
        <f t="shared" si="2"/>
        <v>24</v>
      </c>
      <c r="B29" s="38" t="s">
        <v>32</v>
      </c>
      <c r="C29" s="39" t="s">
        <v>310</v>
      </c>
      <c r="D29" s="38">
        <v>3</v>
      </c>
      <c r="E29" s="38"/>
      <c r="F29" s="38"/>
      <c r="G29" s="48">
        <v>109.829088365849</v>
      </c>
      <c r="H29" s="48"/>
      <c r="I29" s="43"/>
      <c r="J29" s="182"/>
      <c r="K29" s="183" t="s">
        <v>32</v>
      </c>
      <c r="L29" s="184" t="s">
        <v>30</v>
      </c>
      <c r="M29" s="188">
        <v>4</v>
      </c>
      <c r="N29" s="184"/>
      <c r="O29" s="184">
        <v>314.901515011547</v>
      </c>
      <c r="P29" s="38" t="s">
        <v>366</v>
      </c>
      <c r="Q29" s="39" t="s">
        <v>365</v>
      </c>
      <c r="R29" s="38">
        <v>3</v>
      </c>
      <c r="S29" s="156">
        <v>330.230143603637</v>
      </c>
      <c r="T29" s="156">
        <v>350.921985815603</v>
      </c>
    </row>
    <row r="30" s="139" customFormat="1" customHeight="1" spans="1:20">
      <c r="A30" s="37">
        <f t="shared" si="2"/>
        <v>25</v>
      </c>
      <c r="B30" s="38" t="s">
        <v>32</v>
      </c>
      <c r="C30" s="39" t="s">
        <v>326</v>
      </c>
      <c r="D30" s="38">
        <v>3</v>
      </c>
      <c r="E30" s="38"/>
      <c r="F30" s="38"/>
      <c r="G30" s="48"/>
      <c r="H30" s="48">
        <v>201.500596621878</v>
      </c>
      <c r="I30" s="43"/>
      <c r="J30" s="182"/>
      <c r="K30" s="189"/>
      <c r="L30" s="39"/>
      <c r="M30" s="188"/>
      <c r="N30" s="23"/>
      <c r="O30" s="23"/>
      <c r="P30" s="38" t="s">
        <v>32</v>
      </c>
      <c r="Q30" s="39" t="s">
        <v>30</v>
      </c>
      <c r="R30" s="38">
        <v>4</v>
      </c>
      <c r="S30" s="156"/>
      <c r="T30" s="156">
        <v>214.907346113885</v>
      </c>
    </row>
    <row r="31" s="139" customFormat="1" customHeight="1" spans="1:20">
      <c r="A31" s="37">
        <f t="shared" si="2"/>
        <v>26</v>
      </c>
      <c r="B31" s="38" t="s">
        <v>32</v>
      </c>
      <c r="C31" s="39" t="s">
        <v>365</v>
      </c>
      <c r="D31" s="38">
        <v>3</v>
      </c>
      <c r="E31" s="111"/>
      <c r="F31" s="38"/>
      <c r="G31" s="111"/>
      <c r="H31" s="48"/>
      <c r="I31" s="43"/>
      <c r="J31" s="182"/>
      <c r="K31" s="189"/>
      <c r="L31" s="39"/>
      <c r="M31" s="188"/>
      <c r="N31" s="23"/>
      <c r="O31" s="23"/>
      <c r="P31" s="38" t="s">
        <v>32</v>
      </c>
      <c r="Q31" s="39" t="s">
        <v>373</v>
      </c>
      <c r="R31" s="38">
        <v>4</v>
      </c>
      <c r="S31" s="156">
        <v>191.49785939277</v>
      </c>
      <c r="T31" s="156"/>
    </row>
    <row r="32" s="139" customFormat="1" customHeight="1" spans="1:20">
      <c r="A32" s="37">
        <f t="shared" si="2"/>
        <v>27</v>
      </c>
      <c r="B32" s="38" t="s">
        <v>32</v>
      </c>
      <c r="C32" s="39" t="s">
        <v>44</v>
      </c>
      <c r="D32" s="38">
        <v>3</v>
      </c>
      <c r="E32" s="38"/>
      <c r="F32" s="48">
        <v>298.274123515439</v>
      </c>
      <c r="G32" s="48"/>
      <c r="H32" s="48">
        <v>119.760397312436</v>
      </c>
      <c r="I32" s="43"/>
      <c r="J32" s="182"/>
      <c r="K32" s="189"/>
      <c r="L32" s="39"/>
      <c r="M32" s="188"/>
      <c r="N32" s="23"/>
      <c r="O32" s="23"/>
      <c r="P32" s="38"/>
      <c r="Q32" s="39"/>
      <c r="R32" s="38"/>
      <c r="S32" s="156"/>
      <c r="T32" s="156"/>
    </row>
    <row r="33" s="139" customFormat="1" customHeight="1" spans="1:20">
      <c r="A33" s="37">
        <f t="shared" si="2"/>
        <v>28</v>
      </c>
      <c r="B33" s="38" t="s">
        <v>32</v>
      </c>
      <c r="C33" s="39" t="s">
        <v>318</v>
      </c>
      <c r="D33" s="38">
        <v>3</v>
      </c>
      <c r="E33" s="38"/>
      <c r="F33" s="38"/>
      <c r="G33" s="48">
        <v>127.311506409552</v>
      </c>
      <c r="H33" s="48">
        <v>153.222865691897</v>
      </c>
      <c r="I33" s="43"/>
      <c r="J33" s="182"/>
      <c r="K33" s="189"/>
      <c r="L33" s="39"/>
      <c r="M33" s="188"/>
      <c r="N33" s="23"/>
      <c r="O33" s="23"/>
      <c r="P33" s="38"/>
      <c r="Q33" s="39"/>
      <c r="R33" s="38"/>
      <c r="S33" s="156"/>
      <c r="T33" s="156"/>
    </row>
    <row r="34" s="139" customFormat="1" customHeight="1" spans="1:20">
      <c r="A34" s="37">
        <f t="shared" si="2"/>
        <v>29</v>
      </c>
      <c r="B34" s="38" t="s">
        <v>38</v>
      </c>
      <c r="C34" s="39" t="s">
        <v>30</v>
      </c>
      <c r="D34" s="38">
        <v>3</v>
      </c>
      <c r="E34" s="48">
        <v>161.452560873216</v>
      </c>
      <c r="F34" s="38"/>
      <c r="G34" s="48"/>
      <c r="H34" s="48"/>
      <c r="I34" s="43"/>
      <c r="J34" s="182"/>
      <c r="K34" s="189"/>
      <c r="L34" s="39"/>
      <c r="M34" s="188"/>
      <c r="N34" s="23"/>
      <c r="O34" s="23"/>
      <c r="P34" s="38"/>
      <c r="Q34" s="39"/>
      <c r="R34" s="38"/>
      <c r="S34" s="156"/>
      <c r="T34" s="156"/>
    </row>
    <row r="35" s="139" customFormat="1" customHeight="1" spans="1:20">
      <c r="A35" s="37">
        <f t="shared" si="2"/>
        <v>30</v>
      </c>
      <c r="B35" s="38" t="s">
        <v>38</v>
      </c>
      <c r="C35" s="39" t="s">
        <v>322</v>
      </c>
      <c r="D35" s="38">
        <v>3</v>
      </c>
      <c r="E35" s="38"/>
      <c r="F35" s="38"/>
      <c r="G35" s="48"/>
      <c r="H35" s="48">
        <v>133.191869860897</v>
      </c>
      <c r="I35" s="43"/>
      <c r="J35" s="182"/>
      <c r="K35" s="189"/>
      <c r="L35" s="39"/>
      <c r="M35" s="188"/>
      <c r="N35" s="23"/>
      <c r="O35" s="23"/>
      <c r="P35" s="38"/>
      <c r="Q35" s="39"/>
      <c r="R35" s="38"/>
      <c r="S35" s="156"/>
      <c r="T35" s="156"/>
    </row>
    <row r="36" s="164" customFormat="1" customHeight="1" spans="1:20">
      <c r="A36" s="37">
        <f t="shared" si="2"/>
        <v>31</v>
      </c>
      <c r="B36" s="186" t="s">
        <v>38</v>
      </c>
      <c r="C36" s="190" t="s">
        <v>323</v>
      </c>
      <c r="D36" s="186">
        <v>3</v>
      </c>
      <c r="E36" s="186"/>
      <c r="F36" s="186"/>
      <c r="G36" s="111"/>
      <c r="H36" s="111">
        <v>215.843910522771</v>
      </c>
      <c r="I36" s="44" t="s">
        <v>335</v>
      </c>
      <c r="J36" s="191"/>
      <c r="K36" s="192"/>
      <c r="L36" s="190"/>
      <c r="M36" s="193"/>
      <c r="N36" s="89"/>
      <c r="O36" s="89"/>
      <c r="P36" s="186"/>
      <c r="Q36" s="190"/>
      <c r="R36" s="186"/>
      <c r="S36" s="157"/>
      <c r="T36" s="157"/>
    </row>
    <row r="37" s="139" customFormat="1" customHeight="1" spans="1:20">
      <c r="A37" s="37">
        <f t="shared" ref="A37:A44" si="3">ROW()-5</f>
        <v>32</v>
      </c>
      <c r="B37" s="38" t="s">
        <v>38</v>
      </c>
      <c r="C37" s="39" t="s">
        <v>310</v>
      </c>
      <c r="D37" s="38">
        <v>3</v>
      </c>
      <c r="E37" s="38"/>
      <c r="F37" s="38"/>
      <c r="G37" s="48"/>
      <c r="H37" s="48"/>
      <c r="I37" s="44" t="s">
        <v>374</v>
      </c>
      <c r="J37" s="191"/>
      <c r="K37" s="189"/>
      <c r="L37" s="39"/>
      <c r="M37" s="188"/>
      <c r="N37" s="23"/>
      <c r="O37" s="23"/>
      <c r="P37" s="38"/>
      <c r="Q37" s="39"/>
      <c r="R37" s="38"/>
      <c r="S37" s="156"/>
      <c r="T37" s="156"/>
    </row>
    <row r="38" s="139" customFormat="1" customHeight="1" spans="1:20">
      <c r="A38" s="37">
        <f t="shared" si="3"/>
        <v>33</v>
      </c>
      <c r="B38" s="38" t="s">
        <v>38</v>
      </c>
      <c r="C38" s="39" t="s">
        <v>44</v>
      </c>
      <c r="D38" s="38">
        <v>3</v>
      </c>
      <c r="E38" s="38"/>
      <c r="F38" s="38"/>
      <c r="G38" s="48"/>
      <c r="H38" s="48">
        <v>169.063187021017</v>
      </c>
      <c r="I38" s="43"/>
      <c r="J38" s="182"/>
      <c r="K38" s="189"/>
      <c r="L38" s="39"/>
      <c r="M38" s="188"/>
      <c r="N38" s="23"/>
      <c r="O38" s="23"/>
      <c r="P38" s="38"/>
      <c r="Q38" s="39"/>
      <c r="R38" s="38"/>
      <c r="S38" s="156"/>
      <c r="T38" s="156"/>
    </row>
    <row r="39" s="139" customFormat="1" customHeight="1" spans="1:20">
      <c r="A39" s="37">
        <f t="shared" si="3"/>
        <v>34</v>
      </c>
      <c r="B39" s="38" t="s">
        <v>38</v>
      </c>
      <c r="C39" s="39" t="s">
        <v>316</v>
      </c>
      <c r="D39" s="38">
        <v>3</v>
      </c>
      <c r="E39" s="38"/>
      <c r="F39" s="38"/>
      <c r="G39" s="48"/>
      <c r="H39" s="111"/>
      <c r="I39" s="44" t="s">
        <v>375</v>
      </c>
      <c r="J39" s="191"/>
      <c r="K39" s="189"/>
      <c r="L39" s="39"/>
      <c r="M39" s="188"/>
      <c r="N39" s="23"/>
      <c r="O39" s="23"/>
      <c r="P39" s="38"/>
      <c r="Q39" s="39"/>
      <c r="R39" s="38"/>
      <c r="S39" s="156"/>
      <c r="T39" s="156"/>
    </row>
    <row r="40" s="139" customFormat="1" customHeight="1" spans="1:20">
      <c r="A40" s="37">
        <f t="shared" si="3"/>
        <v>35</v>
      </c>
      <c r="B40" s="38" t="s">
        <v>38</v>
      </c>
      <c r="C40" s="39" t="s">
        <v>372</v>
      </c>
      <c r="D40" s="38">
        <v>3</v>
      </c>
      <c r="E40" s="38"/>
      <c r="F40" s="38"/>
      <c r="G40" s="48"/>
      <c r="H40" s="48"/>
      <c r="I40" s="44" t="s">
        <v>376</v>
      </c>
      <c r="J40" s="191"/>
      <c r="K40" s="189"/>
      <c r="L40" s="39"/>
      <c r="M40" s="188"/>
      <c r="N40" s="23"/>
      <c r="O40" s="23"/>
      <c r="P40" s="38"/>
      <c r="Q40" s="39"/>
      <c r="R40" s="38"/>
      <c r="S40" s="156"/>
      <c r="T40" s="156"/>
    </row>
    <row r="41" s="139" customFormat="1" customHeight="1" spans="1:20">
      <c r="A41" s="37">
        <f t="shared" si="3"/>
        <v>36</v>
      </c>
      <c r="B41" s="38" t="s">
        <v>38</v>
      </c>
      <c r="C41" s="39" t="s">
        <v>318</v>
      </c>
      <c r="D41" s="38">
        <v>3</v>
      </c>
      <c r="E41" s="38"/>
      <c r="F41" s="38"/>
      <c r="G41" s="48"/>
      <c r="H41" s="48">
        <v>234.329512764247</v>
      </c>
      <c r="I41" s="43"/>
      <c r="J41" s="182"/>
      <c r="K41" s="189"/>
      <c r="L41" s="39"/>
      <c r="M41" s="188"/>
      <c r="N41" s="23"/>
      <c r="O41" s="23"/>
      <c r="P41" s="38"/>
      <c r="Q41" s="39"/>
      <c r="R41" s="38"/>
      <c r="S41" s="156"/>
      <c r="T41" s="156"/>
    </row>
    <row r="42" s="139" customFormat="1" customHeight="1" spans="1:20">
      <c r="A42" s="37">
        <f t="shared" si="3"/>
        <v>37</v>
      </c>
      <c r="B42" s="38" t="s">
        <v>366</v>
      </c>
      <c r="C42" s="39" t="s">
        <v>365</v>
      </c>
      <c r="D42" s="38">
        <v>3</v>
      </c>
      <c r="E42" s="48">
        <v>1097.77347531462</v>
      </c>
      <c r="F42" s="38"/>
      <c r="G42" s="48">
        <v>330.230143603637</v>
      </c>
      <c r="H42" s="48">
        <v>350.921985815603</v>
      </c>
      <c r="I42" s="43"/>
      <c r="J42" s="182"/>
      <c r="K42" s="189"/>
      <c r="L42" s="39"/>
      <c r="M42" s="188"/>
      <c r="N42" s="23"/>
      <c r="O42" s="23"/>
      <c r="P42" s="38"/>
      <c r="Q42" s="39"/>
      <c r="R42" s="38"/>
      <c r="S42" s="156"/>
      <c r="T42" s="156"/>
    </row>
    <row r="43" customHeight="1" spans="1:20">
      <c r="A43" s="37">
        <f t="shared" si="3"/>
        <v>38</v>
      </c>
      <c r="B43" s="38" t="s">
        <v>32</v>
      </c>
      <c r="C43" s="39" t="s">
        <v>30</v>
      </c>
      <c r="D43" s="38">
        <v>4</v>
      </c>
      <c r="E43" s="38"/>
      <c r="F43" s="48">
        <v>314.901515011547</v>
      </c>
      <c r="G43" s="48"/>
      <c r="H43" s="48">
        <v>214.907346113885</v>
      </c>
      <c r="I43" s="43"/>
      <c r="J43" s="182"/>
      <c r="P43" s="38"/>
      <c r="Q43" s="39"/>
      <c r="R43" s="38"/>
      <c r="S43" s="156"/>
      <c r="T43" s="156"/>
    </row>
    <row r="44" customHeight="1" spans="1:20">
      <c r="A44" s="194">
        <f t="shared" si="3"/>
        <v>39</v>
      </c>
      <c r="B44" s="195" t="s">
        <v>32</v>
      </c>
      <c r="C44" s="196" t="s">
        <v>373</v>
      </c>
      <c r="D44" s="195">
        <v>4</v>
      </c>
      <c r="E44" s="195"/>
      <c r="F44" s="195"/>
      <c r="G44" s="119"/>
      <c r="H44" s="119"/>
      <c r="I44" s="197" t="s">
        <v>377</v>
      </c>
      <c r="J44" s="191"/>
    </row>
    <row r="45" customHeight="1" spans="1:20">
      <c r="A45" s="198" t="s">
        <v>378</v>
      </c>
    </row>
  </sheetData>
  <sheetProtection formatCells="0" formatColumns="0" formatRows="0" insertRows="0" insertColumns="0" insertHyperlinks="0" deleteColumns="0" deleteRows="0" sort="0" autoFilter="0" pivotTables="0"/>
  <mergeCells count="9">
    <mergeCell ref="A2:I2"/>
    <mergeCell ref="A3:I3"/>
    <mergeCell ref="E4:F4"/>
    <mergeCell ref="G4:H4"/>
    <mergeCell ref="A4:A5"/>
    <mergeCell ref="B4:B5"/>
    <mergeCell ref="C4:C5"/>
    <mergeCell ref="D4:D5"/>
    <mergeCell ref="I4:I5"/>
  </mergeCells>
  <pageMargins left="0.708333333333333" right="0.393055555555556" top="0.904861111111111" bottom="0.708333333333333" header="0.314583333333333" footer="0.393055555555556"/>
  <pageSetup paperSize="9" scale="76" orientation="portrait"/>
  <headerFooter>
    <oddFooter>&amp;C&amp;B第 &amp;P 页，共 &amp;N 页</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A1:X44"/>
  <sheetViews>
    <sheetView workbookViewId="0">
      <pane ySplit="3" topLeftCell="A4" activePane="bottomLeft" state="frozen"/>
      <selection/>
      <selection pane="bottomLeft" activeCell="U44" sqref="U44"/>
    </sheetView>
  </sheetViews>
  <sheetFormatPr defaultColWidth="4.87962962962963" defaultRowHeight="16" customHeight="1"/>
  <cols>
    <col min="1" max="1" width="4.16666666666667" style="19" customWidth="1"/>
    <col min="2" max="2" width="6.46296296296296" style="19" customWidth="1"/>
    <col min="3" max="3" width="9.75925925925926" style="19" customWidth="1"/>
    <col min="4" max="4" width="6.62962962962963" style="20" customWidth="1"/>
    <col min="5" max="8" width="14.6296296296296" style="22" hidden="1" customWidth="1"/>
    <col min="9" max="10" width="4.87962962962963" style="23" hidden="1" customWidth="1"/>
    <col min="11" max="11" width="7.12962962962963" style="23" hidden="1" customWidth="1"/>
    <col min="12" max="12" width="12.6296296296296" style="23" hidden="1" customWidth="1"/>
    <col min="13" max="13" width="5.62962962962963" style="23" hidden="1" customWidth="1"/>
    <col min="14" max="14" width="15.8796296296296" style="19" customWidth="1"/>
    <col min="15" max="15" width="8.75925925925926" style="19" hidden="1" customWidth="1"/>
    <col min="16" max="16" width="19.5" style="19" hidden="1" customWidth="1"/>
    <col min="17" max="17" width="12.6296296296296" style="19" hidden="1" customWidth="1"/>
    <col min="18" max="18" width="10.3796296296296" style="19" hidden="1" customWidth="1"/>
    <col min="19" max="19" width="15.8796296296296" style="19" customWidth="1"/>
    <col min="20" max="20" width="4.87962962962963" style="23"/>
    <col min="21" max="22" width="15.8796296296296" style="19" customWidth="1"/>
    <col min="23" max="23" width="4.87962962962963" style="23"/>
    <col min="24" max="24" width="12.6296296296296" style="23"/>
    <col min="25" max="16354" width="4.87962962962963" style="23"/>
  </cols>
  <sheetData>
    <row r="1" s="17" customFormat="1" ht="20.4" spans="1:24">
      <c r="A1" s="25" t="s">
        <v>356</v>
      </c>
    </row>
    <row r="2" s="18" customFormat="1" ht="29.4" spans="1:24">
      <c r="A2" s="26" t="s">
        <v>379</v>
      </c>
      <c r="B2" s="26"/>
      <c r="C2" s="26"/>
      <c r="D2" s="26"/>
      <c r="E2" s="26"/>
      <c r="F2" s="26"/>
      <c r="G2" s="26"/>
      <c r="H2" s="26"/>
      <c r="N2" s="26" t="s">
        <v>358</v>
      </c>
      <c r="O2" s="26"/>
      <c r="P2" s="26"/>
      <c r="Q2" s="26"/>
      <c r="R2" s="26"/>
      <c r="S2" s="26"/>
      <c r="U2" s="26" t="s">
        <v>359</v>
      </c>
      <c r="V2" s="26"/>
    </row>
    <row r="3" s="18" customFormat="1" customHeight="1" spans="1:24">
      <c r="A3" s="28"/>
      <c r="B3" s="28"/>
      <c r="C3" s="29"/>
      <c r="D3" s="29"/>
      <c r="E3" s="46"/>
      <c r="F3" s="31"/>
      <c r="G3" s="47" t="s">
        <v>348</v>
      </c>
      <c r="H3" s="47"/>
      <c r="L3" s="18" t="s">
        <v>360</v>
      </c>
      <c r="N3" s="29" t="s">
        <v>360</v>
      </c>
      <c r="O3" s="29"/>
      <c r="P3" s="29"/>
      <c r="Q3" s="29">
        <v>70</v>
      </c>
      <c r="R3" s="29"/>
      <c r="S3" s="29" t="s">
        <v>361</v>
      </c>
      <c r="U3" s="29" t="s">
        <v>360</v>
      </c>
      <c r="V3" s="29" t="s">
        <v>361</v>
      </c>
    </row>
    <row r="4" ht="32" customHeight="1" spans="1:24">
      <c r="A4" s="32" t="s">
        <v>1</v>
      </c>
      <c r="B4" s="33" t="s">
        <v>10</v>
      </c>
      <c r="C4" s="33" t="s">
        <v>8</v>
      </c>
      <c r="D4" s="33" t="s">
        <v>11</v>
      </c>
      <c r="E4" s="33" t="s">
        <v>362</v>
      </c>
      <c r="F4" s="33" t="s">
        <v>380</v>
      </c>
      <c r="G4" s="33" t="s">
        <v>364</v>
      </c>
      <c r="H4" s="35" t="s">
        <v>157</v>
      </c>
      <c r="J4" s="23" t="s">
        <v>8</v>
      </c>
      <c r="K4" s="23" t="s">
        <v>381</v>
      </c>
      <c r="L4" s="23" t="s">
        <v>382</v>
      </c>
      <c r="M4" s="23" t="s">
        <v>383</v>
      </c>
      <c r="N4" s="33" t="s">
        <v>370</v>
      </c>
      <c r="O4" s="33" t="s">
        <v>8</v>
      </c>
      <c r="P4" s="33" t="s">
        <v>381</v>
      </c>
      <c r="Q4" s="33" t="s">
        <v>382</v>
      </c>
      <c r="R4" s="33" t="s">
        <v>383</v>
      </c>
      <c r="S4" s="33" t="s">
        <v>370</v>
      </c>
      <c r="U4" s="33" t="s">
        <v>370</v>
      </c>
      <c r="V4" s="33" t="s">
        <v>370</v>
      </c>
    </row>
    <row r="5" customHeight="1" spans="1:24">
      <c r="A5" s="37">
        <v>1</v>
      </c>
      <c r="B5" s="38" t="s">
        <v>32</v>
      </c>
      <c r="C5" s="39" t="s">
        <v>314</v>
      </c>
      <c r="D5" s="38">
        <v>2</v>
      </c>
      <c r="E5" s="48">
        <v>2492</v>
      </c>
      <c r="F5" s="48">
        <v>84202.19</v>
      </c>
      <c r="G5" s="48">
        <f>F5/E5</f>
        <v>33.7890008025682</v>
      </c>
      <c r="H5" s="44" t="s">
        <v>384</v>
      </c>
      <c r="J5" s="23" t="s">
        <v>314</v>
      </c>
      <c r="K5" s="23">
        <v>2492</v>
      </c>
      <c r="L5" s="23">
        <v>121011.235955056</v>
      </c>
      <c r="M5" s="23">
        <v>1</v>
      </c>
      <c r="N5" s="156">
        <v>48.5598860172777</v>
      </c>
      <c r="O5" s="156"/>
      <c r="P5" s="156"/>
      <c r="Q5" s="156"/>
      <c r="R5" s="156"/>
      <c r="S5" s="156"/>
      <c r="U5" s="156">
        <v>68.7593557811966</v>
      </c>
      <c r="V5" s="156"/>
    </row>
    <row r="6" customHeight="1" spans="1:24">
      <c r="A6" s="37">
        <v>2</v>
      </c>
      <c r="B6" s="38" t="s">
        <v>32</v>
      </c>
      <c r="C6" s="39" t="s">
        <v>371</v>
      </c>
      <c r="D6" s="38">
        <v>2</v>
      </c>
      <c r="E6" s="48">
        <v>3113</v>
      </c>
      <c r="F6" s="48">
        <v>249235.35</v>
      </c>
      <c r="G6" s="48">
        <f>F6/E6</f>
        <v>80.0627529714102</v>
      </c>
      <c r="H6" s="43"/>
      <c r="J6" s="23" t="s">
        <v>371</v>
      </c>
      <c r="K6" s="23">
        <v>3113</v>
      </c>
      <c r="L6" s="23">
        <v>237827.715355805</v>
      </c>
      <c r="M6" s="23">
        <v>1</v>
      </c>
      <c r="N6" s="156">
        <v>76.3982381483473</v>
      </c>
      <c r="O6" s="156"/>
      <c r="P6" s="156"/>
      <c r="Q6" s="156"/>
      <c r="R6" s="156"/>
      <c r="S6" s="156"/>
      <c r="U6" s="156">
        <v>96.995684401886</v>
      </c>
      <c r="V6" s="156"/>
    </row>
    <row r="7" customHeight="1" spans="1:24">
      <c r="A7" s="37">
        <v>3</v>
      </c>
      <c r="B7" s="38" t="s">
        <v>32</v>
      </c>
      <c r="C7" s="39" t="s">
        <v>316</v>
      </c>
      <c r="D7" s="38">
        <v>2</v>
      </c>
      <c r="E7" s="48">
        <v>3503</v>
      </c>
      <c r="F7" s="48">
        <v>308800.784388734</v>
      </c>
      <c r="G7" s="48">
        <f>F7/E7</f>
        <v>88.1532356233897</v>
      </c>
      <c r="H7" s="43"/>
      <c r="J7" s="23" t="s">
        <v>316</v>
      </c>
      <c r="K7" s="23">
        <v>10509</v>
      </c>
      <c r="L7" s="23">
        <v>1333442.30711611</v>
      </c>
      <c r="M7" s="23">
        <v>3</v>
      </c>
      <c r="N7" s="156">
        <v>126.885746228576</v>
      </c>
      <c r="O7" s="156"/>
      <c r="P7" s="156"/>
      <c r="Q7" s="156"/>
      <c r="R7" s="156"/>
      <c r="S7" s="156"/>
      <c r="U7" s="156">
        <v>109.020162136752</v>
      </c>
      <c r="V7" s="156"/>
    </row>
    <row r="8" customHeight="1" spans="1:24">
      <c r="A8" s="37"/>
      <c r="B8" s="38" t="s">
        <v>32</v>
      </c>
      <c r="C8" s="39" t="s">
        <v>30</v>
      </c>
      <c r="D8" s="38">
        <v>2</v>
      </c>
      <c r="E8" s="48"/>
      <c r="F8" s="48"/>
      <c r="G8" s="48"/>
      <c r="H8" s="43"/>
      <c r="N8" s="156"/>
      <c r="O8" s="156" t="s">
        <v>30</v>
      </c>
      <c r="P8" s="156">
        <v>3603</v>
      </c>
      <c r="Q8" s="156">
        <v>293817.138576779</v>
      </c>
      <c r="R8" s="156">
        <v>1</v>
      </c>
      <c r="S8" s="156">
        <v>81.5479152308573</v>
      </c>
      <c r="U8" s="156"/>
      <c r="V8" s="156">
        <v>82.5155067406375</v>
      </c>
    </row>
    <row r="9" customHeight="1" spans="1:24">
      <c r="A9" s="37">
        <v>4</v>
      </c>
      <c r="B9" s="38" t="s">
        <v>32</v>
      </c>
      <c r="C9" s="39" t="s">
        <v>318</v>
      </c>
      <c r="D9" s="38">
        <v>2</v>
      </c>
      <c r="E9" s="48">
        <v>4978</v>
      </c>
      <c r="F9" s="48">
        <v>491041.353245113</v>
      </c>
      <c r="G9" s="48">
        <f t="shared" ref="G9:G30" si="0">F9/E9</f>
        <v>98.6422967547435</v>
      </c>
      <c r="H9" s="43"/>
      <c r="N9" s="156"/>
      <c r="O9" s="156" t="s">
        <v>318</v>
      </c>
      <c r="P9" s="156">
        <v>9956</v>
      </c>
      <c r="Q9" s="156">
        <v>1200190.5259543</v>
      </c>
      <c r="R9" s="156">
        <v>2</v>
      </c>
      <c r="S9" s="156">
        <v>120.549470264594</v>
      </c>
      <c r="U9" s="156"/>
      <c r="V9" s="156">
        <v>104.803836882282</v>
      </c>
    </row>
    <row r="10" customHeight="1" spans="1:24">
      <c r="A10" s="37">
        <v>5</v>
      </c>
      <c r="B10" s="38" t="s">
        <v>38</v>
      </c>
      <c r="C10" s="39" t="s">
        <v>322</v>
      </c>
      <c r="D10" s="38">
        <v>2</v>
      </c>
      <c r="E10" s="48">
        <v>4804</v>
      </c>
      <c r="F10" s="48">
        <v>612350</v>
      </c>
      <c r="G10" s="48">
        <f t="shared" si="0"/>
        <v>127.466694421316</v>
      </c>
      <c r="H10" s="43"/>
      <c r="N10" s="156"/>
      <c r="O10" s="156" t="s">
        <v>322</v>
      </c>
      <c r="P10" s="156">
        <v>4804</v>
      </c>
      <c r="Q10" s="156">
        <v>612350</v>
      </c>
      <c r="R10" s="156">
        <v>1</v>
      </c>
      <c r="S10" s="156">
        <v>127.466694421316</v>
      </c>
      <c r="U10" s="156"/>
      <c r="V10" s="156">
        <v>86.5101998334721</v>
      </c>
    </row>
    <row r="11" customHeight="1" spans="1:24">
      <c r="A11" s="37">
        <v>6</v>
      </c>
      <c r="B11" s="38" t="s">
        <v>38</v>
      </c>
      <c r="C11" s="39" t="s">
        <v>323</v>
      </c>
      <c r="D11" s="38">
        <v>2</v>
      </c>
      <c r="E11" s="48">
        <v>6191.33333333333</v>
      </c>
      <c r="F11" s="48">
        <v>815089.149022537</v>
      </c>
      <c r="G11" s="48">
        <f t="shared" si="0"/>
        <v>131.650018685669</v>
      </c>
      <c r="H11" s="43"/>
      <c r="N11" s="156"/>
      <c r="O11" s="156" t="s">
        <v>323</v>
      </c>
      <c r="P11" s="156">
        <v>18574</v>
      </c>
      <c r="Q11" s="156">
        <v>2620191.63857678</v>
      </c>
      <c r="R11" s="156">
        <v>3</v>
      </c>
      <c r="S11" s="156">
        <v>141.067709625109</v>
      </c>
      <c r="U11" s="156"/>
      <c r="V11" s="156">
        <v>116.025800580746</v>
      </c>
    </row>
    <row r="12" customHeight="1" spans="1:24">
      <c r="A12" s="37">
        <v>7</v>
      </c>
      <c r="B12" s="38" t="s">
        <v>38</v>
      </c>
      <c r="C12" s="39" t="s">
        <v>321</v>
      </c>
      <c r="D12" s="38">
        <v>2</v>
      </c>
      <c r="E12" s="48">
        <v>4104</v>
      </c>
      <c r="F12" s="48">
        <v>326617.6</v>
      </c>
      <c r="G12" s="48">
        <f t="shared" si="0"/>
        <v>79.5851851851852</v>
      </c>
      <c r="H12" s="43"/>
      <c r="N12" s="156"/>
      <c r="O12" s="156" t="s">
        <v>321</v>
      </c>
      <c r="P12" s="156">
        <v>4104</v>
      </c>
      <c r="Q12" s="156">
        <v>480320</v>
      </c>
      <c r="R12" s="156">
        <v>1</v>
      </c>
      <c r="S12" s="156">
        <v>117.037037037037</v>
      </c>
      <c r="U12" s="156"/>
      <c r="V12" s="156">
        <v>125.756547006301</v>
      </c>
    </row>
    <row r="13" customHeight="1" spans="1:24">
      <c r="A13" s="37">
        <v>8</v>
      </c>
      <c r="B13" s="38" t="s">
        <v>32</v>
      </c>
      <c r="C13" s="39" t="s">
        <v>30</v>
      </c>
      <c r="D13" s="38">
        <v>3</v>
      </c>
      <c r="E13" s="48">
        <v>3535</v>
      </c>
      <c r="F13" s="48">
        <v>208862.62</v>
      </c>
      <c r="G13" s="48">
        <f t="shared" si="0"/>
        <v>59.0841923620934</v>
      </c>
      <c r="H13" s="43"/>
      <c r="J13" s="23" t="s">
        <v>30</v>
      </c>
      <c r="K13" s="23">
        <v>3535</v>
      </c>
      <c r="L13" s="23">
        <v>240524.344569288</v>
      </c>
      <c r="M13" s="23">
        <v>1</v>
      </c>
      <c r="N13" s="157">
        <v>68.0408329757533</v>
      </c>
      <c r="O13" s="156" t="s">
        <v>30</v>
      </c>
      <c r="P13" s="156">
        <v>3785</v>
      </c>
      <c r="Q13" s="156">
        <v>402939.415730337</v>
      </c>
      <c r="R13" s="156">
        <v>1</v>
      </c>
      <c r="S13" s="156">
        <v>106.456913006694</v>
      </c>
      <c r="U13" s="156">
        <v>85.1940731793887</v>
      </c>
      <c r="V13" s="156">
        <v>95.7653659477834</v>
      </c>
      <c r="X13" s="23">
        <f>U13/V13</f>
        <v>0.889612568554703</v>
      </c>
    </row>
    <row r="14" customHeight="1" spans="1:24">
      <c r="A14" s="37">
        <v>9</v>
      </c>
      <c r="B14" s="38" t="s">
        <v>32</v>
      </c>
      <c r="C14" s="39" t="s">
        <v>322</v>
      </c>
      <c r="D14" s="38">
        <v>3</v>
      </c>
      <c r="E14" s="48">
        <v>5061.5</v>
      </c>
      <c r="F14" s="48">
        <v>670961.352559265</v>
      </c>
      <c r="G14" s="48">
        <f t="shared" si="0"/>
        <v>132.561760853357</v>
      </c>
      <c r="H14" s="43"/>
      <c r="N14" s="156"/>
      <c r="O14" s="156" t="s">
        <v>322</v>
      </c>
      <c r="P14" s="156">
        <v>10123</v>
      </c>
      <c r="Q14" s="156">
        <v>1760922.54681648</v>
      </c>
      <c r="R14" s="156">
        <v>2</v>
      </c>
      <c r="S14" s="156">
        <v>173.952637243552</v>
      </c>
      <c r="U14" s="156"/>
      <c r="V14" s="156">
        <v>165.494418650598</v>
      </c>
    </row>
    <row r="15" customHeight="1" spans="1:24">
      <c r="A15" s="37">
        <v>10</v>
      </c>
      <c r="B15" s="38" t="s">
        <v>32</v>
      </c>
      <c r="C15" s="39" t="s">
        <v>323</v>
      </c>
      <c r="D15" s="38">
        <v>3</v>
      </c>
      <c r="E15" s="48">
        <v>3732</v>
      </c>
      <c r="F15" s="48">
        <v>314369.593505228</v>
      </c>
      <c r="G15" s="48">
        <f t="shared" si="0"/>
        <v>84.236225483716</v>
      </c>
      <c r="H15" s="43"/>
      <c r="J15" s="23" t="s">
        <v>323</v>
      </c>
      <c r="K15" s="23">
        <v>3732</v>
      </c>
      <c r="L15" s="23">
        <v>643970.037453184</v>
      </c>
      <c r="M15" s="23">
        <v>1</v>
      </c>
      <c r="N15" s="156">
        <v>172.553600603747</v>
      </c>
      <c r="O15" s="156"/>
      <c r="P15" s="156"/>
      <c r="Q15" s="156"/>
      <c r="R15" s="156"/>
      <c r="S15" s="156"/>
      <c r="U15" s="156">
        <v>118.431141137886</v>
      </c>
      <c r="V15" s="156"/>
    </row>
    <row r="16" customHeight="1" spans="1:24">
      <c r="A16" s="37">
        <v>11</v>
      </c>
      <c r="B16" s="38" t="s">
        <v>32</v>
      </c>
      <c r="C16" s="158" t="s">
        <v>310</v>
      </c>
      <c r="D16" s="38">
        <v>3</v>
      </c>
      <c r="E16" s="48">
        <v>3197</v>
      </c>
      <c r="F16" s="48">
        <v>348002.088390596</v>
      </c>
      <c r="G16" s="48">
        <f t="shared" si="0"/>
        <v>108.852702030215</v>
      </c>
      <c r="H16" s="43"/>
      <c r="J16" s="23" t="s">
        <v>310</v>
      </c>
      <c r="K16" s="23">
        <v>3197</v>
      </c>
      <c r="L16" s="23">
        <v>408539.325842697</v>
      </c>
      <c r="M16" s="23">
        <v>1</v>
      </c>
      <c r="N16" s="159">
        <v>127.788340895432</v>
      </c>
      <c r="O16" s="160"/>
      <c r="P16" s="160"/>
      <c r="Q16" s="160"/>
      <c r="R16" s="160"/>
      <c r="S16" s="160"/>
      <c r="U16" s="159">
        <v>109.829088365849</v>
      </c>
      <c r="V16" s="160"/>
    </row>
    <row r="17" customHeight="1" spans="1:24">
      <c r="A17" s="37">
        <v>12</v>
      </c>
      <c r="B17" s="38" t="s">
        <v>32</v>
      </c>
      <c r="C17" s="45" t="s">
        <v>326</v>
      </c>
      <c r="D17" s="38">
        <v>3</v>
      </c>
      <c r="E17" s="48">
        <v>5157</v>
      </c>
      <c r="F17" s="48">
        <v>507939.905260116</v>
      </c>
      <c r="G17" s="48">
        <f t="shared" si="0"/>
        <v>98.4952308047539</v>
      </c>
      <c r="H17" s="43"/>
      <c r="N17" s="161"/>
      <c r="O17" s="161" t="s">
        <v>326</v>
      </c>
      <c r="P17" s="161">
        <v>10314</v>
      </c>
      <c r="Q17" s="161">
        <v>2078277.15355805</v>
      </c>
      <c r="R17" s="161">
        <v>2</v>
      </c>
      <c r="S17" s="161">
        <v>201.500596621878</v>
      </c>
      <c r="U17" s="161"/>
      <c r="V17" s="161">
        <v>157.333147410996</v>
      </c>
    </row>
    <row r="18" customHeight="1" spans="1:24">
      <c r="A18" s="37">
        <v>13</v>
      </c>
      <c r="B18" s="38" t="s">
        <v>32</v>
      </c>
      <c r="C18" s="39" t="s">
        <v>365</v>
      </c>
      <c r="D18" s="38">
        <v>3</v>
      </c>
      <c r="E18" s="48">
        <v>1036</v>
      </c>
      <c r="F18" s="48">
        <v>332087.102032864</v>
      </c>
      <c r="G18" s="48">
        <f t="shared" si="0"/>
        <v>320.547395784618</v>
      </c>
      <c r="H18" s="43"/>
      <c r="J18" s="23" t="s">
        <v>365</v>
      </c>
      <c r="K18" s="23">
        <v>1036</v>
      </c>
      <c r="L18" s="23">
        <v>380038.951310861</v>
      </c>
      <c r="M18" s="23">
        <v>1</v>
      </c>
      <c r="N18" s="156">
        <v>366.832964585773</v>
      </c>
      <c r="O18" s="156"/>
      <c r="P18" s="156"/>
      <c r="Q18" s="156"/>
      <c r="R18" s="156"/>
      <c r="S18" s="156"/>
      <c r="U18" s="156">
        <v>350.4773057568</v>
      </c>
      <c r="V18" s="156"/>
    </row>
    <row r="19" customHeight="1" spans="1:24">
      <c r="A19" s="37">
        <v>14</v>
      </c>
      <c r="B19" s="38" t="s">
        <v>32</v>
      </c>
      <c r="C19" s="39" t="s">
        <v>44</v>
      </c>
      <c r="D19" s="38">
        <v>3</v>
      </c>
      <c r="E19" s="48">
        <v>4792.5</v>
      </c>
      <c r="F19" s="48">
        <v>662071.985461454</v>
      </c>
      <c r="G19" s="48">
        <f t="shared" si="0"/>
        <v>138.147519136454</v>
      </c>
      <c r="H19" s="43"/>
      <c r="N19" s="156"/>
      <c r="O19" s="156" t="s">
        <v>44</v>
      </c>
      <c r="P19" s="156">
        <v>9585</v>
      </c>
      <c r="Q19" s="156">
        <v>1147903.4082397</v>
      </c>
      <c r="R19" s="156">
        <v>2</v>
      </c>
      <c r="S19" s="156">
        <v>119.760397312436</v>
      </c>
      <c r="U19" s="156"/>
      <c r="V19" s="156">
        <v>114.71366894668</v>
      </c>
    </row>
    <row r="20" customHeight="1" spans="1:24">
      <c r="A20" s="37">
        <v>15</v>
      </c>
      <c r="B20" s="38" t="s">
        <v>32</v>
      </c>
      <c r="C20" s="39" t="s">
        <v>318</v>
      </c>
      <c r="D20" s="38">
        <v>3</v>
      </c>
      <c r="E20" s="48">
        <v>5159</v>
      </c>
      <c r="F20" s="48">
        <v>544013.81893226</v>
      </c>
      <c r="G20" s="48">
        <f t="shared" si="0"/>
        <v>105.449470620713</v>
      </c>
      <c r="H20" s="43"/>
      <c r="J20" s="23" t="s">
        <v>318</v>
      </c>
      <c r="K20" s="23">
        <v>4088</v>
      </c>
      <c r="L20" s="23">
        <v>488277.153558052</v>
      </c>
      <c r="M20" s="23">
        <v>1</v>
      </c>
      <c r="N20" s="156">
        <v>119.441573766647</v>
      </c>
      <c r="O20" s="156" t="s">
        <v>318</v>
      </c>
      <c r="P20" s="156">
        <v>37356</v>
      </c>
      <c r="Q20" s="156">
        <v>5723793.37078651</v>
      </c>
      <c r="R20" s="156">
        <v>7</v>
      </c>
      <c r="S20" s="156">
        <v>153.222865691897</v>
      </c>
      <c r="U20" s="156">
        <v>127.311506409552</v>
      </c>
      <c r="V20" s="156">
        <v>142.753852696978</v>
      </c>
      <c r="X20" s="23">
        <f>U20/V20</f>
        <v>0.891825362358484</v>
      </c>
    </row>
    <row r="21" customHeight="1" spans="1:24">
      <c r="A21" s="37">
        <v>16</v>
      </c>
      <c r="B21" s="38" t="s">
        <v>38</v>
      </c>
      <c r="C21" s="39" t="s">
        <v>322</v>
      </c>
      <c r="D21" s="38">
        <v>3</v>
      </c>
      <c r="E21" s="48">
        <v>4109</v>
      </c>
      <c r="F21" s="48">
        <v>494931</v>
      </c>
      <c r="G21" s="48">
        <f t="shared" si="0"/>
        <v>120.450474568021</v>
      </c>
      <c r="H21" s="43"/>
      <c r="N21" s="156"/>
      <c r="O21" s="156" t="s">
        <v>322</v>
      </c>
      <c r="P21" s="156">
        <v>8218</v>
      </c>
      <c r="Q21" s="156">
        <v>1094570.78651685</v>
      </c>
      <c r="R21" s="156">
        <v>2</v>
      </c>
      <c r="S21" s="156">
        <v>133.191869860897</v>
      </c>
      <c r="U21" s="156"/>
      <c r="V21" s="156">
        <v>131.555560416843</v>
      </c>
    </row>
    <row r="22" customHeight="1" spans="1:24">
      <c r="A22" s="37">
        <v>17</v>
      </c>
      <c r="B22" s="38" t="s">
        <v>38</v>
      </c>
      <c r="C22" s="39" t="s">
        <v>323</v>
      </c>
      <c r="D22" s="38">
        <v>3</v>
      </c>
      <c r="E22" s="48">
        <v>6464</v>
      </c>
      <c r="F22" s="48">
        <v>1028598.67762007</v>
      </c>
      <c r="G22" s="48">
        <f t="shared" si="0"/>
        <v>159.127270671422</v>
      </c>
      <c r="H22" s="43"/>
      <c r="N22" s="156"/>
      <c r="O22" s="156" t="s">
        <v>323</v>
      </c>
      <c r="P22" s="156">
        <v>57894</v>
      </c>
      <c r="Q22" s="156">
        <v>12496067.3558053</v>
      </c>
      <c r="R22" s="156">
        <v>9</v>
      </c>
      <c r="S22" s="156">
        <v>215.843910522771</v>
      </c>
      <c r="U22" s="156"/>
      <c r="V22" s="156">
        <v>194.725652940044</v>
      </c>
    </row>
    <row r="23" customHeight="1" spans="1:24">
      <c r="A23" s="37">
        <v>18</v>
      </c>
      <c r="B23" s="38" t="s">
        <v>38</v>
      </c>
      <c r="C23" s="39" t="s">
        <v>310</v>
      </c>
      <c r="D23" s="38">
        <v>3</v>
      </c>
      <c r="E23" s="48">
        <v>5860</v>
      </c>
      <c r="F23" s="48">
        <v>1109298.90350523</v>
      </c>
      <c r="G23" s="48">
        <f t="shared" si="0"/>
        <v>189.30015418178</v>
      </c>
      <c r="H23" s="43"/>
      <c r="N23" s="156"/>
      <c r="O23" s="156" t="s">
        <v>310</v>
      </c>
      <c r="P23" s="156">
        <v>5860</v>
      </c>
      <c r="Q23" s="156">
        <v>1224232.20973783</v>
      </c>
      <c r="R23" s="156">
        <v>1</v>
      </c>
      <c r="S23" s="156">
        <v>208.913346371643</v>
      </c>
      <c r="U23" s="156"/>
      <c r="V23" s="156">
        <v>173.53734453094</v>
      </c>
    </row>
    <row r="24" customHeight="1" spans="1:24">
      <c r="A24" s="37">
        <v>19</v>
      </c>
      <c r="B24" s="38" t="s">
        <v>38</v>
      </c>
      <c r="C24" s="39" t="s">
        <v>44</v>
      </c>
      <c r="D24" s="38">
        <v>3</v>
      </c>
      <c r="E24" s="48">
        <v>5842</v>
      </c>
      <c r="F24" s="48">
        <v>984981.637072157</v>
      </c>
      <c r="G24" s="48">
        <f t="shared" si="0"/>
        <v>168.603498300609</v>
      </c>
      <c r="H24" s="43"/>
      <c r="N24" s="156"/>
      <c r="O24" s="156" t="s">
        <v>44</v>
      </c>
      <c r="P24" s="156">
        <v>5842</v>
      </c>
      <c r="Q24" s="156">
        <v>987667.138576779</v>
      </c>
      <c r="R24" s="156">
        <v>1</v>
      </c>
      <c r="S24" s="156">
        <v>169.063187021017</v>
      </c>
      <c r="U24" s="156"/>
      <c r="V24" s="156">
        <v>153.610407394728</v>
      </c>
    </row>
    <row r="25" customHeight="1" spans="1:24">
      <c r="A25" s="37">
        <v>20</v>
      </c>
      <c r="B25" s="38" t="s">
        <v>38</v>
      </c>
      <c r="C25" s="158" t="s">
        <v>316</v>
      </c>
      <c r="D25" s="38">
        <v>3</v>
      </c>
      <c r="E25" s="48">
        <v>4741</v>
      </c>
      <c r="F25" s="48">
        <v>1540824.91383646</v>
      </c>
      <c r="G25" s="48">
        <f t="shared" si="0"/>
        <v>324.999981825872</v>
      </c>
      <c r="H25" s="43"/>
      <c r="N25" s="162"/>
      <c r="O25" s="162" t="s">
        <v>316</v>
      </c>
      <c r="P25" s="162">
        <v>4741</v>
      </c>
      <c r="Q25" s="162">
        <v>2189213.48314607</v>
      </c>
      <c r="R25" s="162">
        <v>1</v>
      </c>
      <c r="S25" s="163">
        <v>461.761966493582</v>
      </c>
      <c r="U25" s="162"/>
      <c r="V25" s="163">
        <v>461.761966493582</v>
      </c>
    </row>
    <row r="26" customHeight="1" spans="1:24">
      <c r="A26" s="37">
        <v>21</v>
      </c>
      <c r="B26" s="38" t="s">
        <v>38</v>
      </c>
      <c r="C26" s="39" t="s">
        <v>372</v>
      </c>
      <c r="D26" s="38">
        <v>3</v>
      </c>
      <c r="E26" s="48">
        <v>4668</v>
      </c>
      <c r="F26" s="48">
        <v>903409.357147496</v>
      </c>
      <c r="G26" s="48">
        <f t="shared" si="0"/>
        <v>193.532424410346</v>
      </c>
      <c r="H26" s="43"/>
      <c r="N26" s="156"/>
      <c r="O26" s="156" t="s">
        <v>372</v>
      </c>
      <c r="P26" s="156">
        <v>4668</v>
      </c>
      <c r="Q26" s="156">
        <v>738520</v>
      </c>
      <c r="R26" s="156">
        <v>1</v>
      </c>
      <c r="S26" s="156">
        <v>158.209083119109</v>
      </c>
      <c r="U26" s="156"/>
      <c r="V26" s="156">
        <v>135.458889755415</v>
      </c>
    </row>
    <row r="27" customHeight="1" spans="1:24">
      <c r="A27" s="37">
        <v>22</v>
      </c>
      <c r="B27" s="38" t="s">
        <v>38</v>
      </c>
      <c r="C27" s="39" t="s">
        <v>318</v>
      </c>
      <c r="D27" s="38">
        <v>3</v>
      </c>
      <c r="E27" s="48">
        <v>5873</v>
      </c>
      <c r="F27" s="48">
        <v>839494.2</v>
      </c>
      <c r="G27" s="48">
        <f t="shared" si="0"/>
        <v>142.941290652137</v>
      </c>
      <c r="H27" s="43"/>
      <c r="N27" s="156"/>
      <c r="O27" s="156" t="s">
        <v>318</v>
      </c>
      <c r="P27" s="156">
        <v>5873</v>
      </c>
      <c r="Q27" s="156">
        <v>1376217.22846442</v>
      </c>
      <c r="R27" s="156">
        <v>1</v>
      </c>
      <c r="S27" s="156">
        <v>234.329512764247</v>
      </c>
      <c r="U27" s="156"/>
      <c r="V27" s="156">
        <v>234.329512764247</v>
      </c>
    </row>
    <row r="28" customHeight="1" spans="1:24">
      <c r="A28" s="37">
        <v>23</v>
      </c>
      <c r="B28" s="38" t="s">
        <v>366</v>
      </c>
      <c r="C28" s="39" t="s">
        <v>365</v>
      </c>
      <c r="D28" s="38">
        <v>3</v>
      </c>
      <c r="E28" s="48">
        <v>1008.33</v>
      </c>
      <c r="F28" s="48">
        <v>289916</v>
      </c>
      <c r="G28" s="48">
        <f t="shared" si="0"/>
        <v>287.520950482481</v>
      </c>
      <c r="H28" s="43"/>
      <c r="J28" s="23" t="s">
        <v>365</v>
      </c>
      <c r="K28" s="23">
        <v>1029.66</v>
      </c>
      <c r="L28" s="23">
        <v>457400</v>
      </c>
      <c r="M28" s="23">
        <v>1</v>
      </c>
      <c r="N28" s="156">
        <v>444.224307052814</v>
      </c>
      <c r="O28" s="156" t="s">
        <v>365</v>
      </c>
      <c r="P28" s="156">
        <v>987</v>
      </c>
      <c r="Q28" s="156">
        <v>346360</v>
      </c>
      <c r="R28" s="156">
        <v>1</v>
      </c>
      <c r="S28" s="156">
        <v>350.921985815603</v>
      </c>
      <c r="U28" s="156">
        <v>330.230143603637</v>
      </c>
      <c r="V28" s="156">
        <v>344.50331272839</v>
      </c>
      <c r="X28" s="23">
        <f>U28/V28</f>
        <v>0.958568847969232</v>
      </c>
    </row>
    <row r="29" customHeight="1" spans="1:24">
      <c r="A29" s="37">
        <v>24</v>
      </c>
      <c r="B29" s="38" t="s">
        <v>32</v>
      </c>
      <c r="C29" s="39" t="s">
        <v>30</v>
      </c>
      <c r="D29" s="38">
        <v>4</v>
      </c>
      <c r="E29" s="48">
        <v>5345</v>
      </c>
      <c r="F29" s="48">
        <v>692902.097596935</v>
      </c>
      <c r="G29" s="48">
        <f t="shared" si="0"/>
        <v>129.635565499894</v>
      </c>
      <c r="H29" s="43"/>
      <c r="N29" s="156"/>
      <c r="O29" s="156" t="s">
        <v>30</v>
      </c>
      <c r="P29" s="156">
        <v>15378</v>
      </c>
      <c r="Q29" s="156">
        <v>3304845.16853933</v>
      </c>
      <c r="R29" s="156">
        <v>3</v>
      </c>
      <c r="S29" s="156">
        <v>214.907346113885</v>
      </c>
      <c r="U29" s="156"/>
      <c r="V29" s="156">
        <v>203.523224724459</v>
      </c>
    </row>
    <row r="30" customHeight="1" spans="1:24">
      <c r="A30" s="37">
        <v>25</v>
      </c>
      <c r="B30" s="38" t="s">
        <v>32</v>
      </c>
      <c r="C30" s="39" t="s">
        <v>373</v>
      </c>
      <c r="D30" s="38">
        <v>4</v>
      </c>
      <c r="E30" s="48">
        <v>3774</v>
      </c>
      <c r="F30" s="48">
        <v>713537.65501234</v>
      </c>
      <c r="G30" s="48">
        <f t="shared" si="0"/>
        <v>189.066681243333</v>
      </c>
      <c r="H30" s="43"/>
      <c r="J30" s="23" t="s">
        <v>373</v>
      </c>
      <c r="K30" s="23">
        <v>7548</v>
      </c>
      <c r="L30" s="23">
        <v>1861950.55430712</v>
      </c>
      <c r="M30" s="23">
        <v>2</v>
      </c>
      <c r="N30" s="156">
        <v>246.681313501208</v>
      </c>
      <c r="O30" s="156"/>
      <c r="P30" s="156"/>
      <c r="Q30" s="156"/>
      <c r="R30" s="156"/>
      <c r="S30" s="156"/>
      <c r="U30" s="156">
        <v>191.49785939277</v>
      </c>
      <c r="V30" s="156"/>
    </row>
    <row r="31" customHeight="1" spans="1:24">
      <c r="A31" s="37">
        <v>26</v>
      </c>
      <c r="B31" s="38"/>
      <c r="C31" s="39"/>
      <c r="D31" s="38"/>
      <c r="E31" s="48"/>
      <c r="F31" s="48"/>
      <c r="G31" s="48"/>
      <c r="H31" s="43"/>
      <c r="N31" s="156"/>
      <c r="O31" s="156"/>
      <c r="P31" s="156"/>
      <c r="Q31" s="156"/>
      <c r="R31" s="156"/>
      <c r="S31" s="156"/>
      <c r="U31" s="156"/>
      <c r="V31" s="156"/>
    </row>
    <row r="32" customHeight="1" spans="1:24">
      <c r="A32" s="37">
        <v>27</v>
      </c>
      <c r="B32" s="38"/>
      <c r="C32" s="39"/>
      <c r="D32" s="38"/>
      <c r="E32" s="48"/>
      <c r="F32" s="48"/>
      <c r="G32" s="48"/>
      <c r="H32" s="43"/>
      <c r="N32" s="156"/>
      <c r="O32" s="156"/>
      <c r="P32" s="156"/>
      <c r="Q32" s="156"/>
      <c r="R32" s="156"/>
      <c r="S32" s="156"/>
      <c r="U32" s="156"/>
      <c r="V32" s="156"/>
    </row>
    <row r="33" customHeight="1" spans="1:22">
      <c r="A33" s="37">
        <v>28</v>
      </c>
      <c r="B33" s="38"/>
      <c r="C33" s="39"/>
      <c r="D33" s="38"/>
      <c r="E33" s="48"/>
      <c r="F33" s="48"/>
      <c r="G33" s="48"/>
      <c r="H33" s="43"/>
      <c r="N33" s="156"/>
      <c r="O33" s="156"/>
      <c r="P33" s="156"/>
      <c r="Q33" s="156"/>
      <c r="R33" s="156"/>
      <c r="S33" s="156"/>
      <c r="U33" s="156"/>
      <c r="V33" s="156"/>
    </row>
    <row r="34" customHeight="1" spans="1:22">
      <c r="A34" s="37">
        <v>29</v>
      </c>
      <c r="B34" s="38"/>
      <c r="C34" s="39"/>
      <c r="D34" s="38"/>
      <c r="E34" s="48"/>
      <c r="F34" s="48"/>
      <c r="G34" s="48"/>
      <c r="H34" s="43"/>
      <c r="N34" s="156"/>
      <c r="O34" s="156"/>
      <c r="P34" s="156"/>
      <c r="Q34" s="156"/>
      <c r="R34" s="156"/>
      <c r="S34" s="156"/>
      <c r="U34" s="156"/>
      <c r="V34" s="156"/>
    </row>
    <row r="35" customHeight="1" spans="1:22">
      <c r="A35" s="37">
        <v>30</v>
      </c>
      <c r="B35" s="38"/>
      <c r="C35" s="39"/>
      <c r="D35" s="38"/>
      <c r="E35" s="48"/>
      <c r="F35" s="48"/>
      <c r="G35" s="48"/>
      <c r="H35" s="43"/>
      <c r="N35" s="156"/>
      <c r="O35" s="156"/>
      <c r="P35" s="156"/>
      <c r="Q35" s="156"/>
      <c r="R35" s="156"/>
      <c r="S35" s="156"/>
      <c r="U35" s="156"/>
      <c r="V35" s="156"/>
    </row>
    <row r="36" customHeight="1" spans="1:22">
      <c r="A36" s="37">
        <v>31</v>
      </c>
      <c r="B36" s="38"/>
      <c r="C36" s="39"/>
      <c r="D36" s="38"/>
      <c r="E36" s="48"/>
      <c r="F36" s="48"/>
      <c r="G36" s="48"/>
      <c r="H36" s="43"/>
      <c r="N36" s="156"/>
      <c r="O36" s="156"/>
      <c r="P36" s="156"/>
      <c r="Q36" s="156"/>
      <c r="R36" s="156"/>
      <c r="S36" s="156"/>
      <c r="U36" s="156"/>
      <c r="V36" s="156"/>
    </row>
    <row r="37" customHeight="1" spans="1:22">
      <c r="A37" s="37">
        <v>32</v>
      </c>
      <c r="B37" s="38"/>
      <c r="C37" s="39"/>
      <c r="D37" s="38"/>
      <c r="E37" s="48"/>
      <c r="F37" s="48"/>
      <c r="G37" s="48"/>
      <c r="H37" s="43"/>
      <c r="N37" s="156"/>
      <c r="O37" s="156"/>
      <c r="P37" s="156"/>
      <c r="Q37" s="156"/>
      <c r="R37" s="156"/>
      <c r="S37" s="156"/>
      <c r="U37" s="156"/>
      <c r="V37" s="156"/>
    </row>
    <row r="38" customHeight="1" spans="1:22">
      <c r="A38" s="37">
        <v>33</v>
      </c>
      <c r="B38" s="38"/>
      <c r="C38" s="39"/>
      <c r="D38" s="38"/>
      <c r="E38" s="48"/>
      <c r="F38" s="48"/>
      <c r="G38" s="48"/>
      <c r="H38" s="43"/>
      <c r="N38" s="156"/>
      <c r="O38" s="156"/>
      <c r="P38" s="156"/>
      <c r="Q38" s="156"/>
      <c r="R38" s="156"/>
      <c r="S38" s="156"/>
      <c r="U38" s="156"/>
      <c r="V38" s="156"/>
    </row>
    <row r="39" customHeight="1" spans="1:22">
      <c r="A39" s="37">
        <v>34</v>
      </c>
      <c r="B39" s="38"/>
      <c r="C39" s="39"/>
      <c r="D39" s="38"/>
      <c r="E39" s="48"/>
      <c r="F39" s="48"/>
      <c r="G39" s="48"/>
      <c r="H39" s="43"/>
      <c r="N39" s="156"/>
      <c r="O39" s="156"/>
      <c r="P39" s="156"/>
      <c r="Q39" s="156"/>
      <c r="R39" s="156"/>
      <c r="S39" s="156"/>
      <c r="U39" s="156"/>
      <c r="V39" s="156"/>
    </row>
    <row r="40" customHeight="1" spans="1:22">
      <c r="A40" s="37">
        <v>35</v>
      </c>
      <c r="B40" s="38"/>
      <c r="C40" s="39"/>
      <c r="D40" s="38"/>
      <c r="E40" s="48"/>
      <c r="F40" s="48"/>
      <c r="G40" s="48"/>
      <c r="H40" s="43"/>
      <c r="N40" s="156"/>
      <c r="O40" s="156"/>
      <c r="P40" s="156"/>
      <c r="Q40" s="156"/>
      <c r="R40" s="156"/>
      <c r="S40" s="156"/>
      <c r="U40" s="156"/>
      <c r="V40" s="156"/>
    </row>
    <row r="41" customHeight="1" spans="1:22">
      <c r="A41" s="37">
        <v>36</v>
      </c>
      <c r="B41" s="38"/>
      <c r="C41" s="39"/>
      <c r="D41" s="38"/>
      <c r="E41" s="48"/>
      <c r="F41" s="48"/>
      <c r="G41" s="48"/>
      <c r="H41" s="43"/>
      <c r="N41" s="156"/>
      <c r="O41" s="156"/>
      <c r="P41" s="156"/>
      <c r="Q41" s="156"/>
      <c r="R41" s="156"/>
      <c r="S41" s="156"/>
      <c r="U41" s="156"/>
      <c r="V41" s="156"/>
    </row>
    <row r="42" customHeight="1" spans="1:22">
      <c r="A42" s="37">
        <v>37</v>
      </c>
      <c r="B42" s="38"/>
      <c r="C42" s="39"/>
      <c r="D42" s="38"/>
      <c r="E42" s="48"/>
      <c r="F42" s="48"/>
      <c r="G42" s="48"/>
      <c r="H42" s="43"/>
      <c r="N42" s="156"/>
      <c r="O42" s="156"/>
      <c r="P42" s="156"/>
      <c r="Q42" s="156"/>
      <c r="R42" s="156"/>
      <c r="S42" s="156"/>
      <c r="U42" s="156"/>
      <c r="V42" s="156"/>
    </row>
    <row r="43" customHeight="1" spans="1:22">
      <c r="S43" s="19">
        <f>SUM(S5:S42)</f>
        <v>3489.70444453812</v>
      </c>
      <c r="V43" s="19">
        <f>SUM(V5:V42)</f>
        <v>3224.67821644512</v>
      </c>
    </row>
    <row r="44" customHeight="1" spans="1:22">
      <c r="U44" s="19">
        <f>(S43-V43)/V43</f>
        <v>0.0821868758071516</v>
      </c>
    </row>
  </sheetData>
  <sheetProtection formatCells="0" formatColumns="0" formatRows="0" insertRows="0" insertColumns="0" insertHyperlinks="0" deleteColumns="0" deleteRows="0" sort="0" autoFilter="0" pivotTables="0"/>
  <autoFilter xmlns:etc="http://www.wps.cn/officeDocument/2017/etCustomData" ref="A4:XDZ44" etc:filterBottomFollowUsedRange="0">
    <extLst/>
  </autoFilter>
  <mergeCells count="4">
    <mergeCell ref="A2:H2"/>
    <mergeCell ref="N2:S2"/>
    <mergeCell ref="U2:V2"/>
    <mergeCell ref="G3:H3"/>
  </mergeCells>
  <pageMargins left="0.432638888888889" right="0.156944444444444" top="0.904861111111111" bottom="0.432638888888889" header="0.314583333333333" footer="0.393055555555556"/>
  <pageSetup paperSize="9" fitToHeight="0" orientation="portrait" horizontalDpi="600"/>
  <headerFooter>
    <oddFooter>&amp;C第 &amp;P 页，共 &amp;N 页</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H64"/>
  <sheetViews>
    <sheetView zoomScale="115" zoomScaleNormal="115" workbookViewId="0">
      <pane ySplit="4" topLeftCell="A5" activePane="bottomLeft" state="frozen"/>
      <selection/>
      <selection pane="bottomLeft" activeCell="I12" sqref="I12"/>
    </sheetView>
  </sheetViews>
  <sheetFormatPr defaultColWidth="4" defaultRowHeight="16" customHeight="1" outlineLevelCol="7"/>
  <cols>
    <col min="1" max="1" width="5.32407407407407" style="95" customWidth="1"/>
    <col min="2" max="3" width="9.37962962962963" style="140" customWidth="1"/>
    <col min="4" max="4" width="9.37962962962963" style="141" customWidth="1"/>
    <col min="5" max="8" width="8.62962962962963" style="98" customWidth="1"/>
    <col min="9" max="13" width="4.87962962962963" style="95"/>
    <col min="14" max="14" width="5.37962962962963" style="95"/>
    <col min="15" max="15" width="4.87962962962963" style="95"/>
    <col min="16" max="16" width="5.37962962962963" style="95"/>
    <col min="17" max="16380" width="4.87962962962963" style="95"/>
    <col min="16381" max="16381" width="4.87962962962963" style="142"/>
    <col min="16382" max="16382" width="4" style="142"/>
  </cols>
  <sheetData>
    <row r="1" ht="20.4" spans="1:8">
      <c r="A1" s="25" t="s">
        <v>385</v>
      </c>
      <c r="B1" s="143"/>
      <c r="C1" s="144"/>
      <c r="D1" s="145"/>
    </row>
    <row r="2" s="96" customFormat="1" ht="29.4" spans="1:8">
      <c r="A2" s="26" t="s">
        <v>357</v>
      </c>
      <c r="B2" s="26"/>
      <c r="C2" s="26"/>
      <c r="D2" s="146"/>
      <c r="E2" s="26"/>
      <c r="F2" s="26"/>
      <c r="G2" s="26"/>
      <c r="H2" s="26"/>
    </row>
    <row r="3" s="139" customFormat="1" customHeight="1" spans="1:8">
      <c r="A3" s="147" t="s">
        <v>1</v>
      </c>
      <c r="B3" s="147" t="s">
        <v>8</v>
      </c>
      <c r="C3" s="148" t="s">
        <v>386</v>
      </c>
      <c r="D3" s="149" t="s">
        <v>387</v>
      </c>
      <c r="E3" s="150" t="s">
        <v>388</v>
      </c>
      <c r="F3" s="150"/>
      <c r="G3" s="150"/>
      <c r="H3" s="150"/>
    </row>
    <row r="4" s="139" customFormat="1" customHeight="1" spans="1:8">
      <c r="A4" s="147"/>
      <c r="B4" s="147"/>
      <c r="C4" s="151"/>
      <c r="D4" s="152"/>
      <c r="E4" s="48" t="s">
        <v>389</v>
      </c>
      <c r="F4" s="48" t="s">
        <v>390</v>
      </c>
      <c r="G4" s="48" t="s">
        <v>391</v>
      </c>
      <c r="H4" s="48" t="s">
        <v>392</v>
      </c>
    </row>
    <row r="5" s="139" customFormat="1" customHeight="1" spans="1:8">
      <c r="A5" s="148">
        <f>ROW()-4</f>
        <v>1</v>
      </c>
      <c r="B5" s="148" t="s">
        <v>30</v>
      </c>
      <c r="C5" s="147">
        <v>660</v>
      </c>
      <c r="D5" s="153">
        <v>362.9</v>
      </c>
      <c r="E5" s="48"/>
      <c r="F5" s="48"/>
      <c r="G5" s="48"/>
      <c r="H5" s="48"/>
    </row>
    <row r="6" s="139" customFormat="1" customHeight="1" spans="1:8">
      <c r="A6" s="154"/>
      <c r="B6" s="154"/>
      <c r="C6" s="147">
        <v>444</v>
      </c>
      <c r="D6" s="155">
        <v>548.61</v>
      </c>
      <c r="E6" s="48"/>
      <c r="F6" s="48"/>
      <c r="G6" s="48"/>
      <c r="H6" s="48"/>
    </row>
    <row r="7" s="139" customFormat="1" customHeight="1" spans="1:8">
      <c r="A7" s="154"/>
      <c r="B7" s="154"/>
      <c r="C7" s="147">
        <v>311</v>
      </c>
      <c r="D7" s="155">
        <v>1080.21</v>
      </c>
      <c r="E7" s="48"/>
      <c r="F7" s="48"/>
      <c r="G7" s="48"/>
      <c r="H7" s="48"/>
    </row>
    <row r="8" s="139" customFormat="1" customHeight="1" spans="1:8">
      <c r="A8" s="151"/>
      <c r="B8" s="151"/>
      <c r="C8" s="147">
        <v>216</v>
      </c>
      <c r="D8" s="155">
        <v>2148.88</v>
      </c>
      <c r="E8" s="48"/>
      <c r="F8" s="48"/>
      <c r="G8" s="48"/>
      <c r="H8" s="48"/>
    </row>
    <row r="9" s="139" customFormat="1" customHeight="1" spans="1:8">
      <c r="A9" s="148">
        <v>2</v>
      </c>
      <c r="B9" s="148" t="s">
        <v>310</v>
      </c>
      <c r="C9" s="147">
        <v>444</v>
      </c>
      <c r="D9" s="155">
        <v>651.04</v>
      </c>
      <c r="E9" s="48"/>
      <c r="F9" s="48"/>
      <c r="G9" s="48"/>
      <c r="H9" s="48"/>
    </row>
    <row r="10" s="139" customFormat="1" customHeight="1" spans="1:8">
      <c r="A10" s="154"/>
      <c r="B10" s="154"/>
      <c r="C10" s="147">
        <v>311</v>
      </c>
      <c r="D10" s="155">
        <v>1399.99</v>
      </c>
      <c r="E10" s="48"/>
      <c r="F10" s="48"/>
      <c r="G10" s="48"/>
      <c r="H10" s="48"/>
    </row>
    <row r="11" s="139" customFormat="1" customHeight="1" spans="1:8">
      <c r="A11" s="151"/>
      <c r="B11" s="151"/>
      <c r="C11" s="147">
        <v>216</v>
      </c>
      <c r="D11" s="155">
        <v>1727.32</v>
      </c>
      <c r="E11" s="48"/>
      <c r="F11" s="48"/>
      <c r="G11" s="48"/>
      <c r="H11" s="48"/>
    </row>
    <row r="12" s="139" customFormat="1" customHeight="1" spans="1:8">
      <c r="A12" s="148">
        <v>3</v>
      </c>
      <c r="B12" s="148" t="s">
        <v>311</v>
      </c>
      <c r="C12" s="147">
        <v>311</v>
      </c>
      <c r="D12" s="155">
        <v>508.73</v>
      </c>
      <c r="E12" s="48"/>
      <c r="F12" s="48"/>
      <c r="G12" s="48"/>
      <c r="H12" s="48"/>
    </row>
    <row r="13" s="139" customFormat="1" customHeight="1" spans="1:8">
      <c r="A13" s="151"/>
      <c r="B13" s="151"/>
      <c r="C13" s="147">
        <v>216</v>
      </c>
      <c r="D13" s="155">
        <v>989.05</v>
      </c>
      <c r="E13" s="48"/>
      <c r="F13" s="48"/>
      <c r="G13" s="48"/>
      <c r="H13" s="48"/>
    </row>
    <row r="14" s="139" customFormat="1" customHeight="1" spans="1:8">
      <c r="A14" s="148">
        <v>4</v>
      </c>
      <c r="B14" s="148" t="s">
        <v>312</v>
      </c>
      <c r="C14" s="147">
        <v>311</v>
      </c>
      <c r="D14" s="155">
        <v>650.43</v>
      </c>
      <c r="E14" s="48"/>
      <c r="F14" s="48"/>
      <c r="G14" s="48"/>
      <c r="H14" s="48"/>
    </row>
    <row r="15" s="139" customFormat="1" customHeight="1" spans="1:8">
      <c r="A15" s="151"/>
      <c r="B15" s="151"/>
      <c r="C15" s="147">
        <v>216</v>
      </c>
      <c r="D15" s="155">
        <v>2056.28</v>
      </c>
      <c r="E15" s="48"/>
      <c r="F15" s="48"/>
      <c r="G15" s="48"/>
      <c r="H15" s="48"/>
    </row>
    <row r="16" s="139" customFormat="1" customHeight="1" spans="1:8">
      <c r="A16" s="148">
        <v>5</v>
      </c>
      <c r="B16" s="148" t="s">
        <v>313</v>
      </c>
      <c r="C16" s="147">
        <v>311</v>
      </c>
      <c r="D16" s="155">
        <v>599.95</v>
      </c>
      <c r="E16" s="48"/>
      <c r="F16" s="48"/>
      <c r="G16" s="48"/>
      <c r="H16" s="48"/>
    </row>
    <row r="17" s="139" customFormat="1" customHeight="1" spans="1:8">
      <c r="A17" s="151"/>
      <c r="B17" s="151"/>
      <c r="C17" s="147">
        <v>216</v>
      </c>
      <c r="D17" s="155">
        <v>1180.23</v>
      </c>
      <c r="E17" s="48"/>
      <c r="F17" s="48"/>
      <c r="G17" s="48"/>
      <c r="H17" s="48"/>
    </row>
    <row r="18" s="139" customFormat="1" customHeight="1" spans="1:8">
      <c r="A18" s="147">
        <v>6</v>
      </c>
      <c r="B18" s="147" t="s">
        <v>314</v>
      </c>
      <c r="C18" s="147">
        <v>311</v>
      </c>
      <c r="D18" s="155">
        <v>592.25</v>
      </c>
      <c r="E18" s="48"/>
      <c r="F18" s="48"/>
      <c r="G18" s="48"/>
      <c r="H18" s="48"/>
    </row>
    <row r="19" s="139" customFormat="1" customHeight="1" spans="1:8">
      <c r="A19" s="148">
        <v>7</v>
      </c>
      <c r="B19" s="148" t="s">
        <v>371</v>
      </c>
      <c r="C19" s="147">
        <v>311</v>
      </c>
      <c r="D19" s="155">
        <v>808.47</v>
      </c>
      <c r="E19" s="48"/>
      <c r="F19" s="48"/>
      <c r="G19" s="48"/>
      <c r="H19" s="48"/>
    </row>
    <row r="20" s="139" customFormat="1" customHeight="1" spans="1:8">
      <c r="A20" s="151"/>
      <c r="B20" s="151"/>
      <c r="C20" s="147">
        <v>216</v>
      </c>
      <c r="D20" s="155">
        <v>2300.6</v>
      </c>
      <c r="E20" s="48"/>
      <c r="F20" s="48"/>
      <c r="G20" s="48"/>
      <c r="H20" s="48"/>
    </row>
    <row r="21" s="139" customFormat="1" customHeight="1" spans="1:8">
      <c r="A21" s="148">
        <v>8</v>
      </c>
      <c r="B21" s="148" t="s">
        <v>365</v>
      </c>
      <c r="C21" s="147">
        <v>762</v>
      </c>
      <c r="D21" s="155">
        <v>215.8</v>
      </c>
      <c r="E21" s="48"/>
      <c r="F21" s="48"/>
      <c r="G21" s="48"/>
      <c r="H21" s="48"/>
    </row>
    <row r="22" s="139" customFormat="1" customHeight="1" spans="1:8">
      <c r="A22" s="154"/>
      <c r="B22" s="154"/>
      <c r="C22" s="147">
        <v>572</v>
      </c>
      <c r="D22" s="155">
        <v>702</v>
      </c>
      <c r="E22" s="48"/>
      <c r="F22" s="48"/>
      <c r="G22" s="48"/>
      <c r="H22" s="48"/>
    </row>
    <row r="23" s="139" customFormat="1" customHeight="1" spans="1:8">
      <c r="A23" s="154"/>
      <c r="B23" s="154"/>
      <c r="C23" s="147">
        <v>406</v>
      </c>
      <c r="D23" s="155">
        <v>61.24</v>
      </c>
      <c r="E23" s="48"/>
      <c r="F23" s="48"/>
      <c r="G23" s="48"/>
      <c r="H23" s="48"/>
    </row>
    <row r="24" s="139" customFormat="1" customHeight="1" spans="1:8">
      <c r="A24" s="154"/>
      <c r="B24" s="154"/>
      <c r="C24" s="147">
        <v>375</v>
      </c>
      <c r="D24" s="155">
        <v>91</v>
      </c>
      <c r="E24" s="48"/>
      <c r="F24" s="48"/>
      <c r="G24" s="48"/>
      <c r="H24" s="48"/>
    </row>
    <row r="25" s="139" customFormat="1" customHeight="1" spans="1:8">
      <c r="A25" s="154"/>
      <c r="B25" s="154"/>
      <c r="C25" s="147">
        <v>241</v>
      </c>
      <c r="D25" s="155">
        <v>1009</v>
      </c>
      <c r="E25" s="48"/>
      <c r="F25" s="48"/>
      <c r="G25" s="48"/>
      <c r="H25" s="48"/>
    </row>
    <row r="26" s="139" customFormat="1" customHeight="1" spans="1:8">
      <c r="A26" s="151"/>
      <c r="B26" s="151"/>
      <c r="C26" s="147">
        <v>152</v>
      </c>
      <c r="D26" s="155">
        <v>347.23</v>
      </c>
      <c r="E26" s="48"/>
      <c r="F26" s="48"/>
      <c r="G26" s="48"/>
      <c r="H26" s="48"/>
    </row>
    <row r="27" s="139" customFormat="1" customHeight="1" spans="1:8">
      <c r="A27" s="148">
        <v>9</v>
      </c>
      <c r="B27" s="148" t="s">
        <v>315</v>
      </c>
      <c r="C27" s="147">
        <v>311</v>
      </c>
      <c r="D27" s="155">
        <v>802.74</v>
      </c>
      <c r="E27" s="48"/>
      <c r="F27" s="48"/>
      <c r="G27" s="48"/>
      <c r="H27" s="48"/>
    </row>
    <row r="28" s="139" customFormat="1" customHeight="1" spans="1:8">
      <c r="A28" s="151"/>
      <c r="B28" s="151"/>
      <c r="C28" s="147">
        <v>216</v>
      </c>
      <c r="D28" s="155">
        <v>2515.94</v>
      </c>
      <c r="E28" s="48"/>
      <c r="F28" s="48"/>
      <c r="G28" s="48"/>
      <c r="H28" s="48"/>
    </row>
    <row r="29" s="139" customFormat="1" customHeight="1" spans="1:8">
      <c r="A29" s="148">
        <v>10</v>
      </c>
      <c r="B29" s="148" t="s">
        <v>316</v>
      </c>
      <c r="C29" s="147">
        <v>444</v>
      </c>
      <c r="D29" s="155">
        <v>808.89</v>
      </c>
      <c r="E29" s="48"/>
      <c r="F29" s="48"/>
      <c r="G29" s="48"/>
      <c r="H29" s="48"/>
    </row>
    <row r="30" s="139" customFormat="1" customHeight="1" spans="1:8">
      <c r="A30" s="154"/>
      <c r="B30" s="154"/>
      <c r="C30" s="147">
        <v>311</v>
      </c>
      <c r="D30" s="155">
        <v>1058.96</v>
      </c>
      <c r="E30" s="48"/>
      <c r="F30" s="48"/>
      <c r="G30" s="48"/>
      <c r="H30" s="48"/>
    </row>
    <row r="31" s="139" customFormat="1" customHeight="1" spans="1:8">
      <c r="A31" s="151"/>
      <c r="B31" s="151"/>
      <c r="C31" s="147">
        <v>216</v>
      </c>
      <c r="D31" s="155">
        <v>2398.03</v>
      </c>
      <c r="E31" s="48"/>
      <c r="F31" s="48"/>
      <c r="G31" s="48"/>
      <c r="H31" s="48"/>
    </row>
    <row r="32" s="139" customFormat="1" customHeight="1" spans="1:8">
      <c r="A32" s="148">
        <v>11</v>
      </c>
      <c r="B32" s="148" t="s">
        <v>317</v>
      </c>
      <c r="C32" s="147">
        <v>311</v>
      </c>
      <c r="D32" s="155">
        <v>505.65</v>
      </c>
      <c r="E32" s="48"/>
      <c r="F32" s="48"/>
      <c r="G32" s="48"/>
      <c r="H32" s="48"/>
    </row>
    <row r="33" s="139" customFormat="1" customHeight="1" spans="1:8">
      <c r="A33" s="151"/>
      <c r="B33" s="151"/>
      <c r="C33" s="147">
        <v>216</v>
      </c>
      <c r="D33" s="155">
        <v>1956.07</v>
      </c>
      <c r="E33" s="48"/>
      <c r="F33" s="48"/>
      <c r="G33" s="48"/>
      <c r="H33" s="48"/>
    </row>
    <row r="34" s="139" customFormat="1" customHeight="1" spans="1:8">
      <c r="A34" s="148">
        <v>12</v>
      </c>
      <c r="B34" s="148" t="s">
        <v>318</v>
      </c>
      <c r="C34" s="147">
        <v>444</v>
      </c>
      <c r="D34" s="155">
        <v>429.28</v>
      </c>
      <c r="E34" s="48"/>
      <c r="F34" s="48"/>
      <c r="G34" s="48"/>
      <c r="H34" s="48"/>
    </row>
    <row r="35" s="139" customFormat="1" customHeight="1" spans="1:8">
      <c r="A35" s="154"/>
      <c r="B35" s="154"/>
      <c r="C35" s="147">
        <v>311</v>
      </c>
      <c r="D35" s="155">
        <v>1970.18</v>
      </c>
      <c r="E35" s="48"/>
      <c r="F35" s="48"/>
      <c r="G35" s="48"/>
      <c r="H35" s="48"/>
    </row>
    <row r="36" s="139" customFormat="1" customHeight="1" spans="1:8">
      <c r="A36" s="151"/>
      <c r="B36" s="151"/>
      <c r="C36" s="147">
        <v>216</v>
      </c>
      <c r="D36" s="155">
        <v>3012.844</v>
      </c>
      <c r="E36" s="48"/>
      <c r="F36" s="48"/>
      <c r="G36" s="48"/>
      <c r="H36" s="48"/>
    </row>
    <row r="37" s="139" customFormat="1" customHeight="1" spans="1:8">
      <c r="A37" s="148">
        <v>13</v>
      </c>
      <c r="B37" s="148" t="s">
        <v>319</v>
      </c>
      <c r="C37" s="147">
        <v>444</v>
      </c>
      <c r="D37" s="155">
        <v>607.93</v>
      </c>
      <c r="E37" s="48"/>
      <c r="F37" s="48"/>
      <c r="G37" s="48"/>
      <c r="H37" s="48"/>
    </row>
    <row r="38" s="139" customFormat="1" customHeight="1" spans="1:8">
      <c r="A38" s="151"/>
      <c r="B38" s="151"/>
      <c r="C38" s="147">
        <v>216</v>
      </c>
      <c r="D38" s="155">
        <v>2487.7</v>
      </c>
      <c r="E38" s="48"/>
      <c r="F38" s="48"/>
      <c r="G38" s="48"/>
      <c r="H38" s="48"/>
    </row>
    <row r="39" s="139" customFormat="1" customHeight="1" spans="1:8">
      <c r="A39" s="148">
        <v>14</v>
      </c>
      <c r="B39" s="148" t="s">
        <v>320</v>
      </c>
      <c r="C39" s="147">
        <v>311</v>
      </c>
      <c r="D39" s="155">
        <v>801.36</v>
      </c>
      <c r="E39" s="48"/>
      <c r="F39" s="48"/>
      <c r="G39" s="48"/>
      <c r="H39" s="48"/>
    </row>
    <row r="40" s="139" customFormat="1" customHeight="1" spans="1:8">
      <c r="A40" s="151"/>
      <c r="B40" s="151"/>
      <c r="C40" s="147">
        <v>216</v>
      </c>
      <c r="D40" s="155">
        <v>574.92</v>
      </c>
      <c r="E40" s="48"/>
      <c r="F40" s="48"/>
      <c r="G40" s="48"/>
      <c r="H40" s="48"/>
    </row>
    <row r="41" s="139" customFormat="1" customHeight="1" spans="1:8">
      <c r="A41" s="148">
        <v>15</v>
      </c>
      <c r="B41" s="148" t="s">
        <v>321</v>
      </c>
      <c r="C41" s="147">
        <v>311</v>
      </c>
      <c r="D41" s="155">
        <v>754.2</v>
      </c>
      <c r="E41" s="48"/>
      <c r="F41" s="48"/>
      <c r="G41" s="48"/>
      <c r="H41" s="48"/>
    </row>
    <row r="42" s="139" customFormat="1" customHeight="1" spans="1:8">
      <c r="A42" s="151"/>
      <c r="B42" s="151"/>
      <c r="C42" s="147">
        <v>216</v>
      </c>
      <c r="D42" s="155">
        <v>2285.58</v>
      </c>
      <c r="E42" s="48"/>
      <c r="F42" s="48"/>
      <c r="G42" s="48"/>
      <c r="H42" s="48"/>
    </row>
    <row r="43" s="139" customFormat="1" customHeight="1" spans="1:8">
      <c r="A43" s="148">
        <v>16</v>
      </c>
      <c r="B43" s="148" t="s">
        <v>322</v>
      </c>
      <c r="C43" s="147">
        <v>444</v>
      </c>
      <c r="D43" s="155">
        <v>513.63</v>
      </c>
      <c r="E43" s="48"/>
      <c r="F43" s="48"/>
      <c r="G43" s="48"/>
      <c r="H43" s="48"/>
    </row>
    <row r="44" s="139" customFormat="1" customHeight="1" spans="1:8">
      <c r="A44" s="154"/>
      <c r="B44" s="154"/>
      <c r="C44" s="147">
        <v>311</v>
      </c>
      <c r="D44" s="155">
        <v>2514.53</v>
      </c>
      <c r="E44" s="48"/>
      <c r="F44" s="48"/>
      <c r="G44" s="48"/>
      <c r="H44" s="48"/>
    </row>
    <row r="45" s="139" customFormat="1" customHeight="1" spans="1:8">
      <c r="A45" s="151"/>
      <c r="B45" s="151"/>
      <c r="C45" s="147">
        <v>216</v>
      </c>
      <c r="D45" s="155">
        <v>2604.35</v>
      </c>
      <c r="E45" s="48"/>
      <c r="F45" s="48"/>
      <c r="G45" s="48"/>
      <c r="H45" s="48"/>
    </row>
    <row r="46" s="139" customFormat="1" customHeight="1" spans="1:8">
      <c r="A46" s="148">
        <v>17</v>
      </c>
      <c r="B46" s="148" t="s">
        <v>323</v>
      </c>
      <c r="C46" s="147">
        <v>444</v>
      </c>
      <c r="D46" s="155">
        <v>605.46</v>
      </c>
      <c r="E46" s="48"/>
      <c r="F46" s="48"/>
      <c r="G46" s="48"/>
      <c r="H46" s="48"/>
    </row>
    <row r="47" s="139" customFormat="1" customHeight="1" spans="1:8">
      <c r="A47" s="154"/>
      <c r="B47" s="154"/>
      <c r="C47" s="147">
        <v>311</v>
      </c>
      <c r="D47" s="155">
        <v>2318.19</v>
      </c>
      <c r="E47" s="48"/>
      <c r="F47" s="48"/>
      <c r="G47" s="48"/>
      <c r="H47" s="48"/>
    </row>
    <row r="48" s="139" customFormat="1" customHeight="1" spans="1:8">
      <c r="A48" s="151"/>
      <c r="B48" s="151"/>
      <c r="C48" s="147">
        <v>216</v>
      </c>
      <c r="D48" s="155">
        <v>2891.02</v>
      </c>
      <c r="E48" s="48"/>
      <c r="F48" s="48"/>
      <c r="G48" s="48"/>
      <c r="H48" s="48"/>
    </row>
    <row r="49" s="139" customFormat="1" customHeight="1" spans="1:8">
      <c r="A49" s="148">
        <v>18</v>
      </c>
      <c r="B49" s="148" t="s">
        <v>326</v>
      </c>
      <c r="C49" s="147">
        <v>444</v>
      </c>
      <c r="D49" s="155">
        <v>655.79</v>
      </c>
      <c r="E49" s="48"/>
      <c r="F49" s="48"/>
      <c r="G49" s="48"/>
      <c r="H49" s="48"/>
    </row>
    <row r="50" s="139" customFormat="1" customHeight="1" spans="1:8">
      <c r="A50" s="154"/>
      <c r="B50" s="154"/>
      <c r="C50" s="147">
        <v>311</v>
      </c>
      <c r="D50" s="155">
        <v>2893.13</v>
      </c>
      <c r="E50" s="48"/>
      <c r="F50" s="48"/>
      <c r="G50" s="48"/>
      <c r="H50" s="48"/>
    </row>
    <row r="51" s="139" customFormat="1" customHeight="1" spans="1:8">
      <c r="A51" s="151"/>
      <c r="B51" s="151"/>
      <c r="C51" s="147">
        <v>216</v>
      </c>
      <c r="D51" s="155">
        <v>1580.1</v>
      </c>
      <c r="E51" s="48"/>
      <c r="F51" s="48"/>
      <c r="G51" s="48"/>
      <c r="H51" s="48"/>
    </row>
    <row r="52" s="139" customFormat="1" customHeight="1" spans="1:8">
      <c r="A52" s="148">
        <v>19</v>
      </c>
      <c r="B52" s="148" t="s">
        <v>44</v>
      </c>
      <c r="C52" s="147">
        <v>444</v>
      </c>
      <c r="D52" s="155">
        <v>565.3</v>
      </c>
      <c r="E52" s="48"/>
      <c r="F52" s="48"/>
      <c r="G52" s="48"/>
      <c r="H52" s="48"/>
    </row>
    <row r="53" s="139" customFormat="1" customHeight="1" spans="1:8">
      <c r="A53" s="154"/>
      <c r="B53" s="154"/>
      <c r="C53" s="147">
        <v>311</v>
      </c>
      <c r="D53" s="155">
        <v>2658.72</v>
      </c>
      <c r="E53" s="48"/>
      <c r="F53" s="48"/>
      <c r="G53" s="48"/>
      <c r="H53" s="48"/>
    </row>
    <row r="54" s="139" customFormat="1" customHeight="1" spans="1:8">
      <c r="A54" s="151"/>
      <c r="B54" s="151"/>
      <c r="C54" s="147">
        <v>216</v>
      </c>
      <c r="D54" s="155">
        <v>2347.01</v>
      </c>
      <c r="E54" s="48"/>
      <c r="F54" s="48"/>
      <c r="G54" s="48"/>
      <c r="H54" s="48"/>
    </row>
    <row r="55" s="139" customFormat="1" customHeight="1" spans="1:8">
      <c r="A55" s="154">
        <v>20</v>
      </c>
      <c r="B55" s="154" t="s">
        <v>372</v>
      </c>
      <c r="C55" s="147">
        <v>444</v>
      </c>
      <c r="D55" s="155">
        <v>502</v>
      </c>
      <c r="E55" s="48"/>
      <c r="F55" s="48"/>
      <c r="G55" s="48"/>
      <c r="H55" s="48"/>
    </row>
    <row r="56" s="139" customFormat="1" customHeight="1" spans="1:8">
      <c r="A56" s="154"/>
      <c r="B56" s="154"/>
      <c r="C56" s="147">
        <v>311</v>
      </c>
      <c r="D56" s="155">
        <v>1802</v>
      </c>
      <c r="E56" s="48"/>
      <c r="F56" s="48"/>
      <c r="G56" s="48"/>
      <c r="H56" s="48"/>
    </row>
    <row r="57" s="139" customFormat="1" customHeight="1" spans="1:8">
      <c r="A57" s="151"/>
      <c r="B57" s="151"/>
      <c r="C57" s="147">
        <v>216</v>
      </c>
      <c r="D57" s="155">
        <v>2329.36</v>
      </c>
      <c r="E57" s="48"/>
      <c r="F57" s="48"/>
      <c r="G57" s="48"/>
      <c r="H57" s="48"/>
    </row>
    <row r="58" s="139" customFormat="1" customHeight="1" spans="1:8">
      <c r="A58" s="148">
        <v>21</v>
      </c>
      <c r="B58" s="148" t="s">
        <v>373</v>
      </c>
      <c r="C58" s="147">
        <v>444</v>
      </c>
      <c r="D58" s="155">
        <v>662.7</v>
      </c>
      <c r="E58" s="48"/>
      <c r="F58" s="48"/>
      <c r="G58" s="48"/>
      <c r="H58" s="48"/>
    </row>
    <row r="59" s="139" customFormat="1" customHeight="1" spans="1:8">
      <c r="A59" s="154"/>
      <c r="B59" s="154"/>
      <c r="C59" s="147">
        <v>311</v>
      </c>
      <c r="D59" s="155">
        <v>1087.8</v>
      </c>
      <c r="E59" s="48"/>
      <c r="F59" s="48"/>
      <c r="G59" s="48"/>
      <c r="H59" s="48"/>
    </row>
    <row r="60" s="139" customFormat="1" customHeight="1" spans="1:8">
      <c r="A60" s="154"/>
      <c r="B60" s="154"/>
      <c r="C60" s="147">
        <v>216</v>
      </c>
      <c r="D60" s="155">
        <v>1457.75</v>
      </c>
      <c r="E60" s="48"/>
      <c r="F60" s="48"/>
      <c r="G60" s="48"/>
      <c r="H60" s="48"/>
    </row>
    <row r="61" s="139" customFormat="1" customHeight="1" spans="1:8">
      <c r="A61" s="151"/>
      <c r="B61" s="151"/>
      <c r="C61" s="147">
        <v>152</v>
      </c>
      <c r="D61" s="155">
        <v>495</v>
      </c>
      <c r="E61" s="48"/>
      <c r="F61" s="48"/>
      <c r="G61" s="48"/>
      <c r="H61" s="48"/>
    </row>
    <row r="62" s="139" customFormat="1" customHeight="1" spans="1:8">
      <c r="A62" s="147"/>
      <c r="B62" s="147"/>
      <c r="C62" s="147"/>
      <c r="D62" s="155"/>
      <c r="E62" s="48"/>
      <c r="F62" s="48"/>
      <c r="G62" s="48"/>
      <c r="H62" s="48"/>
    </row>
    <row r="63" s="139" customFormat="1" customHeight="1" spans="1:8">
      <c r="A63" s="147"/>
      <c r="B63" s="147"/>
      <c r="C63" s="147"/>
      <c r="D63" s="155"/>
      <c r="E63" s="48"/>
      <c r="F63" s="48"/>
      <c r="G63" s="48"/>
      <c r="H63" s="48"/>
    </row>
    <row r="64" s="139" customFormat="1" customHeight="1" spans="1:8">
      <c r="A64" s="147"/>
      <c r="B64" s="147"/>
      <c r="C64" s="147"/>
      <c r="D64" s="155"/>
      <c r="E64" s="48"/>
      <c r="F64" s="48"/>
      <c r="G64" s="48"/>
      <c r="H64" s="48"/>
    </row>
  </sheetData>
  <sheetProtection formatCells="0" formatColumns="0" formatRows="0" insertRows="0" insertColumns="0" insertHyperlinks="0" deleteColumns="0" deleteRows="0" sort="0" autoFilter="0" pivotTables="0"/>
  <mergeCells count="46">
    <mergeCell ref="A2:H2"/>
    <mergeCell ref="E3:H3"/>
    <mergeCell ref="A3:A4"/>
    <mergeCell ref="A5:A8"/>
    <mergeCell ref="A9:A11"/>
    <mergeCell ref="A12:A13"/>
    <mergeCell ref="A14:A15"/>
    <mergeCell ref="A16:A17"/>
    <mergeCell ref="A19:A20"/>
    <mergeCell ref="A21:A26"/>
    <mergeCell ref="A27:A28"/>
    <mergeCell ref="A29:A31"/>
    <mergeCell ref="A32:A33"/>
    <mergeCell ref="A34:A36"/>
    <mergeCell ref="A37:A38"/>
    <mergeCell ref="A39:A40"/>
    <mergeCell ref="A41:A42"/>
    <mergeCell ref="A43:A45"/>
    <mergeCell ref="A46:A48"/>
    <mergeCell ref="A49:A51"/>
    <mergeCell ref="A52:A54"/>
    <mergeCell ref="A55:A57"/>
    <mergeCell ref="A58:A61"/>
    <mergeCell ref="B3:B4"/>
    <mergeCell ref="B5:B8"/>
    <mergeCell ref="B9:B11"/>
    <mergeCell ref="B12:B13"/>
    <mergeCell ref="B14:B15"/>
    <mergeCell ref="B16:B17"/>
    <mergeCell ref="B19:B20"/>
    <mergeCell ref="B21:B26"/>
    <mergeCell ref="B27:B28"/>
    <mergeCell ref="B29:B31"/>
    <mergeCell ref="B32:B33"/>
    <mergeCell ref="B34:B36"/>
    <mergeCell ref="B37:B38"/>
    <mergeCell ref="B39:B40"/>
    <mergeCell ref="B41:B42"/>
    <mergeCell ref="B43:B45"/>
    <mergeCell ref="B46:B48"/>
    <mergeCell ref="B49:B51"/>
    <mergeCell ref="B52:B54"/>
    <mergeCell ref="B55:B57"/>
    <mergeCell ref="B58:B61"/>
    <mergeCell ref="C3:C4"/>
    <mergeCell ref="D3:D4"/>
  </mergeCells>
  <pageMargins left="0.708333333333333" right="0.393055555555556" top="0.904861111111111" bottom="0.708333333333333" header="0.314583333333333" footer="0.393055555555556"/>
  <pageSetup paperSize="9" scale="76" orientation="portrait"/>
  <headerFooter>
    <oddFooter>&amp;C&amp;B第 &amp;P 页，共 &amp;N 页</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U77"/>
  <sheetViews>
    <sheetView zoomScale="115" zoomScaleNormal="115" topLeftCell="A24" workbookViewId="0">
      <selection activeCell="G5" sqref="G5:G37"/>
    </sheetView>
  </sheetViews>
  <sheetFormatPr defaultColWidth="8.7962962962963" defaultRowHeight="14.4"/>
  <cols>
    <col min="1" max="1" width="9.92592592592593" style="24" customWidth="1"/>
    <col min="2" max="2" width="7.76851851851852" style="24" customWidth="1"/>
    <col min="3" max="3" width="18.3703703703704" style="24" customWidth="1"/>
    <col min="4" max="4" width="7.76851851851852" style="24" customWidth="1"/>
    <col min="5" max="5" width="13.462962962963" style="24" customWidth="1"/>
    <col min="6" max="6" width="13.1296296296296" style="24" customWidth="1"/>
    <col min="7" max="7" width="15.8796296296296" style="24" customWidth="1"/>
    <col min="8" max="8" width="7.0462962962963" style="24" customWidth="1"/>
    <col min="9" max="9" width="14.1944444444444" style="24" customWidth="1"/>
    <col min="10" max="11" width="12.8888888888889" style="24" customWidth="1"/>
    <col min="12" max="13" width="10.6388888888889" style="24" customWidth="1"/>
    <col min="14" max="15" width="13.3703703703704" style="24" customWidth="1"/>
    <col min="16" max="16" width="15.1296296296296" style="24" customWidth="1"/>
    <col min="17" max="17" width="13.3703703703704" style="24" customWidth="1"/>
    <col min="18" max="18" width="11.9444444444444" style="24" customWidth="1"/>
    <col min="19" max="19" width="17.1666666666667" style="123" customWidth="1"/>
    <col min="20" max="20" width="7.87962962962963" style="24" customWidth="1"/>
    <col min="21" max="21" width="12.6296296296296" style="24"/>
    <col min="22" max="22" width="5.75925925925926" style="24" customWidth="1"/>
    <col min="23" max="23" width="4.38888888888889" style="24"/>
    <col min="24" max="24" width="11.1296296296296" style="24"/>
    <col min="25" max="25" width="4.38888888888889" style="24"/>
    <col min="26" max="27" width="11.1296296296296" style="24"/>
    <col min="28" max="16353" width="4.38888888888889" style="24"/>
    <col min="16354" max="16359" width="3.60185185185185" style="24"/>
    <col min="16360" max="16384" width="8.7962962962963" style="24"/>
  </cols>
  <sheetData>
    <row r="1" s="24" customFormat="1" ht="20.4" spans="1:21">
      <c r="A1" s="25" t="s">
        <v>356</v>
      </c>
      <c r="B1" s="95"/>
      <c r="C1" s="95"/>
      <c r="D1" s="96"/>
      <c r="E1" s="97"/>
      <c r="F1" s="97"/>
      <c r="G1" s="98"/>
      <c r="S1" s="123"/>
    </row>
    <row r="2" s="27" customFormat="1" ht="29.4" spans="1:21">
      <c r="A2" s="124" t="s">
        <v>393</v>
      </c>
      <c r="B2" s="124"/>
      <c r="C2" s="124"/>
      <c r="D2" s="124"/>
      <c r="E2" s="124"/>
      <c r="F2" s="124"/>
      <c r="G2" s="124"/>
      <c r="N2" s="124" t="s">
        <v>394</v>
      </c>
      <c r="O2" s="124"/>
      <c r="P2" s="124"/>
      <c r="Q2" s="124"/>
      <c r="R2" s="124"/>
      <c r="S2" s="125"/>
    </row>
    <row r="3" s="18" customFormat="1" ht="16" customHeight="1" spans="1:21">
      <c r="A3" s="85" t="s">
        <v>348</v>
      </c>
      <c r="B3" s="85"/>
      <c r="C3" s="85"/>
      <c r="D3" s="85"/>
      <c r="E3" s="85"/>
      <c r="F3" s="85"/>
      <c r="G3" s="85"/>
      <c r="S3" s="126"/>
    </row>
    <row r="4" s="36" customFormat="1" ht="16" customHeight="1" spans="1:21">
      <c r="A4" s="32" t="s">
        <v>1</v>
      </c>
      <c r="B4" s="33" t="s">
        <v>10</v>
      </c>
      <c r="C4" s="33" t="s">
        <v>8</v>
      </c>
      <c r="D4" s="33" t="s">
        <v>11</v>
      </c>
      <c r="E4" s="33" t="s">
        <v>295</v>
      </c>
      <c r="F4" s="33" t="s">
        <v>395</v>
      </c>
      <c r="G4" s="35" t="s">
        <v>396</v>
      </c>
      <c r="L4" s="36" t="s">
        <v>397</v>
      </c>
      <c r="N4" s="102" t="s">
        <v>7</v>
      </c>
      <c r="O4" s="48" t="s">
        <v>10</v>
      </c>
      <c r="P4" s="48" t="s">
        <v>8</v>
      </c>
      <c r="Q4" s="48" t="s">
        <v>11</v>
      </c>
      <c r="R4" s="102" t="s">
        <v>398</v>
      </c>
      <c r="S4" s="127"/>
      <c r="U4" s="127"/>
    </row>
    <row r="5" s="36" customFormat="1" ht="16" customHeight="1" spans="1:21">
      <c r="A5" s="37">
        <f>ROW()-4</f>
        <v>1</v>
      </c>
      <c r="B5" s="38" t="s">
        <v>32</v>
      </c>
      <c r="C5" s="39" t="s">
        <v>307</v>
      </c>
      <c r="D5" s="38">
        <v>2</v>
      </c>
      <c r="E5" s="83">
        <f>SUMIFS(转置表!O:O,转置表!L:L,B5,转置表!J:J,C5,转置表!M:M,D5)</f>
        <v>3957</v>
      </c>
      <c r="F5" s="83">
        <v>323056.179775281</v>
      </c>
      <c r="G5" s="128">
        <f>F5/E5*0.9</f>
        <v>73.4775238306174</v>
      </c>
      <c r="I5" s="36">
        <f>E5*G5</f>
        <v>290750.561797753</v>
      </c>
      <c r="J5" s="36">
        <f>K5*E5</f>
        <v>261675.505617978</v>
      </c>
      <c r="K5" s="36">
        <f>G5*0.9</f>
        <v>66.1297714475556</v>
      </c>
      <c r="L5" s="23">
        <f>COUNTIFS(转置表!L:L,B5,转置表!J:J,C5,转置表!M:M,D5)</f>
        <v>2</v>
      </c>
      <c r="M5" s="23"/>
      <c r="N5" s="129" t="str">
        <f>转置表!I99</f>
        <v>板12-18</v>
      </c>
      <c r="O5" s="129" t="str">
        <f>转置表!L99</f>
        <v>定向井</v>
      </c>
      <c r="P5" s="129" t="str">
        <f>转置表!J99</f>
        <v>板桥（＜3500米）</v>
      </c>
      <c r="Q5" s="129">
        <f>转置表!M99</f>
        <v>2</v>
      </c>
      <c r="R5" s="130" t="s">
        <v>399</v>
      </c>
      <c r="S5" s="127"/>
      <c r="U5" s="127"/>
    </row>
    <row r="6" s="36" customFormat="1" ht="16" customHeight="1" spans="1:21">
      <c r="A6" s="37">
        <f>ROW()-4</f>
        <v>2</v>
      </c>
      <c r="B6" s="38" t="s">
        <v>32</v>
      </c>
      <c r="C6" s="39" t="s">
        <v>308</v>
      </c>
      <c r="D6" s="38">
        <v>2</v>
      </c>
      <c r="E6" s="83">
        <f>SUMIFS(转置表!O:O,转置表!L:L,B6,转置表!J:J,C6,转置表!M:M,D6)</f>
        <v>44234</v>
      </c>
      <c r="F6" s="83">
        <f>2239047.30640449+R13+R17+R18+R25+R26</f>
        <v>3279717.30640449</v>
      </c>
      <c r="G6" s="128">
        <f>F6/E6*0.9</f>
        <v>66.7302431560348</v>
      </c>
      <c r="J6" s="36">
        <f t="shared" ref="J6:J37" si="0">K6*E6</f>
        <v>2656571.01818764</v>
      </c>
      <c r="K6" s="36">
        <f t="shared" ref="K6:K37" si="1">G6*0.9</f>
        <v>60.0572188404313</v>
      </c>
      <c r="L6" s="23">
        <f>COUNTIFS(转置表!L:L,B6,转置表!J:J,C6,转置表!M:M,D6)</f>
        <v>14</v>
      </c>
      <c r="M6" s="23"/>
      <c r="N6" s="129" t="str">
        <f>转置表!I100</f>
        <v>板14-18</v>
      </c>
      <c r="O6" s="129" t="str">
        <f>转置表!L100</f>
        <v>定向井</v>
      </c>
      <c r="P6" s="129" t="str">
        <f>转置表!J100</f>
        <v>板桥（＜3500米）</v>
      </c>
      <c r="Q6" s="129">
        <f>转置表!M100</f>
        <v>2</v>
      </c>
      <c r="R6" s="130" t="s">
        <v>399</v>
      </c>
      <c r="S6" s="127"/>
      <c r="U6" s="127"/>
    </row>
    <row r="7" s="36" customFormat="1" ht="16" customHeight="1" spans="1:21">
      <c r="A7" s="37">
        <f t="shared" ref="A7:A16" si="2">ROW()-4</f>
        <v>3</v>
      </c>
      <c r="B7" s="38" t="s">
        <v>32</v>
      </c>
      <c r="C7" s="39" t="s">
        <v>309</v>
      </c>
      <c r="D7" s="38">
        <v>2</v>
      </c>
      <c r="E7" s="83">
        <f>SUMIFS(转置表!O:O,转置表!L:L,B7,转置表!J:J,C7,转置表!M:M,D7)</f>
        <v>21858</v>
      </c>
      <c r="F7" s="83">
        <v>2111417.226</v>
      </c>
      <c r="G7" s="128">
        <f>F7/E7*0.9</f>
        <v>86.9373</v>
      </c>
      <c r="J7" s="36">
        <f t="shared" si="0"/>
        <v>1710247.95306</v>
      </c>
      <c r="K7" s="36">
        <f t="shared" si="1"/>
        <v>78.24357</v>
      </c>
      <c r="L7" s="23">
        <f>COUNTIFS(转置表!L:L,B7,转置表!J:J,C7,转置表!M:M,D7)</f>
        <v>6</v>
      </c>
      <c r="M7" s="23"/>
      <c r="N7" s="129" t="str">
        <f>转置表!I101</f>
        <v>张海31-43</v>
      </c>
      <c r="O7" s="129" t="str">
        <f>转置表!L101</f>
        <v>定向井</v>
      </c>
      <c r="P7" s="129" t="str">
        <f>转置表!J101</f>
        <v>埕海（≥4000米）</v>
      </c>
      <c r="Q7" s="129">
        <f>转置表!M101</f>
        <v>3</v>
      </c>
      <c r="R7" s="130" t="s">
        <v>399</v>
      </c>
      <c r="S7" s="127"/>
      <c r="U7" s="127"/>
    </row>
    <row r="8" s="36" customFormat="1" ht="16" customHeight="1" spans="1:21">
      <c r="A8" s="37">
        <f t="shared" si="2"/>
        <v>4</v>
      </c>
      <c r="B8" s="38" t="s">
        <v>32</v>
      </c>
      <c r="C8" s="39" t="s">
        <v>310</v>
      </c>
      <c r="D8" s="38">
        <v>2</v>
      </c>
      <c r="E8" s="83">
        <f>SUMIFS(转置表!O:O,转置表!L:L,B8,转置表!J:J,C8,转置表!M:M,D8)</f>
        <v>3835</v>
      </c>
      <c r="F8" s="83">
        <v>177165.495</v>
      </c>
      <c r="G8" s="42">
        <f t="shared" ref="G6:G38" si="3">F8/E8</f>
        <v>46.197</v>
      </c>
      <c r="J8" s="36">
        <f t="shared" si="0"/>
        <v>159448.9455</v>
      </c>
      <c r="K8" s="36">
        <f t="shared" si="1"/>
        <v>41.5773</v>
      </c>
      <c r="L8" s="23">
        <f>COUNTIFS(转置表!L:L,B8,转置表!J:J,C8,转置表!M:M,D8)</f>
        <v>2</v>
      </c>
      <c r="M8" s="23"/>
      <c r="N8" s="129" t="str">
        <f>转置表!I102</f>
        <v>南港13-6</v>
      </c>
      <c r="O8" s="129" t="str">
        <f>转置表!L102</f>
        <v>定向井</v>
      </c>
      <c r="P8" s="129" t="str">
        <f>转置表!J102</f>
        <v>唐东（开发井）</v>
      </c>
      <c r="Q8" s="129">
        <f>转置表!M102</f>
        <v>3</v>
      </c>
      <c r="R8" s="130" t="s">
        <v>399</v>
      </c>
      <c r="S8" s="127"/>
      <c r="U8" s="127"/>
    </row>
    <row r="9" s="36" customFormat="1" ht="16" customHeight="1" spans="1:21">
      <c r="A9" s="37">
        <f t="shared" si="2"/>
        <v>5</v>
      </c>
      <c r="B9" s="38" t="s">
        <v>32</v>
      </c>
      <c r="C9" s="39" t="s">
        <v>311</v>
      </c>
      <c r="D9" s="38">
        <v>2</v>
      </c>
      <c r="E9" s="83">
        <f>SUMIFS(转置表!O:O,转置表!L:L,B9,转置表!J:J,C9,转置表!M:M,D9)</f>
        <v>12133</v>
      </c>
      <c r="F9" s="83">
        <v>788764.044943821</v>
      </c>
      <c r="G9" s="42">
        <f t="shared" si="3"/>
        <v>65.00981166602</v>
      </c>
      <c r="J9" s="36">
        <f t="shared" si="0"/>
        <v>709887.640449439</v>
      </c>
      <c r="K9" s="36">
        <f t="shared" si="1"/>
        <v>58.508830499418</v>
      </c>
      <c r="L9" s="23">
        <f>COUNTIFS(转置表!L:L,B9,转置表!J:J,C9,转置表!M:M,D9)</f>
        <v>8</v>
      </c>
      <c r="M9" s="23"/>
      <c r="N9" s="129" t="str">
        <f>转置表!I103</f>
        <v>南港20-10</v>
      </c>
      <c r="O9" s="129" t="str">
        <f>转置表!L103</f>
        <v>定向井</v>
      </c>
      <c r="P9" s="129" t="str">
        <f>转置表!J103</f>
        <v>唐东（开发井）</v>
      </c>
      <c r="Q9" s="129">
        <f>转置表!M103</f>
        <v>3</v>
      </c>
      <c r="R9" s="130" t="s">
        <v>399</v>
      </c>
      <c r="S9" s="127"/>
      <c r="U9" s="127"/>
    </row>
    <row r="10" s="36" customFormat="1" ht="16" customHeight="1" spans="1:21">
      <c r="A10" s="37">
        <f t="shared" si="2"/>
        <v>6</v>
      </c>
      <c r="B10" s="38" t="s">
        <v>32</v>
      </c>
      <c r="C10" s="39" t="s">
        <v>312</v>
      </c>
      <c r="D10" s="38">
        <v>2</v>
      </c>
      <c r="E10" s="83">
        <f>SUMIFS(转置表!O:O,转置表!L:L,B10,转置表!J:J,C10,转置表!M:M,D10)</f>
        <v>5497</v>
      </c>
      <c r="F10" s="83">
        <v>350561.797752809</v>
      </c>
      <c r="G10" s="42">
        <f t="shared" si="3"/>
        <v>63.7732941154828</v>
      </c>
      <c r="J10" s="36">
        <f t="shared" si="0"/>
        <v>315505.617977528</v>
      </c>
      <c r="K10" s="36">
        <f t="shared" si="1"/>
        <v>57.3959647039345</v>
      </c>
      <c r="L10" s="23">
        <f>COUNTIFS(转置表!L:L,B10,转置表!J:J,C10,转置表!M:M,D10)</f>
        <v>2</v>
      </c>
      <c r="M10" s="23"/>
      <c r="N10" s="129" t="str">
        <f>转置表!I104</f>
        <v>南港20-6</v>
      </c>
      <c r="O10" s="129" t="str">
        <f>转置表!L104</f>
        <v>定向井</v>
      </c>
      <c r="P10" s="129" t="str">
        <f>转置表!J104</f>
        <v>唐东（开发井）</v>
      </c>
      <c r="Q10" s="129">
        <f>转置表!M104</f>
        <v>3</v>
      </c>
      <c r="R10" s="130" t="s">
        <v>399</v>
      </c>
      <c r="S10" s="127"/>
      <c r="U10" s="127"/>
    </row>
    <row r="11" s="36" customFormat="1" ht="16" customHeight="1" spans="1:21">
      <c r="A11" s="37">
        <f t="shared" si="2"/>
        <v>7</v>
      </c>
      <c r="B11" s="38" t="s">
        <v>32</v>
      </c>
      <c r="C11" s="39" t="s">
        <v>313</v>
      </c>
      <c r="D11" s="38">
        <v>2</v>
      </c>
      <c r="E11" s="83">
        <f>SUMIFS(转置表!O:O,转置表!L:L,B11,转置表!J:J,C11,转置表!M:M,D11)</f>
        <v>3444</v>
      </c>
      <c r="F11" s="83">
        <v>118752.48</v>
      </c>
      <c r="G11" s="42">
        <f t="shared" si="3"/>
        <v>34.4809756097561</v>
      </c>
      <c r="J11" s="36">
        <f t="shared" si="0"/>
        <v>106877.232</v>
      </c>
      <c r="K11" s="36">
        <f t="shared" si="1"/>
        <v>31.0328780487805</v>
      </c>
      <c r="L11" s="23">
        <f>COUNTIFS(转置表!L:L,B11,转置表!J:J,C11,转置表!M:M,D11)</f>
        <v>2</v>
      </c>
      <c r="M11" s="23"/>
      <c r="N11" s="129" t="str">
        <f>转置表!I105</f>
        <v>新华105H</v>
      </c>
      <c r="O11" s="129" t="str">
        <f>转置表!L105</f>
        <v>水平井</v>
      </c>
      <c r="P11" s="129" t="str">
        <f>转置表!J105</f>
        <v>新华</v>
      </c>
      <c r="Q11" s="129">
        <f>转置表!M105</f>
        <v>3</v>
      </c>
      <c r="R11" s="131">
        <v>1470829.73033708</v>
      </c>
      <c r="S11" s="127"/>
      <c r="U11" s="127"/>
    </row>
    <row r="12" s="36" customFormat="1" ht="16" customHeight="1" spans="1:21">
      <c r="A12" s="37">
        <f t="shared" si="2"/>
        <v>8</v>
      </c>
      <c r="B12" s="38" t="s">
        <v>32</v>
      </c>
      <c r="C12" s="39" t="s">
        <v>314</v>
      </c>
      <c r="D12" s="38">
        <v>2</v>
      </c>
      <c r="E12" s="83">
        <f>SUMIFS(转置表!O:O,转置表!L:L,B12,转置表!J:J,C12,转置表!M:M,D12)</f>
        <v>2492</v>
      </c>
      <c r="F12" s="83">
        <v>125013.672</v>
      </c>
      <c r="G12" s="42">
        <f t="shared" si="3"/>
        <v>50.166</v>
      </c>
      <c r="J12" s="36">
        <f t="shared" si="0"/>
        <v>112512.3048</v>
      </c>
      <c r="K12" s="36">
        <f t="shared" si="1"/>
        <v>45.1494</v>
      </c>
      <c r="L12" s="23">
        <f>COUNTIFS(转置表!L:L,B12,转置表!J:J,C12,转置表!M:M,D12)</f>
        <v>1</v>
      </c>
      <c r="M12" s="23"/>
      <c r="N12" s="129" t="str">
        <f>转置表!I106</f>
        <v>唐东20X6</v>
      </c>
      <c r="O12" s="129" t="str">
        <f>转置表!L106</f>
        <v>定向井</v>
      </c>
      <c r="P12" s="129" t="str">
        <f>转置表!J106</f>
        <v>唐东（探评井）</v>
      </c>
      <c r="Q12" s="129">
        <f>转置表!M106</f>
        <v>3</v>
      </c>
      <c r="R12" s="130" t="s">
        <v>399</v>
      </c>
      <c r="S12" s="127"/>
      <c r="U12" s="127"/>
    </row>
    <row r="13" s="36" customFormat="1" ht="16" customHeight="1" spans="1:21">
      <c r="A13" s="37">
        <f t="shared" si="2"/>
        <v>9</v>
      </c>
      <c r="B13" s="38" t="s">
        <v>32</v>
      </c>
      <c r="C13" s="39" t="s">
        <v>315</v>
      </c>
      <c r="D13" s="38">
        <v>2</v>
      </c>
      <c r="E13" s="83">
        <f>SUMIFS(转置表!O:O,转置表!L:L,B13,转置表!J:J,C13,转置表!M:M,D13)</f>
        <v>3321</v>
      </c>
      <c r="F13" s="83">
        <v>178584.269662922</v>
      </c>
      <c r="G13" s="42">
        <f t="shared" si="3"/>
        <v>53.7742456076248</v>
      </c>
      <c r="J13" s="36">
        <f t="shared" si="0"/>
        <v>160725.84269663</v>
      </c>
      <c r="K13" s="36">
        <f t="shared" si="1"/>
        <v>48.3968210468623</v>
      </c>
      <c r="L13" s="23">
        <f>COUNTIFS(转置表!L:L,B13,转置表!J:J,C13,转置表!M:M,D13)</f>
        <v>1</v>
      </c>
      <c r="M13" s="23"/>
      <c r="N13" s="102" t="s">
        <v>400</v>
      </c>
      <c r="O13" s="102" t="s">
        <v>32</v>
      </c>
      <c r="P13" s="132" t="str">
        <f>转置表!J107</f>
        <v>板桥（＜3500米）</v>
      </c>
      <c r="Q13" s="102">
        <f>转置表!M107</f>
        <v>2</v>
      </c>
      <c r="R13" s="133">
        <v>207405</v>
      </c>
      <c r="S13" s="127" t="s">
        <v>399</v>
      </c>
      <c r="U13" s="127"/>
    </row>
    <row r="14" s="36" customFormat="1" ht="16" customHeight="1" spans="1:21">
      <c r="A14" s="37">
        <f t="shared" si="2"/>
        <v>10</v>
      </c>
      <c r="B14" s="38" t="s">
        <v>32</v>
      </c>
      <c r="C14" s="39" t="s">
        <v>316</v>
      </c>
      <c r="D14" s="38">
        <v>2</v>
      </c>
      <c r="E14" s="83">
        <f>SUMIFS(转置表!O:O,转置表!L:L,B14,转置表!J:J,C14,转置表!M:M,D14)</f>
        <v>16455</v>
      </c>
      <c r="F14" s="83">
        <v>991491.192</v>
      </c>
      <c r="G14" s="42">
        <f t="shared" si="3"/>
        <v>60.2547062898815</v>
      </c>
      <c r="J14" s="36">
        <f t="shared" si="0"/>
        <v>892342.0728</v>
      </c>
      <c r="K14" s="36">
        <f t="shared" si="1"/>
        <v>54.2292356608934</v>
      </c>
      <c r="L14" s="23">
        <f>COUNTIFS(转置表!L:L,B14,转置表!J:J,C14,转置表!M:M,D14)</f>
        <v>5</v>
      </c>
      <c r="M14" s="23"/>
      <c r="N14" s="102" t="s">
        <v>401</v>
      </c>
      <c r="O14" s="102" t="s">
        <v>32</v>
      </c>
      <c r="P14" s="39" t="s">
        <v>324</v>
      </c>
      <c r="Q14" s="102">
        <v>3</v>
      </c>
      <c r="R14" s="133">
        <v>278080</v>
      </c>
      <c r="S14" s="127" t="s">
        <v>399</v>
      </c>
      <c r="U14" s="127"/>
    </row>
    <row r="15" s="36" customFormat="1" ht="16" customHeight="1" spans="1:21">
      <c r="A15" s="37">
        <f t="shared" ref="A15:A37" si="4">ROW()-4</f>
        <v>11</v>
      </c>
      <c r="B15" s="38" t="s">
        <v>32</v>
      </c>
      <c r="C15" s="39" t="s">
        <v>317</v>
      </c>
      <c r="D15" s="38">
        <v>2</v>
      </c>
      <c r="E15" s="83">
        <f>SUMIFS(转置表!O:O,转置表!L:L,B15,转置表!J:J,C15,转置表!M:M,D15)</f>
        <v>2468</v>
      </c>
      <c r="F15" s="83">
        <v>195776.568</v>
      </c>
      <c r="G15" s="42">
        <f t="shared" si="3"/>
        <v>79.326</v>
      </c>
      <c r="J15" s="36">
        <f t="shared" si="0"/>
        <v>176198.9112</v>
      </c>
      <c r="K15" s="36">
        <f t="shared" si="1"/>
        <v>71.3934</v>
      </c>
      <c r="L15" s="23">
        <f>COUNTIFS(转置表!L:L,B15,转置表!J:J,C15,转置表!M:M,D15)</f>
        <v>1</v>
      </c>
      <c r="M15" s="23"/>
      <c r="N15" s="102" t="s">
        <v>402</v>
      </c>
      <c r="O15" s="102" t="s">
        <v>32</v>
      </c>
      <c r="P15" s="39" t="s">
        <v>327</v>
      </c>
      <c r="Q15" s="102">
        <v>3</v>
      </c>
      <c r="R15" s="133">
        <v>756437</v>
      </c>
      <c r="S15" s="127" t="s">
        <v>399</v>
      </c>
      <c r="U15" s="127"/>
    </row>
    <row r="16" s="36" customFormat="1" ht="16" customHeight="1" spans="1:21">
      <c r="A16" s="37">
        <f t="shared" si="4"/>
        <v>12</v>
      </c>
      <c r="B16" s="38" t="s">
        <v>32</v>
      </c>
      <c r="C16" s="39" t="s">
        <v>318</v>
      </c>
      <c r="D16" s="38">
        <v>2</v>
      </c>
      <c r="E16" s="83">
        <f>SUMIFS(转置表!O:O,转置表!L:L,B16,转置表!J:J,C16,转置表!M:M,D16)</f>
        <v>9956</v>
      </c>
      <c r="F16" s="83">
        <v>1080171.9</v>
      </c>
      <c r="G16" s="42">
        <f t="shared" si="3"/>
        <v>108.4945660908</v>
      </c>
      <c r="J16" s="36">
        <f t="shared" si="0"/>
        <v>972154.71</v>
      </c>
      <c r="K16" s="36">
        <f t="shared" si="1"/>
        <v>97.6451094817196</v>
      </c>
      <c r="L16" s="23">
        <f>COUNTIFS(转置表!L:L,B16,转置表!J:J,C16,转置表!M:M,D16)</f>
        <v>2</v>
      </c>
      <c r="M16" s="23"/>
      <c r="N16" s="102" t="s">
        <v>403</v>
      </c>
      <c r="O16" s="102" t="s">
        <v>38</v>
      </c>
      <c r="P16" s="102" t="s">
        <v>322</v>
      </c>
      <c r="Q16" s="102"/>
      <c r="R16" s="134">
        <v>1535967.60299625</v>
      </c>
      <c r="S16" s="127" t="s">
        <v>404</v>
      </c>
      <c r="T16" s="127" t="s">
        <v>404</v>
      </c>
      <c r="U16" s="127"/>
    </row>
    <row r="17" s="36" customFormat="1" ht="16" customHeight="1" spans="1:21">
      <c r="A17" s="37">
        <f t="shared" si="4"/>
        <v>13</v>
      </c>
      <c r="B17" s="38" t="s">
        <v>32</v>
      </c>
      <c r="C17" s="45" t="s">
        <v>319</v>
      </c>
      <c r="D17" s="38">
        <v>2</v>
      </c>
      <c r="E17" s="83">
        <f>SUMIFS(转置表!O:O,转置表!L:L,B17,转置表!J:J,C17,转置表!M:M,D17)</f>
        <v>4402</v>
      </c>
      <c r="F17" s="83">
        <v>219681.81</v>
      </c>
      <c r="G17" s="42">
        <f t="shared" si="3"/>
        <v>49.905</v>
      </c>
      <c r="J17" s="36">
        <f t="shared" si="0"/>
        <v>197713.629</v>
      </c>
      <c r="K17" s="36">
        <f t="shared" si="1"/>
        <v>44.9145</v>
      </c>
      <c r="L17" s="23">
        <f>COUNTIFS(转置表!L:L,B17,转置表!J:J,C17,转置表!M:M,D17)</f>
        <v>2</v>
      </c>
      <c r="M17" s="23"/>
      <c r="N17" s="102" t="s">
        <v>405</v>
      </c>
      <c r="O17" s="102" t="s">
        <v>32</v>
      </c>
      <c r="P17" s="39" t="s">
        <v>308</v>
      </c>
      <c r="Q17" s="102">
        <v>2</v>
      </c>
      <c r="R17" s="133">
        <v>259771</v>
      </c>
      <c r="S17" s="127" t="s">
        <v>399</v>
      </c>
      <c r="U17" s="127"/>
    </row>
    <row r="18" s="24" customFormat="1" ht="16" customHeight="1" spans="1:21">
      <c r="A18" s="37">
        <f t="shared" si="4"/>
        <v>14</v>
      </c>
      <c r="B18" s="38" t="s">
        <v>32</v>
      </c>
      <c r="C18" s="39" t="s">
        <v>320</v>
      </c>
      <c r="D18" s="38">
        <v>2</v>
      </c>
      <c r="E18" s="83">
        <f>SUMIFS(转置表!O:O,转置表!L:L,B18,转置表!J:J,C18,转置表!M:M,D18)</f>
        <v>2775</v>
      </c>
      <c r="F18" s="83">
        <v>229345.425</v>
      </c>
      <c r="G18" s="42">
        <f t="shared" si="3"/>
        <v>82.647</v>
      </c>
      <c r="J18" s="36">
        <f t="shared" si="0"/>
        <v>206410.8825</v>
      </c>
      <c r="K18" s="36">
        <f t="shared" si="1"/>
        <v>74.3823</v>
      </c>
      <c r="L18" s="23">
        <f>COUNTIFS(转置表!L:L,B18,转置表!J:J,C18,转置表!M:M,D18)</f>
        <v>1</v>
      </c>
      <c r="M18" s="23"/>
      <c r="N18" s="102" t="s">
        <v>406</v>
      </c>
      <c r="O18" s="102" t="s">
        <v>32</v>
      </c>
      <c r="P18" s="132" t="s">
        <v>308</v>
      </c>
      <c r="Q18" s="102">
        <v>2</v>
      </c>
      <c r="R18" s="133">
        <v>285904</v>
      </c>
      <c r="S18" s="127"/>
      <c r="U18" s="123"/>
    </row>
    <row r="19" s="24" customFormat="1" ht="16" customHeight="1" spans="1:21">
      <c r="A19" s="37">
        <f t="shared" si="4"/>
        <v>15</v>
      </c>
      <c r="B19" s="38" t="s">
        <v>32</v>
      </c>
      <c r="C19" s="39" t="s">
        <v>321</v>
      </c>
      <c r="D19" s="38">
        <v>2</v>
      </c>
      <c r="E19" s="83">
        <f>SUMIFS(转置表!O:O,转置表!L:L,B19,转置表!J:J,C19,转置表!M:M,D19)</f>
        <v>10593</v>
      </c>
      <c r="F19" s="83">
        <v>887015.448</v>
      </c>
      <c r="G19" s="42">
        <f t="shared" si="3"/>
        <v>83.736</v>
      </c>
      <c r="J19" s="36">
        <f t="shared" si="0"/>
        <v>798313.9032</v>
      </c>
      <c r="K19" s="36">
        <f t="shared" si="1"/>
        <v>75.3624</v>
      </c>
      <c r="L19" s="23">
        <f>COUNTIFS(转置表!L:L,B19,转置表!J:J,C19,转置表!M:M,D19)</f>
        <v>4</v>
      </c>
      <c r="M19" s="23"/>
      <c r="N19" s="102" t="s">
        <v>337</v>
      </c>
      <c r="O19" s="102" t="s">
        <v>32</v>
      </c>
      <c r="P19" s="102" t="s">
        <v>310</v>
      </c>
      <c r="Q19" s="102">
        <v>3</v>
      </c>
      <c r="R19" s="134">
        <v>1410133.1835206</v>
      </c>
      <c r="S19" s="24" t="s">
        <v>407</v>
      </c>
      <c r="T19" s="24" t="s">
        <v>407</v>
      </c>
      <c r="U19" s="123"/>
    </row>
    <row r="20" s="24" customFormat="1" ht="16" customHeight="1" spans="1:21">
      <c r="A20" s="37">
        <f t="shared" si="4"/>
        <v>16</v>
      </c>
      <c r="B20" s="38" t="s">
        <v>38</v>
      </c>
      <c r="C20" s="39" t="s">
        <v>30</v>
      </c>
      <c r="D20" s="38">
        <v>2</v>
      </c>
      <c r="E20" s="83">
        <f>SUMIFS(转置表!O:O,转置表!L:L,B20,转置表!J:J,C20,转置表!M:M,D20)</f>
        <v>19739</v>
      </c>
      <c r="F20" s="83">
        <v>1276260.21</v>
      </c>
      <c r="G20" s="42">
        <f t="shared" si="3"/>
        <v>64.6567814985562</v>
      </c>
      <c r="J20" s="36">
        <f t="shared" si="0"/>
        <v>1148634.189</v>
      </c>
      <c r="K20" s="36">
        <f t="shared" si="1"/>
        <v>58.1911033487005</v>
      </c>
      <c r="L20" s="23">
        <f>COUNTIFS(转置表!L:L,B20,转置表!J:J,C20,转置表!M:M,D20)</f>
        <v>8</v>
      </c>
      <c r="M20" s="23"/>
      <c r="N20" s="102" t="s">
        <v>408</v>
      </c>
      <c r="O20" s="102" t="s">
        <v>32</v>
      </c>
      <c r="P20" s="39" t="s">
        <v>328</v>
      </c>
      <c r="Q20" s="102">
        <v>3</v>
      </c>
      <c r="R20" s="134">
        <f>1792994+20*10000/2.67</f>
        <v>1867900.3670412</v>
      </c>
      <c r="S20" s="127"/>
      <c r="U20" s="123"/>
    </row>
    <row r="21" s="24" customFormat="1" ht="16" customHeight="1" spans="1:21">
      <c r="A21" s="37">
        <f t="shared" si="4"/>
        <v>17</v>
      </c>
      <c r="B21" s="38" t="s">
        <v>38</v>
      </c>
      <c r="C21" s="39" t="s">
        <v>322</v>
      </c>
      <c r="D21" s="38">
        <v>2</v>
      </c>
      <c r="E21" s="83">
        <f>SUMIFS(转置表!O:O,转置表!L:L,B21,转置表!J:J,C21,转置表!M:M,D21)</f>
        <v>4804</v>
      </c>
      <c r="F21" s="83">
        <v>604309.572</v>
      </c>
      <c r="G21" s="42">
        <f t="shared" si="3"/>
        <v>125.793</v>
      </c>
      <c r="J21" s="36">
        <f t="shared" si="0"/>
        <v>543878.6148</v>
      </c>
      <c r="K21" s="36">
        <f t="shared" si="1"/>
        <v>113.2137</v>
      </c>
      <c r="L21" s="23">
        <f>COUNTIFS(转置表!L:L,B21,转置表!J:J,C21,转置表!M:M,D21)</f>
        <v>1</v>
      </c>
      <c r="M21" s="23"/>
      <c r="N21" s="102" t="s">
        <v>336</v>
      </c>
      <c r="O21" s="102" t="s">
        <v>32</v>
      </c>
      <c r="P21" s="102" t="s">
        <v>409</v>
      </c>
      <c r="Q21" s="102">
        <v>3</v>
      </c>
      <c r="R21" s="134">
        <v>1074544</v>
      </c>
      <c r="S21" s="127" t="s">
        <v>399</v>
      </c>
      <c r="U21" s="123"/>
    </row>
    <row r="22" s="24" customFormat="1" ht="16" customHeight="1" spans="1:21">
      <c r="A22" s="37">
        <f t="shared" si="4"/>
        <v>18</v>
      </c>
      <c r="B22" s="38" t="s">
        <v>38</v>
      </c>
      <c r="C22" s="39" t="s">
        <v>323</v>
      </c>
      <c r="D22" s="38">
        <v>2</v>
      </c>
      <c r="E22" s="83">
        <f>SUMIFS(转置表!O:O,转置表!L:L,B22,转置表!J:J,C22,转置表!M:M,D22)</f>
        <v>18574</v>
      </c>
      <c r="F22" s="83">
        <v>1862764.1712</v>
      </c>
      <c r="G22" s="42">
        <f t="shared" si="3"/>
        <v>100.2888</v>
      </c>
      <c r="J22" s="36">
        <f t="shared" si="0"/>
        <v>1676487.75408</v>
      </c>
      <c r="K22" s="36">
        <f t="shared" si="1"/>
        <v>90.25992</v>
      </c>
      <c r="L22" s="23">
        <f>COUNTIFS(转置表!L:L,B22,转置表!J:J,C22,转置表!M:M,D22)</f>
        <v>3</v>
      </c>
      <c r="M22" s="23"/>
      <c r="N22" s="102" t="s">
        <v>410</v>
      </c>
      <c r="O22" s="102" t="s">
        <v>32</v>
      </c>
      <c r="P22" s="39" t="s">
        <v>325</v>
      </c>
      <c r="Q22" s="102">
        <v>3</v>
      </c>
      <c r="R22" s="133">
        <v>458502</v>
      </c>
      <c r="S22" s="127"/>
      <c r="U22" s="123"/>
    </row>
    <row r="23" s="24" customFormat="1" ht="16" customHeight="1" spans="1:21">
      <c r="A23" s="37">
        <f t="shared" si="4"/>
        <v>19</v>
      </c>
      <c r="B23" s="38" t="s">
        <v>38</v>
      </c>
      <c r="C23" s="39" t="s">
        <v>321</v>
      </c>
      <c r="D23" s="38">
        <v>2</v>
      </c>
      <c r="E23" s="83">
        <f>SUMIFS(转置表!O:O,转置表!L:L,B23,转置表!J:J,C23,转置表!M:M,D23)</f>
        <v>8000</v>
      </c>
      <c r="F23" s="83">
        <v>705888</v>
      </c>
      <c r="G23" s="42">
        <f t="shared" si="3"/>
        <v>88.236</v>
      </c>
      <c r="J23" s="36">
        <f t="shared" si="0"/>
        <v>635299.2</v>
      </c>
      <c r="K23" s="36">
        <f t="shared" si="1"/>
        <v>79.4124</v>
      </c>
      <c r="L23" s="23">
        <f>COUNTIFS(转置表!L:L,B23,转置表!J:J,C23,转置表!M:M,D23)</f>
        <v>2</v>
      </c>
      <c r="M23" s="23"/>
      <c r="N23" s="102" t="s">
        <v>338</v>
      </c>
      <c r="O23" s="102" t="s">
        <v>32</v>
      </c>
      <c r="P23" s="102" t="s">
        <v>313</v>
      </c>
      <c r="Q23" s="102">
        <v>2</v>
      </c>
      <c r="R23" s="134">
        <v>207888</v>
      </c>
      <c r="S23" s="127" t="s">
        <v>399</v>
      </c>
      <c r="U23" s="123"/>
    </row>
    <row r="24" s="24" customFormat="1" ht="16" customHeight="1" spans="1:21">
      <c r="A24" s="37">
        <f t="shared" si="4"/>
        <v>20</v>
      </c>
      <c r="B24" s="38" t="s">
        <v>32</v>
      </c>
      <c r="C24" s="39" t="s">
        <v>30</v>
      </c>
      <c r="D24" s="38">
        <v>3</v>
      </c>
      <c r="E24" s="83">
        <f>SUMIFS(转置表!O:O,转置表!L:L,B24,转置表!J:J,C24,转置表!M:M,D24)</f>
        <v>18653</v>
      </c>
      <c r="F24" s="83">
        <v>1688506.866</v>
      </c>
      <c r="G24" s="42">
        <f t="shared" si="3"/>
        <v>90.522</v>
      </c>
      <c r="J24" s="36">
        <f t="shared" si="0"/>
        <v>1519656.1794</v>
      </c>
      <c r="K24" s="36">
        <f t="shared" si="1"/>
        <v>81.4698</v>
      </c>
      <c r="L24" s="23">
        <f>COUNTIFS(转置表!L:L,B24,转置表!J:J,C24,转置表!M:M,D24)</f>
        <v>5</v>
      </c>
      <c r="M24" s="23"/>
      <c r="N24" s="102" t="s">
        <v>411</v>
      </c>
      <c r="O24" s="102" t="s">
        <v>32</v>
      </c>
      <c r="P24" s="39" t="s">
        <v>324</v>
      </c>
      <c r="Q24" s="102">
        <v>3</v>
      </c>
      <c r="R24" s="133">
        <v>313200</v>
      </c>
      <c r="S24" s="123"/>
      <c r="U24" s="123"/>
    </row>
    <row r="25" s="24" customFormat="1" ht="16" customHeight="1" spans="1:21">
      <c r="A25" s="37">
        <f t="shared" si="4"/>
        <v>21</v>
      </c>
      <c r="B25" s="38" t="s">
        <v>32</v>
      </c>
      <c r="C25" s="39" t="s">
        <v>324</v>
      </c>
      <c r="D25" s="38">
        <v>3</v>
      </c>
      <c r="E25" s="83">
        <f>SUMIFS(转置表!O:O,转置表!L:L,B25,转置表!J:J,C25,转置表!M:M,D25)</f>
        <v>7594</v>
      </c>
      <c r="F25" s="83">
        <f>(230005+R14+R23)</f>
        <v>715973</v>
      </c>
      <c r="G25" s="128">
        <f>F25/E25*1.1</f>
        <v>103.709547010798</v>
      </c>
      <c r="J25" s="36">
        <f t="shared" si="0"/>
        <v>708813.27</v>
      </c>
      <c r="K25" s="36">
        <f t="shared" si="1"/>
        <v>93.3385923097182</v>
      </c>
      <c r="L25" s="23">
        <f>COUNTIFS(转置表!L:L,B25,转置表!J:J,C25,转置表!M:M,D25)</f>
        <v>2</v>
      </c>
      <c r="M25" s="23"/>
      <c r="N25" s="102" t="s">
        <v>412</v>
      </c>
      <c r="O25" s="102" t="s">
        <v>32</v>
      </c>
      <c r="P25" s="39" t="s">
        <v>308</v>
      </c>
      <c r="Q25" s="102">
        <v>2</v>
      </c>
      <c r="R25" s="133">
        <v>117834</v>
      </c>
      <c r="S25" s="127" t="s">
        <v>399</v>
      </c>
      <c r="U25" s="123"/>
    </row>
    <row r="26" s="24" customFormat="1" ht="16" customHeight="1" spans="1:21">
      <c r="A26" s="37">
        <f t="shared" si="4"/>
        <v>22</v>
      </c>
      <c r="B26" s="38" t="s">
        <v>32</v>
      </c>
      <c r="C26" s="39" t="s">
        <v>325</v>
      </c>
      <c r="D26" s="38">
        <v>3</v>
      </c>
      <c r="E26" s="83">
        <f>SUMIFS(转置表!O:O,转置表!L:L,B26,转置表!J:J,C26,转置表!M:M,D26)</f>
        <v>23072</v>
      </c>
      <c r="F26" s="83">
        <f>2186773.9776+R22</f>
        <v>2645275.9776</v>
      </c>
      <c r="G26" s="42">
        <f t="shared" ref="G26:G46" si="5">F26/E26</f>
        <v>114.653085020804</v>
      </c>
      <c r="J26" s="36">
        <f t="shared" si="0"/>
        <v>2380748.37983999</v>
      </c>
      <c r="K26" s="36">
        <f t="shared" si="1"/>
        <v>103.187776518724</v>
      </c>
      <c r="L26" s="23">
        <f>COUNTIFS(转置表!L:L,B26,转置表!J:J,C26,转置表!M:M,D26)</f>
        <v>5</v>
      </c>
      <c r="M26" s="23"/>
      <c r="N26" s="102" t="s">
        <v>413</v>
      </c>
      <c r="O26" s="102" t="s">
        <v>32</v>
      </c>
      <c r="P26" s="39" t="s">
        <v>308</v>
      </c>
      <c r="Q26" s="102">
        <v>2</v>
      </c>
      <c r="R26" s="133">
        <v>169756</v>
      </c>
      <c r="S26" s="127" t="s">
        <v>399</v>
      </c>
      <c r="U26" s="123"/>
    </row>
    <row r="27" s="24" customFormat="1" ht="16" customHeight="1" spans="1:21">
      <c r="A27" s="37">
        <f t="shared" si="4"/>
        <v>23</v>
      </c>
      <c r="B27" s="38" t="s">
        <v>32</v>
      </c>
      <c r="C27" s="39" t="s">
        <v>323</v>
      </c>
      <c r="D27" s="38">
        <v>3</v>
      </c>
      <c r="E27" s="83">
        <f>SUMIFS(转置表!O:O,转置表!L:L,B27,转置表!J:J,C27,转置表!M:M,D27)</f>
        <v>3732</v>
      </c>
      <c r="F27" s="83">
        <v>544797.36</v>
      </c>
      <c r="G27" s="42">
        <f t="shared" si="5"/>
        <v>145.98</v>
      </c>
      <c r="J27" s="36">
        <f t="shared" si="0"/>
        <v>490317.624</v>
      </c>
      <c r="K27" s="36">
        <f t="shared" si="1"/>
        <v>131.382</v>
      </c>
      <c r="L27" s="23">
        <f>COUNTIFS(转置表!L:L,B27,转置表!J:J,C27,转置表!M:M,D27)</f>
        <v>1</v>
      </c>
      <c r="M27" s="23"/>
      <c r="N27" s="102" t="s">
        <v>339</v>
      </c>
      <c r="O27" s="102" t="s">
        <v>32</v>
      </c>
      <c r="P27" s="132" t="s">
        <v>371</v>
      </c>
      <c r="Q27" s="102">
        <v>2</v>
      </c>
      <c r="R27" s="133">
        <v>100600</v>
      </c>
      <c r="S27" s="123" t="s">
        <v>414</v>
      </c>
      <c r="U27" s="123"/>
    </row>
    <row r="28" s="19" customFormat="1" ht="16" customHeight="1" spans="1:21">
      <c r="A28" s="37">
        <f t="shared" si="4"/>
        <v>24</v>
      </c>
      <c r="B28" s="38" t="s">
        <v>32</v>
      </c>
      <c r="C28" s="39" t="s">
        <v>310</v>
      </c>
      <c r="D28" s="38">
        <v>3</v>
      </c>
      <c r="E28" s="83">
        <f>SUMIFS(转置表!O:O,转置表!L:L,B28,转置表!J:J,C28,转置表!M:M,D28)</f>
        <v>8427</v>
      </c>
      <c r="F28" s="83">
        <v>367685.393258427</v>
      </c>
      <c r="G28" s="42">
        <f t="shared" si="5"/>
        <v>43.6318254726981</v>
      </c>
      <c r="J28" s="36">
        <f t="shared" si="0"/>
        <v>330916.853932584</v>
      </c>
      <c r="K28" s="36">
        <f t="shared" si="1"/>
        <v>39.2686429254283</v>
      </c>
      <c r="L28" s="23">
        <f>COUNTIFS(转置表!L:L,B28,转置表!J:J,C28,转置表!M:M,D28)</f>
        <v>2</v>
      </c>
      <c r="M28" s="23"/>
      <c r="N28" s="102" t="s">
        <v>415</v>
      </c>
      <c r="O28" s="102" t="s">
        <v>32</v>
      </c>
      <c r="P28" s="132" t="s">
        <v>328</v>
      </c>
      <c r="Q28" s="102">
        <v>3</v>
      </c>
      <c r="R28" s="133">
        <v>776554</v>
      </c>
      <c r="S28" s="127" t="s">
        <v>399</v>
      </c>
      <c r="U28" s="135"/>
    </row>
    <row r="29" s="24" customFormat="1" ht="16" customHeight="1" spans="1:21">
      <c r="A29" s="37">
        <f t="shared" si="4"/>
        <v>25</v>
      </c>
      <c r="B29" s="38" t="s">
        <v>32</v>
      </c>
      <c r="C29" s="39" t="s">
        <v>326</v>
      </c>
      <c r="D29" s="38">
        <v>3</v>
      </c>
      <c r="E29" s="83">
        <f>SUMIFS(转置表!O:O,转置表!L:L,B29,转置表!J:J,C29,转置表!M:M,D29)</f>
        <v>10314</v>
      </c>
      <c r="F29" s="83">
        <v>1473891.228</v>
      </c>
      <c r="G29" s="42">
        <f t="shared" si="5"/>
        <v>142.902</v>
      </c>
      <c r="J29" s="36">
        <f t="shared" si="0"/>
        <v>1326502.1052</v>
      </c>
      <c r="K29" s="36">
        <f t="shared" si="1"/>
        <v>128.6118</v>
      </c>
      <c r="L29" s="23">
        <f>COUNTIFS(转置表!L:L,B29,转置表!J:J,C29,转置表!M:M,D29)</f>
        <v>2</v>
      </c>
      <c r="M29" s="23"/>
      <c r="N29" s="102" t="s">
        <v>340</v>
      </c>
      <c r="O29" s="102" t="s">
        <v>32</v>
      </c>
      <c r="P29" s="132" t="s">
        <v>316</v>
      </c>
      <c r="Q29" s="102">
        <v>2</v>
      </c>
      <c r="R29" s="133">
        <v>254379</v>
      </c>
      <c r="S29" s="123"/>
      <c r="U29" s="123"/>
    </row>
    <row r="30" s="24" customFormat="1" ht="16" customHeight="1" spans="1:21">
      <c r="A30" s="37">
        <f t="shared" si="4"/>
        <v>26</v>
      </c>
      <c r="B30" s="38" t="s">
        <v>32</v>
      </c>
      <c r="C30" s="39" t="s">
        <v>327</v>
      </c>
      <c r="D30" s="38">
        <v>3</v>
      </c>
      <c r="E30" s="83">
        <f>SUMIFS(转置表!O:O,转置表!L:L,B30,转置表!J:J,C30,转置表!M:M,D30)</f>
        <v>30995</v>
      </c>
      <c r="F30" s="83">
        <f>1696475.7+R15+R30+R34</f>
        <v>3428013.7</v>
      </c>
      <c r="G30" s="42">
        <f t="shared" si="5"/>
        <v>110.598925633167</v>
      </c>
      <c r="J30" s="36">
        <f t="shared" si="0"/>
        <v>3085212.33000001</v>
      </c>
      <c r="K30" s="36">
        <f t="shared" si="1"/>
        <v>99.5390330698503</v>
      </c>
      <c r="L30" s="23">
        <f>COUNTIFS(转置表!L:L,B30,转置表!J:J,C30,转置表!M:M,D30)</f>
        <v>7</v>
      </c>
      <c r="M30" s="23"/>
      <c r="N30" s="102" t="s">
        <v>416</v>
      </c>
      <c r="O30" s="102" t="s">
        <v>32</v>
      </c>
      <c r="P30" s="132" t="s">
        <v>327</v>
      </c>
      <c r="Q30" s="102">
        <v>3</v>
      </c>
      <c r="R30" s="133">
        <v>626030</v>
      </c>
      <c r="S30" s="127" t="s">
        <v>399</v>
      </c>
      <c r="U30" s="123"/>
    </row>
    <row r="31" s="24" customFormat="1" ht="16" customHeight="1" spans="1:21">
      <c r="A31" s="37">
        <f t="shared" si="4"/>
        <v>27</v>
      </c>
      <c r="B31" s="38" t="s">
        <v>32</v>
      </c>
      <c r="C31" s="39" t="s">
        <v>328</v>
      </c>
      <c r="D31" s="38">
        <v>3</v>
      </c>
      <c r="E31" s="83">
        <f>SUMIFS(转置表!O:O,转置表!L:L,B31,转置表!J:J,C31,转置表!M:M,D31)</f>
        <v>27892</v>
      </c>
      <c r="F31" s="83">
        <f>2340148.28426967+R28+R31</f>
        <v>3804249.28426967</v>
      </c>
      <c r="G31" s="42">
        <f t="shared" si="5"/>
        <v>136.392129795987</v>
      </c>
      <c r="J31" s="36">
        <f t="shared" si="0"/>
        <v>3423824.3558427</v>
      </c>
      <c r="K31" s="36">
        <f t="shared" si="1"/>
        <v>122.752916816388</v>
      </c>
      <c r="L31" s="23">
        <f>COUNTIFS(转置表!L:L,B31,转置表!J:J,C31,转置表!M:M,D31)</f>
        <v>5</v>
      </c>
      <c r="M31" s="23"/>
      <c r="N31" s="102" t="s">
        <v>417</v>
      </c>
      <c r="O31" s="102" t="s">
        <v>32</v>
      </c>
      <c r="P31" s="132" t="s">
        <v>328</v>
      </c>
      <c r="Q31" s="102">
        <v>3</v>
      </c>
      <c r="R31" s="133">
        <v>687547</v>
      </c>
      <c r="S31" s="127" t="s">
        <v>399</v>
      </c>
      <c r="U31" s="123"/>
    </row>
    <row r="32" s="24" customFormat="1" ht="16" customHeight="1" spans="1:21">
      <c r="A32" s="37">
        <f t="shared" si="4"/>
        <v>28</v>
      </c>
      <c r="B32" s="38" t="s">
        <v>32</v>
      </c>
      <c r="C32" s="39" t="s">
        <v>318</v>
      </c>
      <c r="D32" s="38">
        <v>3</v>
      </c>
      <c r="E32" s="83">
        <f>SUMIFS(转置表!O:O,转置表!L:L,B32,转置表!J:J,C32,转置表!M:M,D32)</f>
        <v>42074</v>
      </c>
      <c r="F32" s="83">
        <v>4782603.204</v>
      </c>
      <c r="G32" s="42">
        <f t="shared" si="5"/>
        <v>113.671226981033</v>
      </c>
      <c r="J32" s="36">
        <f t="shared" si="0"/>
        <v>4304342.88359998</v>
      </c>
      <c r="K32" s="36">
        <f t="shared" si="1"/>
        <v>102.30410428293</v>
      </c>
      <c r="L32" s="23">
        <f>COUNTIFS(转置表!L:L,B32,转置表!J:J,C32,转置表!M:M,D32)</f>
        <v>8</v>
      </c>
      <c r="M32" s="23"/>
      <c r="N32" s="102" t="s">
        <v>418</v>
      </c>
      <c r="O32" s="102" t="s">
        <v>32</v>
      </c>
      <c r="P32" s="132" t="s">
        <v>318</v>
      </c>
      <c r="Q32" s="102">
        <v>3</v>
      </c>
      <c r="R32" s="133">
        <f>1234495+239234</f>
        <v>1473729</v>
      </c>
      <c r="S32" s="123" t="s">
        <v>419</v>
      </c>
      <c r="U32" s="123"/>
    </row>
    <row r="33" s="24" customFormat="1" ht="16" customHeight="1" spans="1:21">
      <c r="A33" s="37">
        <f t="shared" si="4"/>
        <v>29</v>
      </c>
      <c r="B33" s="38" t="s">
        <v>38</v>
      </c>
      <c r="C33" s="39" t="s">
        <v>30</v>
      </c>
      <c r="D33" s="38">
        <v>3</v>
      </c>
      <c r="E33" s="83">
        <f>SUMIFS(转置表!O:O,转置表!L:L,B33,转置表!J:J,C33,转置表!M:M,D33)</f>
        <v>0</v>
      </c>
      <c r="F33" s="83">
        <v>185393.258426966</v>
      </c>
      <c r="G33" s="42" t="e">
        <f t="shared" si="5"/>
        <v>#DIV/0!</v>
      </c>
      <c r="J33" s="36" t="e">
        <f t="shared" si="0"/>
        <v>#DIV/0!</v>
      </c>
      <c r="K33" s="36" t="e">
        <f t="shared" si="1"/>
        <v>#DIV/0!</v>
      </c>
      <c r="L33" s="23">
        <f>COUNTIFS(转置表!L:L,B33,转置表!J:J,C33,转置表!M:M,D33)</f>
        <v>0</v>
      </c>
      <c r="M33" s="23"/>
      <c r="N33" s="102" t="s">
        <v>420</v>
      </c>
      <c r="O33" s="102" t="s">
        <v>32</v>
      </c>
      <c r="P33" s="132" t="s">
        <v>421</v>
      </c>
      <c r="Q33" s="102">
        <v>3</v>
      </c>
      <c r="R33" s="133">
        <v>621360</v>
      </c>
      <c r="S33" s="123" t="s">
        <v>414</v>
      </c>
      <c r="U33" s="123"/>
    </row>
    <row r="34" s="24" customFormat="1" ht="16" customHeight="1" spans="1:21">
      <c r="A34" s="37">
        <f t="shared" si="4"/>
        <v>30</v>
      </c>
      <c r="B34" s="38" t="s">
        <v>38</v>
      </c>
      <c r="C34" s="39" t="s">
        <v>322</v>
      </c>
      <c r="D34" s="38">
        <v>3</v>
      </c>
      <c r="E34" s="83">
        <f>SUMIFS(转置表!O:O,转置表!L:L,B34,转置表!J:J,C34,转置表!M:M,D34)</f>
        <v>8218</v>
      </c>
      <c r="F34" s="83">
        <v>1033766.874</v>
      </c>
      <c r="G34" s="42">
        <f t="shared" si="5"/>
        <v>125.793</v>
      </c>
      <c r="J34" s="36">
        <f t="shared" si="0"/>
        <v>930390.1866</v>
      </c>
      <c r="K34" s="36">
        <f t="shared" si="1"/>
        <v>113.2137</v>
      </c>
      <c r="L34" s="23">
        <f>COUNTIFS(转置表!L:L,B34,转置表!J:J,C34,转置表!M:M,D34)</f>
        <v>2</v>
      </c>
      <c r="M34" s="23"/>
      <c r="N34" s="102" t="s">
        <v>422</v>
      </c>
      <c r="O34" s="102" t="s">
        <v>32</v>
      </c>
      <c r="P34" s="132" t="s">
        <v>327</v>
      </c>
      <c r="Q34" s="102">
        <v>3</v>
      </c>
      <c r="R34" s="133">
        <v>349071</v>
      </c>
      <c r="S34" s="127" t="s">
        <v>399</v>
      </c>
      <c r="U34" s="123"/>
    </row>
    <row r="35" s="24" customFormat="1" ht="16" customHeight="1" spans="1:21">
      <c r="A35" s="37">
        <f t="shared" si="4"/>
        <v>31</v>
      </c>
      <c r="B35" s="38" t="s">
        <v>38</v>
      </c>
      <c r="C35" s="39" t="s">
        <v>323</v>
      </c>
      <c r="D35" s="38">
        <v>3</v>
      </c>
      <c r="E35" s="83">
        <f>SUMIFS(转置表!O:O,转置表!L:L,B35,转置表!J:J,C35,转置表!M:M,D35)</f>
        <v>43535</v>
      </c>
      <c r="F35" s="83">
        <v>7231651.092</v>
      </c>
      <c r="G35" s="42">
        <f t="shared" si="5"/>
        <v>166.1112</v>
      </c>
      <c r="J35" s="36">
        <f t="shared" si="0"/>
        <v>6508485.9828</v>
      </c>
      <c r="K35" s="36">
        <f t="shared" si="1"/>
        <v>149.50008</v>
      </c>
      <c r="L35" s="23">
        <f>COUNTIFS(转置表!L:L,B35,转置表!J:J,C35,转置表!M:M,D35)</f>
        <v>7</v>
      </c>
      <c r="M35" s="23"/>
      <c r="N35" s="102"/>
      <c r="O35" s="102"/>
      <c r="P35" s="132"/>
      <c r="Q35" s="102"/>
      <c r="R35" s="133"/>
      <c r="S35" s="123"/>
      <c r="U35" s="123"/>
    </row>
    <row r="36" s="24" customFormat="1" ht="16" customHeight="1" spans="1:21">
      <c r="A36" s="37">
        <f t="shared" si="4"/>
        <v>32</v>
      </c>
      <c r="B36" s="38" t="s">
        <v>38</v>
      </c>
      <c r="C36" s="39" t="s">
        <v>44</v>
      </c>
      <c r="D36" s="38">
        <v>3</v>
      </c>
      <c r="E36" s="83">
        <f>SUMIFS(转置表!O:O,转置表!L:L,B36,转置表!J:J,C36,转置表!M:M,D36)</f>
        <v>5842</v>
      </c>
      <c r="F36" s="83">
        <v>888900.3</v>
      </c>
      <c r="G36" s="42">
        <f t="shared" si="5"/>
        <v>152.156846970216</v>
      </c>
      <c r="J36" s="36">
        <f t="shared" si="0"/>
        <v>800010.270000002</v>
      </c>
      <c r="K36" s="36">
        <f t="shared" si="1"/>
        <v>136.941162273194</v>
      </c>
      <c r="L36" s="23">
        <f>COUNTIFS(转置表!L:L,B36,转置表!J:J,C36,转置表!M:M,D36)</f>
        <v>1</v>
      </c>
      <c r="M36" s="23"/>
      <c r="N36" s="102"/>
      <c r="O36" s="102"/>
      <c r="P36" s="132"/>
      <c r="Q36" s="102"/>
      <c r="R36" s="133"/>
      <c r="S36" s="123"/>
      <c r="U36" s="123"/>
    </row>
    <row r="37" s="24" customFormat="1" ht="16" customHeight="1" spans="1:21">
      <c r="A37" s="37">
        <f t="shared" si="4"/>
        <v>33</v>
      </c>
      <c r="B37" s="38" t="s">
        <v>32</v>
      </c>
      <c r="C37" s="39" t="s">
        <v>30</v>
      </c>
      <c r="D37" s="38">
        <v>4</v>
      </c>
      <c r="E37" s="83">
        <f>SUMIFS(转置表!O:O,转置表!L:L,B37,转置表!J:J,C37,转置表!M:M,D37)</f>
        <v>14474</v>
      </c>
      <c r="F37" s="83">
        <v>1983628.47977528</v>
      </c>
      <c r="G37" s="42">
        <f t="shared" si="5"/>
        <v>137.04770483455</v>
      </c>
      <c r="J37" s="36">
        <f t="shared" si="0"/>
        <v>1785265.63179775</v>
      </c>
      <c r="K37" s="36">
        <f t="shared" si="1"/>
        <v>123.342934351095</v>
      </c>
      <c r="L37" s="23">
        <f>COUNTIFS(转置表!L:L,B37,转置表!J:J,C37,转置表!M:M,D37)</f>
        <v>3</v>
      </c>
      <c r="M37" s="23"/>
      <c r="N37" s="102"/>
      <c r="O37" s="102"/>
      <c r="P37" s="102"/>
      <c r="Q37" s="102"/>
      <c r="R37" s="133"/>
      <c r="S37" s="123"/>
    </row>
    <row r="38" spans="1:21">
      <c r="B38" s="50" t="s">
        <v>32</v>
      </c>
      <c r="C38" s="50" t="s">
        <v>336</v>
      </c>
      <c r="D38" s="50">
        <v>3</v>
      </c>
      <c r="E38" s="51">
        <v>6082</v>
      </c>
      <c r="F38" s="136">
        <v>802335.7125</v>
      </c>
      <c r="G38" s="137">
        <f t="shared" si="5"/>
        <v>131.919715965143</v>
      </c>
    </row>
    <row r="39" spans="1:21">
      <c r="B39" s="50" t="s">
        <v>32</v>
      </c>
      <c r="C39" s="50" t="s">
        <v>337</v>
      </c>
      <c r="D39" s="50">
        <v>3</v>
      </c>
      <c r="E39" s="51">
        <v>5220</v>
      </c>
      <c r="F39" s="136">
        <v>813573.6</v>
      </c>
      <c r="G39" s="137">
        <f t="shared" si="5"/>
        <v>155.857011494253</v>
      </c>
    </row>
    <row r="40" spans="1:21">
      <c r="B40" s="50" t="s">
        <v>32</v>
      </c>
      <c r="C40" s="50" t="s">
        <v>338</v>
      </c>
      <c r="D40" s="50">
        <v>2</v>
      </c>
      <c r="E40" s="51">
        <v>1761</v>
      </c>
      <c r="F40" s="136">
        <v>92215</v>
      </c>
      <c r="G40" s="137">
        <f t="shared" si="5"/>
        <v>52.3651334469052</v>
      </c>
    </row>
    <row r="41" spans="1:21">
      <c r="B41" s="50" t="s">
        <v>32</v>
      </c>
      <c r="C41" s="50" t="s">
        <v>339</v>
      </c>
      <c r="D41" s="50">
        <v>2</v>
      </c>
      <c r="E41" s="51">
        <v>2327</v>
      </c>
      <c r="F41" s="136">
        <v>139322</v>
      </c>
      <c r="G41" s="137">
        <f t="shared" si="5"/>
        <v>59.8719381177482</v>
      </c>
      <c r="O41" s="138"/>
    </row>
    <row r="42" spans="1:21">
      <c r="B42" s="50" t="s">
        <v>32</v>
      </c>
      <c r="C42" s="50" t="s">
        <v>340</v>
      </c>
      <c r="D42" s="50">
        <v>2</v>
      </c>
      <c r="E42" s="51">
        <v>3092</v>
      </c>
      <c r="F42" s="136">
        <v>166995</v>
      </c>
      <c r="G42" s="137">
        <f t="shared" si="5"/>
        <v>54.0087322121604</v>
      </c>
      <c r="O42" s="138"/>
    </row>
    <row r="43" spans="1:21">
      <c r="B43" s="50" t="s">
        <v>38</v>
      </c>
      <c r="C43" s="50" t="s">
        <v>341</v>
      </c>
      <c r="D43" s="50">
        <v>3</v>
      </c>
      <c r="E43" s="51">
        <v>2695</v>
      </c>
      <c r="F43" s="136">
        <v>343374.5</v>
      </c>
      <c r="G43" s="137">
        <f t="shared" si="5"/>
        <v>127.411688311688</v>
      </c>
      <c r="O43" s="138"/>
    </row>
    <row r="44" spans="1:21">
      <c r="B44" s="50" t="s">
        <v>38</v>
      </c>
      <c r="C44" s="50" t="s">
        <v>342</v>
      </c>
      <c r="D44" s="50">
        <v>3</v>
      </c>
      <c r="E44" s="51">
        <v>2720</v>
      </c>
      <c r="F44" s="136">
        <v>259635.1</v>
      </c>
      <c r="G44" s="137">
        <f t="shared" si="5"/>
        <v>95.4540808823529</v>
      </c>
      <c r="O44" s="138"/>
    </row>
    <row r="45" spans="1:21">
      <c r="B45" s="50" t="s">
        <v>32</v>
      </c>
      <c r="C45" s="50" t="s">
        <v>344</v>
      </c>
      <c r="D45" s="50">
        <v>2</v>
      </c>
      <c r="E45" s="51">
        <v>3092</v>
      </c>
      <c r="F45" s="136">
        <v>184917.75</v>
      </c>
      <c r="G45" s="137">
        <f t="shared" si="5"/>
        <v>59.805223156533</v>
      </c>
      <c r="O45" s="138"/>
    </row>
    <row r="46" spans="1:21">
      <c r="B46" s="50" t="s">
        <v>32</v>
      </c>
      <c r="C46" s="50" t="s">
        <v>345</v>
      </c>
      <c r="D46" s="50">
        <v>3</v>
      </c>
      <c r="E46" s="51">
        <v>4540</v>
      </c>
      <c r="F46" s="136">
        <v>343750</v>
      </c>
      <c r="G46" s="137">
        <f t="shared" si="5"/>
        <v>75.715859030837</v>
      </c>
      <c r="O46" s="138"/>
    </row>
    <row r="47" spans="1:21">
      <c r="B47" s="50"/>
      <c r="C47" s="50"/>
      <c r="D47" s="50"/>
      <c r="E47" s="51"/>
      <c r="F47" s="136"/>
      <c r="G47" s="137"/>
      <c r="O47" s="138"/>
    </row>
    <row r="48" spans="1:21">
      <c r="B48" s="89" t="s">
        <v>423</v>
      </c>
      <c r="O48" s="138"/>
    </row>
    <row r="49" spans="2:15">
      <c r="B49" s="89" t="s">
        <v>355</v>
      </c>
      <c r="O49" s="138"/>
    </row>
    <row r="50" spans="2:15">
      <c r="B50" s="89" t="s">
        <v>424</v>
      </c>
      <c r="O50" s="138"/>
    </row>
    <row r="51" spans="2:15">
      <c r="B51" s="89" t="s">
        <v>425</v>
      </c>
      <c r="O51" s="138"/>
    </row>
    <row r="52" spans="2:15">
      <c r="O52" s="138"/>
    </row>
    <row r="53" spans="2:15">
      <c r="O53" s="138"/>
    </row>
    <row r="54" spans="2:15">
      <c r="O54" s="138"/>
    </row>
    <row r="55" spans="2:15">
      <c r="O55" s="138"/>
    </row>
    <row r="56" spans="2:15">
      <c r="O56" s="138"/>
    </row>
    <row r="57" spans="2:15">
      <c r="O57" s="138"/>
    </row>
    <row r="58" spans="2:15">
      <c r="O58" s="138"/>
    </row>
    <row r="59" spans="2:15">
      <c r="O59" s="138"/>
    </row>
    <row r="60" spans="2:15">
      <c r="O60" s="138"/>
    </row>
    <row r="61" spans="2:15">
      <c r="O61" s="138"/>
    </row>
    <row r="62" spans="2:15">
      <c r="O62" s="138"/>
    </row>
    <row r="63" spans="2:15">
      <c r="O63" s="138"/>
    </row>
    <row r="64" spans="2:15">
      <c r="O64" s="138"/>
    </row>
    <row r="65" spans="15:15">
      <c r="O65" s="138"/>
    </row>
    <row r="66" spans="15:15">
      <c r="O66" s="138"/>
    </row>
    <row r="67" spans="15:15">
      <c r="O67" s="138"/>
    </row>
    <row r="68" spans="15:15">
      <c r="O68" s="138"/>
    </row>
    <row r="69" spans="15:15">
      <c r="O69" s="138"/>
    </row>
    <row r="70" spans="15:15">
      <c r="O70" s="138"/>
    </row>
    <row r="71" spans="15:15">
      <c r="O71" s="138"/>
    </row>
    <row r="72" spans="15:15">
      <c r="O72" s="138"/>
    </row>
    <row r="73" spans="15:15">
      <c r="O73" s="138"/>
    </row>
    <row r="74" spans="15:15">
      <c r="O74" s="138"/>
    </row>
    <row r="75" spans="15:15">
      <c r="O75" s="138"/>
    </row>
    <row r="76" spans="15:15">
      <c r="O76" s="138"/>
    </row>
    <row r="77" spans="15:15">
      <c r="O77" s="138"/>
    </row>
  </sheetData>
  <autoFilter xmlns:etc="http://www.wps.cn/officeDocument/2017/etCustomData" ref="A4:R51" etc:filterBottomFollowUsedRange="0">
    <extLst/>
  </autoFilter>
  <mergeCells count="3">
    <mergeCell ref="A2:G2"/>
    <mergeCell ref="N2:R2"/>
    <mergeCell ref="A3:G3"/>
  </mergeCells>
  <pageMargins left="0.75" right="0.75" top="1" bottom="1" header="0.5" footer="0.5"/>
  <pageSetup paperSize="9" orientation="portrait"/>
  <headerFooter/>
  <ignoredErrors>
    <ignoredError sqref="G25" formula="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A1:X43"/>
  <sheetViews>
    <sheetView zoomScale="205" zoomScaleNormal="205" workbookViewId="0">
      <pane xSplit="1" ySplit="5" topLeftCell="B6" activePane="bottomRight" state="frozen"/>
      <selection/>
      <selection pane="topRight"/>
      <selection pane="bottomLeft"/>
      <selection pane="bottomRight" activeCell="O24" sqref="O24"/>
    </sheetView>
  </sheetViews>
  <sheetFormatPr defaultColWidth="4" defaultRowHeight="16" customHeight="1"/>
  <cols>
    <col min="1" max="1" width="11.0277777777778" style="92" customWidth="1"/>
    <col min="2" max="4" width="8.62962962962963" style="93" customWidth="1"/>
    <col min="5" max="5" width="8.62962962962963" style="93" hidden="1" customWidth="1"/>
    <col min="6" max="10" width="8.66666666666667" style="92" hidden="1" customWidth="1"/>
    <col min="11" max="13" width="8.66666666666667" style="92"/>
    <col min="14" max="16" width="4.87962962962963" style="92"/>
    <col min="17" max="17" width="7" style="92" customWidth="1"/>
    <col min="18" max="18" width="10.8796296296296" style="92" customWidth="1"/>
    <col min="19" max="19" width="4.87962962962963" style="92"/>
    <col min="20" max="20" width="9.25925925925926" style="92"/>
    <col min="21" max="21" width="10.3703703703704" style="92" customWidth="1"/>
    <col min="22" max="22" width="6.7037037037037" style="92" customWidth="1"/>
    <col min="23" max="23" width="7.06481481481481" style="92" customWidth="1"/>
    <col min="24" max="24" width="11.1296296296296" style="92"/>
    <col min="25" max="16378" width="4.87962962962963" style="92"/>
    <col min="16379" max="16384" width="4" style="94"/>
  </cols>
  <sheetData>
    <row r="1" ht="20.4" spans="1:24">
      <c r="A1" s="25" t="s">
        <v>356</v>
      </c>
      <c r="B1" s="95"/>
      <c r="C1" s="95"/>
      <c r="D1" s="96"/>
      <c r="E1" s="97"/>
      <c r="F1" s="97"/>
      <c r="G1" s="98"/>
      <c r="H1" s="98"/>
      <c r="I1" s="95"/>
    </row>
    <row r="2" s="27" customFormat="1" ht="29.4" spans="1:24">
      <c r="A2" s="26" t="s">
        <v>80</v>
      </c>
      <c r="B2" s="26"/>
      <c r="C2" s="26"/>
      <c r="D2" s="26"/>
      <c r="E2" s="26"/>
      <c r="F2" s="26"/>
      <c r="G2" s="26"/>
      <c r="H2" s="26"/>
      <c r="I2" s="26"/>
      <c r="J2" s="26"/>
      <c r="K2" s="26"/>
      <c r="L2" s="26"/>
      <c r="M2" s="26"/>
    </row>
    <row r="3" s="18" customFormat="1" customHeight="1" spans="1:24">
      <c r="A3" s="85" t="s">
        <v>348</v>
      </c>
      <c r="B3" s="85"/>
      <c r="C3" s="85"/>
      <c r="D3" s="85"/>
      <c r="E3" s="85"/>
      <c r="F3" s="85"/>
      <c r="G3" s="85"/>
      <c r="H3" s="85"/>
      <c r="I3" s="85"/>
      <c r="J3" s="85"/>
      <c r="K3" s="85"/>
      <c r="L3" s="85"/>
      <c r="M3" s="85"/>
    </row>
    <row r="4" s="36" customFormat="1" customHeight="1" spans="1:24">
      <c r="A4" s="99" t="s">
        <v>8</v>
      </c>
      <c r="B4" s="33" t="s">
        <v>368</v>
      </c>
      <c r="C4" s="33"/>
      <c r="D4" s="33"/>
      <c r="E4" s="33" t="s">
        <v>390</v>
      </c>
      <c r="F4" s="33"/>
      <c r="G4" s="33"/>
      <c r="H4" s="33" t="s">
        <v>391</v>
      </c>
      <c r="I4" s="33"/>
      <c r="J4" s="33"/>
      <c r="K4" s="33" t="s">
        <v>369</v>
      </c>
      <c r="L4" s="33"/>
      <c r="M4" s="35"/>
    </row>
    <row r="5" s="36" customFormat="1" customHeight="1" spans="1:24">
      <c r="A5" s="100"/>
      <c r="B5" s="48">
        <v>444.5</v>
      </c>
      <c r="C5" s="48">
        <v>311.1</v>
      </c>
      <c r="D5" s="48">
        <v>215.9</v>
      </c>
      <c r="E5" s="48">
        <v>444.5</v>
      </c>
      <c r="F5" s="48">
        <v>311.1</v>
      </c>
      <c r="G5" s="48">
        <v>215.9</v>
      </c>
      <c r="H5" s="48">
        <v>444.5</v>
      </c>
      <c r="I5" s="48">
        <v>311.1</v>
      </c>
      <c r="J5" s="48">
        <v>215.9</v>
      </c>
      <c r="K5" s="48">
        <v>444.5</v>
      </c>
      <c r="L5" s="48">
        <v>311.1</v>
      </c>
      <c r="M5" s="43">
        <v>215.9</v>
      </c>
      <c r="P5" s="36">
        <v>1</v>
      </c>
      <c r="Q5" s="36" t="s">
        <v>32</v>
      </c>
      <c r="R5" s="36" t="s">
        <v>30</v>
      </c>
    </row>
    <row r="6" s="36" customFormat="1" customHeight="1" spans="1:24">
      <c r="A6" s="37" t="s">
        <v>30</v>
      </c>
      <c r="B6" s="101">
        <v>38.07</v>
      </c>
      <c r="C6" s="101">
        <v>49.6</v>
      </c>
      <c r="D6" s="101">
        <v>65.29</v>
      </c>
      <c r="E6" s="48" t="s">
        <v>145</v>
      </c>
      <c r="F6" s="102" t="s">
        <v>145</v>
      </c>
      <c r="G6" s="102" t="s">
        <v>145</v>
      </c>
      <c r="H6" s="103">
        <v>36.11</v>
      </c>
      <c r="I6" s="103">
        <v>42.04</v>
      </c>
      <c r="J6" s="103">
        <v>43.52</v>
      </c>
      <c r="K6" s="103">
        <v>57.86</v>
      </c>
      <c r="L6" s="103">
        <v>48.79</v>
      </c>
      <c r="M6" s="104">
        <v>61.14</v>
      </c>
      <c r="P6" s="36">
        <v>2</v>
      </c>
      <c r="Q6" s="36" t="s">
        <v>32</v>
      </c>
      <c r="R6" s="36" t="s">
        <v>310</v>
      </c>
      <c r="T6" s="36">
        <f>1/10000*2.67*7000</f>
        <v>1.869</v>
      </c>
      <c r="U6" s="105"/>
      <c r="V6" s="105"/>
      <c r="W6" s="105"/>
      <c r="X6" s="105"/>
    </row>
    <row r="7" s="36" customFormat="1" customHeight="1" spans="1:24">
      <c r="A7" s="37" t="s">
        <v>313</v>
      </c>
      <c r="B7" s="48" t="s">
        <v>145</v>
      </c>
      <c r="C7" s="48" t="s">
        <v>145</v>
      </c>
      <c r="D7" s="48" t="s">
        <v>145</v>
      </c>
      <c r="E7" s="48" t="s">
        <v>145</v>
      </c>
      <c r="F7" s="48" t="s">
        <v>145</v>
      </c>
      <c r="G7" s="48" t="s">
        <v>145</v>
      </c>
      <c r="H7" s="48" t="s">
        <v>145</v>
      </c>
      <c r="I7" s="48" t="s">
        <v>145</v>
      </c>
      <c r="J7" s="48" t="s">
        <v>145</v>
      </c>
      <c r="K7" s="48" t="s">
        <v>145</v>
      </c>
      <c r="L7" s="103">
        <v>48.24</v>
      </c>
      <c r="M7" s="104">
        <v>37.87</v>
      </c>
      <c r="P7" s="36">
        <v>3</v>
      </c>
      <c r="Q7" s="36" t="s">
        <v>32</v>
      </c>
      <c r="R7" s="36" t="s">
        <v>311</v>
      </c>
    </row>
    <row r="8" s="36" customFormat="1" customHeight="1" spans="1:24">
      <c r="A8" s="37" t="s">
        <v>314</v>
      </c>
      <c r="B8" s="48" t="s">
        <v>145</v>
      </c>
      <c r="C8" s="101">
        <v>43.9</v>
      </c>
      <c r="D8" s="101">
        <v>64.27</v>
      </c>
      <c r="E8" s="48" t="s">
        <v>145</v>
      </c>
      <c r="F8" s="48" t="s">
        <v>145</v>
      </c>
      <c r="G8" s="48" t="s">
        <v>145</v>
      </c>
      <c r="H8" s="48" t="s">
        <v>145</v>
      </c>
      <c r="I8" s="48" t="s">
        <v>145</v>
      </c>
      <c r="J8" s="48" t="s">
        <v>145</v>
      </c>
      <c r="K8" s="48" t="s">
        <v>145</v>
      </c>
      <c r="L8" s="103">
        <v>52.22</v>
      </c>
      <c r="M8" s="104">
        <v>53.95</v>
      </c>
      <c r="P8" s="36">
        <v>4</v>
      </c>
      <c r="Q8" s="36" t="s">
        <v>32</v>
      </c>
      <c r="R8" s="36" t="s">
        <v>312</v>
      </c>
    </row>
    <row r="9" s="36" customFormat="1" customHeight="1" spans="1:24">
      <c r="A9" s="37" t="s">
        <v>319</v>
      </c>
      <c r="B9" s="101">
        <v>41.53</v>
      </c>
      <c r="C9" s="101">
        <v>37.43</v>
      </c>
      <c r="D9" s="101">
        <v>57.54</v>
      </c>
      <c r="E9" s="48" t="s">
        <v>145</v>
      </c>
      <c r="F9" s="48" t="s">
        <v>145</v>
      </c>
      <c r="G9" s="48" t="s">
        <v>145</v>
      </c>
      <c r="H9" s="48" t="s">
        <v>145</v>
      </c>
      <c r="I9" s="48" t="s">
        <v>145</v>
      </c>
      <c r="J9" s="48" t="s">
        <v>145</v>
      </c>
      <c r="K9" s="48" t="s">
        <v>145</v>
      </c>
      <c r="L9" s="48" t="s">
        <v>145</v>
      </c>
      <c r="M9" s="43" t="s">
        <v>145</v>
      </c>
      <c r="P9" s="36">
        <v>5</v>
      </c>
      <c r="Q9" s="36" t="s">
        <v>32</v>
      </c>
      <c r="R9" s="36" t="s">
        <v>313</v>
      </c>
    </row>
    <row r="10" s="36" customFormat="1" customHeight="1" spans="1:24">
      <c r="A10" s="37" t="s">
        <v>321</v>
      </c>
      <c r="B10" s="48" t="s">
        <v>145</v>
      </c>
      <c r="C10" s="101">
        <v>40.88</v>
      </c>
      <c r="D10" s="101">
        <v>69.27</v>
      </c>
      <c r="E10" s="48" t="s">
        <v>145</v>
      </c>
      <c r="F10" s="48" t="s">
        <v>145</v>
      </c>
      <c r="G10" s="48" t="s">
        <v>145</v>
      </c>
      <c r="H10" s="48" t="s">
        <v>145</v>
      </c>
      <c r="I10" s="48" t="s">
        <v>145</v>
      </c>
      <c r="J10" s="48" t="s">
        <v>145</v>
      </c>
      <c r="K10" s="48" t="s">
        <v>145</v>
      </c>
      <c r="L10" s="103">
        <v>62.63</v>
      </c>
      <c r="M10" s="106">
        <v>116.9</v>
      </c>
      <c r="P10" s="36">
        <v>6</v>
      </c>
      <c r="Q10" s="36" t="s">
        <v>32</v>
      </c>
      <c r="R10" s="36" t="s">
        <v>314</v>
      </c>
    </row>
    <row r="11" s="36" customFormat="1" customHeight="1" spans="1:24">
      <c r="A11" s="37" t="s">
        <v>322</v>
      </c>
      <c r="B11" s="48" t="s">
        <v>145</v>
      </c>
      <c r="C11" s="48" t="s">
        <v>145</v>
      </c>
      <c r="D11" s="48" t="s">
        <v>145</v>
      </c>
      <c r="E11" s="48" t="s">
        <v>145</v>
      </c>
      <c r="F11" s="48" t="s">
        <v>145</v>
      </c>
      <c r="G11" s="48" t="s">
        <v>145</v>
      </c>
      <c r="H11" s="48" t="s">
        <v>145</v>
      </c>
      <c r="I11" s="48" t="s">
        <v>145</v>
      </c>
      <c r="J11" s="48" t="s">
        <v>145</v>
      </c>
      <c r="K11" s="103">
        <v>26.24</v>
      </c>
      <c r="L11" s="103">
        <v>71.48</v>
      </c>
      <c r="M11" s="107" t="s">
        <v>426</v>
      </c>
      <c r="P11" s="36">
        <v>7</v>
      </c>
      <c r="Q11" s="36" t="s">
        <v>32</v>
      </c>
      <c r="R11" s="36" t="s">
        <v>371</v>
      </c>
    </row>
    <row r="12" s="36" customFormat="1" customHeight="1" spans="1:24">
      <c r="A12" s="108" t="s">
        <v>427</v>
      </c>
      <c r="B12" s="48"/>
      <c r="C12" s="101">
        <v>47.05</v>
      </c>
      <c r="D12" s="101">
        <v>68.67</v>
      </c>
      <c r="E12" s="48" t="s">
        <v>145</v>
      </c>
      <c r="F12" s="48" t="s">
        <v>145</v>
      </c>
      <c r="G12" s="48" t="s">
        <v>145</v>
      </c>
      <c r="H12" s="48" t="s">
        <v>145</v>
      </c>
      <c r="I12" s="48" t="s">
        <v>145</v>
      </c>
      <c r="J12" s="48" t="s">
        <v>145</v>
      </c>
      <c r="K12" s="102"/>
      <c r="L12" s="103">
        <v>62.63</v>
      </c>
      <c r="M12" s="109">
        <v>116.9</v>
      </c>
      <c r="P12" s="36">
        <v>8</v>
      </c>
      <c r="Q12" s="36" t="s">
        <v>32</v>
      </c>
      <c r="R12" s="36" t="s">
        <v>365</v>
      </c>
    </row>
    <row r="13" s="36" customFormat="1" customHeight="1" spans="1:24">
      <c r="A13" s="37" t="s">
        <v>326</v>
      </c>
      <c r="B13" s="48" t="s">
        <v>145</v>
      </c>
      <c r="C13" s="101">
        <v>26.06</v>
      </c>
      <c r="D13" s="101">
        <v>63.87</v>
      </c>
      <c r="E13" s="48" t="s">
        <v>145</v>
      </c>
      <c r="F13" s="48" t="s">
        <v>145</v>
      </c>
      <c r="G13" s="48" t="s">
        <v>145</v>
      </c>
      <c r="H13" s="48" t="s">
        <v>145</v>
      </c>
      <c r="I13" s="48" t="s">
        <v>145</v>
      </c>
      <c r="J13" s="48" t="s">
        <v>145</v>
      </c>
      <c r="K13" s="48" t="s">
        <v>145</v>
      </c>
      <c r="L13" s="48" t="s">
        <v>145</v>
      </c>
      <c r="M13" s="43" t="s">
        <v>145</v>
      </c>
      <c r="P13" s="36">
        <v>9</v>
      </c>
      <c r="Q13" s="36" t="s">
        <v>32</v>
      </c>
      <c r="R13" s="36" t="s">
        <v>315</v>
      </c>
    </row>
    <row r="14" s="36" customFormat="1" customHeight="1" spans="1:24">
      <c r="A14" s="37" t="s">
        <v>365</v>
      </c>
      <c r="B14" s="48" t="s">
        <v>145</v>
      </c>
      <c r="C14" s="48" t="s">
        <v>145</v>
      </c>
      <c r="D14" s="48" t="s">
        <v>145</v>
      </c>
      <c r="E14" s="48" t="s">
        <v>145</v>
      </c>
      <c r="F14" s="48" t="s">
        <v>145</v>
      </c>
      <c r="G14" s="48" t="s">
        <v>145</v>
      </c>
      <c r="H14" s="48" t="s">
        <v>145</v>
      </c>
      <c r="I14" s="48" t="s">
        <v>145</v>
      </c>
      <c r="J14" s="48" t="s">
        <v>145</v>
      </c>
      <c r="K14" s="110" t="s">
        <v>428</v>
      </c>
      <c r="L14" s="110" t="s">
        <v>429</v>
      </c>
      <c r="M14" s="43" t="s">
        <v>145</v>
      </c>
      <c r="P14" s="36">
        <v>10</v>
      </c>
      <c r="Q14" s="36" t="s">
        <v>32</v>
      </c>
      <c r="R14" s="36" t="s">
        <v>316</v>
      </c>
    </row>
    <row r="15" s="36" customFormat="1" customHeight="1" spans="1:24">
      <c r="A15" s="37" t="s">
        <v>316</v>
      </c>
      <c r="B15" s="48" t="s">
        <v>145</v>
      </c>
      <c r="C15" s="101">
        <v>43.35</v>
      </c>
      <c r="D15" s="101">
        <v>53.31</v>
      </c>
      <c r="E15" s="48" t="s">
        <v>145</v>
      </c>
      <c r="F15" s="48" t="s">
        <v>145</v>
      </c>
      <c r="G15" s="48" t="s">
        <v>145</v>
      </c>
      <c r="H15" s="48" t="s">
        <v>145</v>
      </c>
      <c r="I15" s="103">
        <v>26</v>
      </c>
      <c r="J15" s="103">
        <v>48.72</v>
      </c>
      <c r="K15" s="48" t="s">
        <v>145</v>
      </c>
      <c r="L15" s="48">
        <v>26</v>
      </c>
      <c r="M15" s="43">
        <v>48.72</v>
      </c>
      <c r="P15" s="36">
        <v>11</v>
      </c>
      <c r="Q15" s="36" t="s">
        <v>32</v>
      </c>
      <c r="R15" s="36" t="s">
        <v>317</v>
      </c>
    </row>
    <row r="16" s="36" customFormat="1" customHeight="1" spans="1:24">
      <c r="A16" s="37" t="s">
        <v>372</v>
      </c>
      <c r="B16" s="48" t="s">
        <v>145</v>
      </c>
      <c r="C16" s="48" t="s">
        <v>145</v>
      </c>
      <c r="D16" s="48" t="s">
        <v>145</v>
      </c>
      <c r="E16" s="48" t="s">
        <v>145</v>
      </c>
      <c r="F16" s="48" t="s">
        <v>145</v>
      </c>
      <c r="G16" s="48" t="s">
        <v>145</v>
      </c>
      <c r="H16" s="103">
        <v>46.1</v>
      </c>
      <c r="I16" s="103">
        <v>39.64</v>
      </c>
      <c r="J16" s="103">
        <v>143.32</v>
      </c>
      <c r="K16" s="111">
        <v>46.1</v>
      </c>
      <c r="L16" s="111">
        <v>39.64</v>
      </c>
      <c r="M16" s="44">
        <v>143.32</v>
      </c>
      <c r="P16" s="36">
        <v>12</v>
      </c>
      <c r="Q16" s="36" t="s">
        <v>32</v>
      </c>
      <c r="R16" s="36" t="s">
        <v>318</v>
      </c>
    </row>
    <row r="17" s="36" customFormat="1" customHeight="1" spans="1:18">
      <c r="A17" s="37" t="s">
        <v>373</v>
      </c>
      <c r="B17" s="101">
        <v>55.91</v>
      </c>
      <c r="C17" s="101">
        <v>141.26</v>
      </c>
      <c r="D17" s="101">
        <v>133.7</v>
      </c>
      <c r="E17" s="48" t="s">
        <v>145</v>
      </c>
      <c r="F17" s="48" t="s">
        <v>145</v>
      </c>
      <c r="G17" s="48" t="s">
        <v>145</v>
      </c>
      <c r="H17" s="48" t="s">
        <v>145</v>
      </c>
      <c r="I17" s="48" t="s">
        <v>145</v>
      </c>
      <c r="J17" s="48" t="s">
        <v>145</v>
      </c>
      <c r="K17" s="48" t="s">
        <v>145</v>
      </c>
      <c r="L17" s="48" t="s">
        <v>145</v>
      </c>
      <c r="M17" s="43" t="s">
        <v>145</v>
      </c>
      <c r="P17" s="36">
        <v>13</v>
      </c>
      <c r="Q17" s="36" t="s">
        <v>32</v>
      </c>
      <c r="R17" s="36" t="s">
        <v>319</v>
      </c>
    </row>
    <row r="18" customHeight="1" spans="1:18">
      <c r="A18" s="112" t="s">
        <v>430</v>
      </c>
      <c r="B18" s="48" t="s">
        <v>145</v>
      </c>
      <c r="C18" s="48" t="s">
        <v>145</v>
      </c>
      <c r="D18" s="48" t="s">
        <v>145</v>
      </c>
      <c r="E18" s="48" t="s">
        <v>145</v>
      </c>
      <c r="F18" s="48" t="s">
        <v>145</v>
      </c>
      <c r="G18" s="48" t="s">
        <v>145</v>
      </c>
      <c r="H18" s="48" t="s">
        <v>145</v>
      </c>
      <c r="I18" s="48" t="s">
        <v>145</v>
      </c>
      <c r="J18" s="48" t="s">
        <v>145</v>
      </c>
      <c r="K18" s="113">
        <v>34.33</v>
      </c>
      <c r="L18" s="113">
        <v>61.4</v>
      </c>
      <c r="M18" s="114">
        <v>125.32</v>
      </c>
      <c r="P18" s="92">
        <v>14</v>
      </c>
      <c r="Q18" s="92" t="s">
        <v>32</v>
      </c>
      <c r="R18" s="92" t="s">
        <v>320</v>
      </c>
    </row>
    <row r="19" customHeight="1" spans="1:18">
      <c r="A19" s="112" t="s">
        <v>431</v>
      </c>
      <c r="B19" s="48" t="s">
        <v>145</v>
      </c>
      <c r="C19" s="48" t="s">
        <v>145</v>
      </c>
      <c r="D19" s="48" t="s">
        <v>145</v>
      </c>
      <c r="E19" s="48" t="s">
        <v>145</v>
      </c>
      <c r="F19" s="48" t="s">
        <v>145</v>
      </c>
      <c r="G19" s="48" t="s">
        <v>145</v>
      </c>
      <c r="H19" s="113">
        <v>41.5</v>
      </c>
      <c r="I19" s="113">
        <v>63.1</v>
      </c>
      <c r="J19" s="113">
        <v>200.45</v>
      </c>
      <c r="K19" s="115">
        <v>41.5</v>
      </c>
      <c r="L19" s="115">
        <v>63.1</v>
      </c>
      <c r="M19" s="116">
        <v>200.45</v>
      </c>
      <c r="P19" s="92">
        <v>15</v>
      </c>
      <c r="Q19" s="92" t="s">
        <v>32</v>
      </c>
      <c r="R19" s="92" t="s">
        <v>321</v>
      </c>
    </row>
    <row r="20" customHeight="1" spans="1:18">
      <c r="A20" s="112" t="s">
        <v>432</v>
      </c>
      <c r="B20" s="48" t="s">
        <v>145</v>
      </c>
      <c r="C20" s="48" t="s">
        <v>145</v>
      </c>
      <c r="D20" s="48" t="s">
        <v>145</v>
      </c>
      <c r="E20" s="48" t="s">
        <v>145</v>
      </c>
      <c r="F20" s="48" t="s">
        <v>145</v>
      </c>
      <c r="G20" s="48" t="s">
        <v>145</v>
      </c>
      <c r="H20" s="48" t="s">
        <v>145</v>
      </c>
      <c r="I20" s="48" t="s">
        <v>145</v>
      </c>
      <c r="J20" s="48" t="s">
        <v>145</v>
      </c>
      <c r="K20" s="113">
        <v>53.6</v>
      </c>
      <c r="L20" s="113">
        <v>81</v>
      </c>
      <c r="M20" s="117">
        <v>80.91</v>
      </c>
      <c r="P20" s="92">
        <v>16</v>
      </c>
      <c r="Q20" s="92" t="s">
        <v>38</v>
      </c>
      <c r="R20" s="92" t="s">
        <v>30</v>
      </c>
    </row>
    <row r="21" customHeight="1" spans="1:18">
      <c r="A21" s="118" t="s">
        <v>433</v>
      </c>
      <c r="B21" s="119" t="s">
        <v>145</v>
      </c>
      <c r="C21" s="119" t="s">
        <v>145</v>
      </c>
      <c r="D21" s="119" t="s">
        <v>145</v>
      </c>
      <c r="E21" s="119" t="s">
        <v>145</v>
      </c>
      <c r="F21" s="119" t="s">
        <v>145</v>
      </c>
      <c r="G21" s="119" t="s">
        <v>145</v>
      </c>
      <c r="H21" s="119" t="s">
        <v>145</v>
      </c>
      <c r="I21" s="119" t="s">
        <v>145</v>
      </c>
      <c r="J21" s="119" t="s">
        <v>145</v>
      </c>
      <c r="K21" s="120">
        <v>51.44</v>
      </c>
      <c r="L21" s="120">
        <v>114.9</v>
      </c>
      <c r="M21" s="121">
        <v>183.43</v>
      </c>
      <c r="P21" s="92">
        <v>17</v>
      </c>
      <c r="Q21" s="92" t="s">
        <v>38</v>
      </c>
      <c r="R21" s="92" t="s">
        <v>322</v>
      </c>
    </row>
    <row r="22" customHeight="1" spans="1:18">
      <c r="A22" s="122" t="s">
        <v>434</v>
      </c>
      <c r="P22" s="92">
        <v>18</v>
      </c>
      <c r="Q22" s="92" t="s">
        <v>38</v>
      </c>
      <c r="R22" s="92" t="s">
        <v>323</v>
      </c>
    </row>
    <row r="23" customHeight="1" spans="1:18">
      <c r="P23" s="92">
        <v>19</v>
      </c>
      <c r="Q23" s="92" t="s">
        <v>38</v>
      </c>
      <c r="R23" s="92" t="s">
        <v>321</v>
      </c>
    </row>
    <row r="24" customHeight="1" spans="1:18">
      <c r="P24" s="92">
        <v>20</v>
      </c>
      <c r="Q24" s="92" t="s">
        <v>366</v>
      </c>
      <c r="R24" s="92" t="s">
        <v>365</v>
      </c>
    </row>
    <row r="25" customHeight="1" spans="1:18">
      <c r="P25" s="92">
        <v>21</v>
      </c>
      <c r="Q25" s="92" t="s">
        <v>32</v>
      </c>
      <c r="R25" s="92" t="s">
        <v>30</v>
      </c>
    </row>
    <row r="26" customHeight="1" spans="1:18">
      <c r="P26" s="92">
        <v>22</v>
      </c>
      <c r="Q26" s="92" t="s">
        <v>32</v>
      </c>
      <c r="R26" s="92" t="s">
        <v>322</v>
      </c>
    </row>
    <row r="27" customHeight="1" spans="1:18">
      <c r="P27" s="92">
        <v>23</v>
      </c>
      <c r="Q27" s="92" t="s">
        <v>32</v>
      </c>
      <c r="R27" s="92" t="s">
        <v>323</v>
      </c>
    </row>
    <row r="28" customHeight="1" spans="1:18">
      <c r="P28" s="92">
        <v>24</v>
      </c>
      <c r="Q28" s="92" t="s">
        <v>32</v>
      </c>
      <c r="R28" s="92" t="s">
        <v>310</v>
      </c>
    </row>
    <row r="29" customHeight="1" spans="1:18">
      <c r="P29" s="92">
        <v>25</v>
      </c>
      <c r="Q29" s="92" t="s">
        <v>32</v>
      </c>
      <c r="R29" s="92" t="s">
        <v>326</v>
      </c>
    </row>
    <row r="30" customHeight="1" spans="1:18">
      <c r="P30" s="92">
        <v>26</v>
      </c>
      <c r="Q30" s="92" t="s">
        <v>32</v>
      </c>
      <c r="R30" s="92" t="s">
        <v>365</v>
      </c>
    </row>
    <row r="31" customHeight="1" spans="1:18">
      <c r="P31" s="92">
        <v>27</v>
      </c>
      <c r="Q31" s="92" t="s">
        <v>32</v>
      </c>
      <c r="R31" s="92" t="s">
        <v>44</v>
      </c>
    </row>
    <row r="32" customHeight="1" spans="1:18">
      <c r="P32" s="92">
        <v>28</v>
      </c>
      <c r="Q32" s="92" t="s">
        <v>32</v>
      </c>
      <c r="R32" s="92" t="s">
        <v>318</v>
      </c>
    </row>
    <row r="33" customHeight="1" spans="16:18">
      <c r="P33" s="92">
        <v>29</v>
      </c>
      <c r="Q33" s="92" t="s">
        <v>38</v>
      </c>
      <c r="R33" s="92" t="s">
        <v>30</v>
      </c>
    </row>
    <row r="34" customHeight="1" spans="16:18">
      <c r="P34" s="92">
        <v>30</v>
      </c>
      <c r="Q34" s="92" t="s">
        <v>38</v>
      </c>
      <c r="R34" s="92" t="s">
        <v>322</v>
      </c>
    </row>
    <row r="35" customHeight="1" spans="16:18">
      <c r="P35" s="92">
        <v>31</v>
      </c>
      <c r="Q35" s="92" t="s">
        <v>38</v>
      </c>
      <c r="R35" s="92" t="s">
        <v>323</v>
      </c>
    </row>
    <row r="36" customHeight="1" spans="16:18">
      <c r="P36" s="92">
        <v>32</v>
      </c>
      <c r="Q36" s="92" t="s">
        <v>38</v>
      </c>
      <c r="R36" s="92" t="s">
        <v>310</v>
      </c>
    </row>
    <row r="37" customHeight="1" spans="16:18">
      <c r="P37" s="92">
        <v>33</v>
      </c>
      <c r="Q37" s="92" t="s">
        <v>38</v>
      </c>
      <c r="R37" s="92" t="s">
        <v>44</v>
      </c>
    </row>
    <row r="38" customHeight="1" spans="16:18">
      <c r="P38" s="92">
        <v>34</v>
      </c>
      <c r="Q38" s="92" t="s">
        <v>38</v>
      </c>
      <c r="R38" s="92" t="s">
        <v>316</v>
      </c>
    </row>
    <row r="39" customHeight="1" spans="16:18">
      <c r="P39" s="92">
        <v>35</v>
      </c>
      <c r="Q39" s="92" t="s">
        <v>38</v>
      </c>
      <c r="R39" s="92" t="s">
        <v>372</v>
      </c>
    </row>
    <row r="40" customHeight="1" spans="16:18">
      <c r="P40" s="92">
        <v>36</v>
      </c>
      <c r="Q40" s="92" t="s">
        <v>38</v>
      </c>
      <c r="R40" s="92" t="s">
        <v>318</v>
      </c>
    </row>
    <row r="41" customHeight="1" spans="16:18">
      <c r="P41" s="92">
        <v>37</v>
      </c>
      <c r="Q41" s="92" t="s">
        <v>366</v>
      </c>
      <c r="R41" s="92" t="s">
        <v>365</v>
      </c>
    </row>
    <row r="42" customHeight="1" spans="16:18">
      <c r="P42" s="92">
        <v>38</v>
      </c>
      <c r="Q42" s="92" t="s">
        <v>32</v>
      </c>
      <c r="R42" s="92" t="s">
        <v>30</v>
      </c>
    </row>
    <row r="43" customHeight="1" spans="16:18">
      <c r="P43" s="92">
        <v>39</v>
      </c>
      <c r="Q43" s="92" t="s">
        <v>32</v>
      </c>
      <c r="R43" s="92" t="s">
        <v>373</v>
      </c>
    </row>
  </sheetData>
  <mergeCells count="7">
    <mergeCell ref="A2:M2"/>
    <mergeCell ref="A3:M3"/>
    <mergeCell ref="B4:D4"/>
    <mergeCell ref="E4:G4"/>
    <mergeCell ref="H4:J4"/>
    <mergeCell ref="K4:M4"/>
    <mergeCell ref="A4:A5"/>
  </mergeCells>
  <pageMargins left="0.708333333333333" right="0.393055555555556" top="0.904861111111111" bottom="0.708333333333333" header="0.314583333333333" footer="0.393055555555556"/>
  <pageSetup paperSize="9" scale="76" orientation="portrait"/>
  <headerFooter>
    <oddFooter>&amp;C&amp;B第 &amp;P 页，共 &amp;N 页</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pageSetUpPr fitToPage="1"/>
  </sheetPr>
  <dimension ref="A1:XFD51"/>
  <sheetViews>
    <sheetView zoomScale="115" zoomScaleNormal="115" workbookViewId="0">
      <pane ySplit="3" topLeftCell="A19" activePane="bottomLeft" state="frozen"/>
      <selection/>
      <selection pane="bottomLeft" activeCell="G5" sqref="G5:G37"/>
    </sheetView>
  </sheetViews>
  <sheetFormatPr defaultColWidth="4.87962962962963" defaultRowHeight="16" customHeight="1"/>
  <cols>
    <col min="1" max="1" width="4.16666666666667" style="19" customWidth="1"/>
    <col min="2" max="2" width="6.46296296296296" style="19" customWidth="1"/>
    <col min="3" max="3" width="20.6296296296296" style="19" customWidth="1"/>
    <col min="4" max="4" width="6.62962962962963" style="20" customWidth="1"/>
    <col min="5" max="8" width="14.6296296296296" style="22" customWidth="1"/>
    <col min="9" max="9" width="17.2592592592593" style="22" customWidth="1"/>
    <col min="10" max="10" width="11.2962962962963" style="23" customWidth="1"/>
    <col min="11" max="11" width="12.6296296296296" style="23"/>
    <col min="12" max="12" width="14.2314814814815" style="23" customWidth="1"/>
    <col min="13" max="13" width="12.6296296296296" style="23"/>
    <col min="14" max="14" width="4.87962962962963" style="23"/>
    <col min="15" max="15" width="12.6296296296296" style="23"/>
    <col min="16" max="16355" width="4.87962962962963" style="23"/>
  </cols>
  <sheetData>
    <row r="1" s="17" customFormat="1" ht="20.4" spans="1:13 16356:16384">
      <c r="A1" s="25" t="s">
        <v>385</v>
      </c>
    </row>
    <row r="2" s="18" customFormat="1" ht="29.4" spans="1:13 16356:16384">
      <c r="A2" s="26" t="s">
        <v>81</v>
      </c>
      <c r="B2" s="26"/>
      <c r="C2" s="26"/>
      <c r="D2" s="26"/>
      <c r="E2" s="26"/>
      <c r="F2" s="26"/>
      <c r="G2" s="26"/>
      <c r="H2" s="26"/>
      <c r="I2" s="26"/>
    </row>
    <row r="3" s="18" customFormat="1" customHeight="1" spans="1:13 16356:16384">
      <c r="A3" s="28"/>
      <c r="B3" s="28"/>
      <c r="C3" s="29"/>
      <c r="D3" s="29"/>
      <c r="E3" s="46"/>
      <c r="F3" s="31"/>
      <c r="G3" s="31"/>
      <c r="H3" s="47" t="s">
        <v>348</v>
      </c>
      <c r="I3" s="47"/>
    </row>
    <row r="4" ht="32" customHeight="1" spans="1:13 16356:16384">
      <c r="A4" s="32" t="s">
        <v>1</v>
      </c>
      <c r="B4" s="33" t="s">
        <v>10</v>
      </c>
      <c r="C4" s="33" t="s">
        <v>8</v>
      </c>
      <c r="D4" s="33" t="s">
        <v>11</v>
      </c>
      <c r="E4" s="33" t="s">
        <v>331</v>
      </c>
      <c r="F4" s="33" t="s">
        <v>297</v>
      </c>
      <c r="G4" s="82" t="s">
        <v>332</v>
      </c>
      <c r="H4" s="33" t="s">
        <v>396</v>
      </c>
      <c r="I4" s="35" t="s">
        <v>157</v>
      </c>
    </row>
    <row r="5" s="23" customFormat="1" customHeight="1" spans="1:13 16356:16384">
      <c r="A5" s="37">
        <f t="shared" ref="A5:A20" si="0">ROW()-4</f>
        <v>1</v>
      </c>
      <c r="B5" s="38" t="s">
        <v>32</v>
      </c>
      <c r="C5" s="39" t="s">
        <v>307</v>
      </c>
      <c r="D5" s="38">
        <v>2</v>
      </c>
      <c r="E5" s="40">
        <f>SUMIFS(转置表!O:O,转置表!L:L,B5,转置表!J:J,C5,转置表!M:M,D5)</f>
        <v>3957</v>
      </c>
      <c r="F5" s="40">
        <f>SUMIFS(转置表!T:T,转置表!L:L,B5,转置表!J:J,C5,转置表!M:M,D5)</f>
        <v>25</v>
      </c>
      <c r="G5" s="83">
        <f>E5*H5</f>
        <v>17500</v>
      </c>
      <c r="H5" s="48">
        <f>(1.05*20000)/30*F5/E5</f>
        <v>4.42254233004802</v>
      </c>
      <c r="I5" s="42"/>
      <c r="J5" s="89" t="s">
        <v>435</v>
      </c>
      <c r="K5" s="23">
        <f>COUNTIFS(转置表!L:L,B5,转置表!J:J,C5,转置表!M:M,D5)</f>
        <v>2</v>
      </c>
      <c r="L5" s="90"/>
      <c r="M5" s="91"/>
      <c r="XEB5"/>
      <c r="XEC5"/>
      <c r="XED5"/>
      <c r="XEE5"/>
      <c r="XEF5"/>
      <c r="XEG5"/>
      <c r="XEH5"/>
      <c r="XEI5"/>
      <c r="XEJ5"/>
      <c r="XEK5"/>
      <c r="XEL5"/>
      <c r="XEM5"/>
      <c r="XEN5"/>
      <c r="XEO5"/>
      <c r="XEP5"/>
      <c r="XEQ5"/>
      <c r="XER5"/>
      <c r="XES5"/>
      <c r="XET5"/>
      <c r="XEU5"/>
      <c r="XEV5"/>
      <c r="XEW5"/>
      <c r="XEX5"/>
      <c r="XEY5"/>
      <c r="XEZ5"/>
      <c r="XFA5"/>
      <c r="XFB5"/>
      <c r="XFC5"/>
      <c r="XFD5"/>
    </row>
    <row r="6" customHeight="1" spans="1:13 16356:16384">
      <c r="A6" s="37">
        <f t="shared" si="0"/>
        <v>2</v>
      </c>
      <c r="B6" s="38" t="s">
        <v>32</v>
      </c>
      <c r="C6" s="39" t="s">
        <v>308</v>
      </c>
      <c r="D6" s="38">
        <v>2</v>
      </c>
      <c r="E6" s="40">
        <f>SUMIFS(转置表!O:O,转置表!L:L,B6,转置表!J:J,C6,转置表!M:M,D6)</f>
        <v>44234</v>
      </c>
      <c r="F6" s="40">
        <f>SUMIFS(转置表!T:T,转置表!L:L,B6,转置表!J:J,C6,转置表!M:M,D6)</f>
        <v>264.854166666802</v>
      </c>
      <c r="G6" s="83">
        <f t="shared" ref="G6:G37" si="1">E6*H6</f>
        <v>185397.916666762</v>
      </c>
      <c r="H6" s="48">
        <f t="shared" ref="H6:H37" si="2">(1.05*20000)/30*F6/E6</f>
        <v>4.19129892541397</v>
      </c>
      <c r="I6" s="42"/>
      <c r="L6" s="90"/>
      <c r="M6" s="91"/>
    </row>
    <row r="7" customHeight="1" spans="1:13 16356:16384">
      <c r="A7" s="37">
        <f t="shared" si="0"/>
        <v>3</v>
      </c>
      <c r="B7" s="38" t="s">
        <v>32</v>
      </c>
      <c r="C7" s="39" t="s">
        <v>309</v>
      </c>
      <c r="D7" s="38">
        <v>2</v>
      </c>
      <c r="E7" s="40">
        <f>SUMIFS(转置表!O:O,转置表!L:L,B7,转置表!J:J,C7,转置表!M:M,D7)</f>
        <v>21858</v>
      </c>
      <c r="F7" s="40">
        <f>SUMIFS(转置表!T:T,转置表!L:L,B7,转置表!J:J,C7,转置表!M:M,D7)</f>
        <v>182.666666666701</v>
      </c>
      <c r="G7" s="83">
        <f t="shared" si="1"/>
        <v>127866.66666669</v>
      </c>
      <c r="H7" s="48">
        <f t="shared" si="2"/>
        <v>5.84987952542275</v>
      </c>
      <c r="I7" s="43"/>
      <c r="L7" s="90"/>
      <c r="M7" s="91"/>
    </row>
    <row r="8" customHeight="1" spans="1:13 16356:16384">
      <c r="A8" s="37">
        <f t="shared" si="0"/>
        <v>4</v>
      </c>
      <c r="B8" s="38" t="s">
        <v>32</v>
      </c>
      <c r="C8" s="39" t="s">
        <v>310</v>
      </c>
      <c r="D8" s="38">
        <v>2</v>
      </c>
      <c r="E8" s="40">
        <f>SUMIFS(转置表!O:O,转置表!L:L,B8,转置表!J:J,C8,转置表!M:M,D8)</f>
        <v>3835</v>
      </c>
      <c r="F8" s="40">
        <f>SUMIFS(转置表!T:T,转置表!L:L,B8,转置表!J:J,C8,转置表!M:M,D8)</f>
        <v>20.1041666667006</v>
      </c>
      <c r="G8" s="83">
        <f t="shared" si="1"/>
        <v>14072.9166666904</v>
      </c>
      <c r="H8" s="48">
        <f t="shared" si="2"/>
        <v>3.66960017384366</v>
      </c>
      <c r="I8" s="43"/>
      <c r="L8" s="90"/>
      <c r="M8" s="91"/>
    </row>
    <row r="9" customHeight="1" spans="1:13 16356:16384">
      <c r="A9" s="37">
        <f t="shared" si="0"/>
        <v>5</v>
      </c>
      <c r="B9" s="38" t="s">
        <v>32</v>
      </c>
      <c r="C9" s="39" t="s">
        <v>311</v>
      </c>
      <c r="D9" s="38">
        <v>2</v>
      </c>
      <c r="E9" s="40">
        <f>SUMIFS(转置表!O:O,转置表!L:L,B9,转置表!J:J,C9,转置表!M:M,D9)</f>
        <v>12133</v>
      </c>
      <c r="F9" s="40">
        <f>SUMIFS(转置表!T:T,转置表!L:L,B9,转置表!J:J,C9,转置表!M:M,D9)</f>
        <v>93</v>
      </c>
      <c r="G9" s="83">
        <f t="shared" si="1"/>
        <v>65100</v>
      </c>
      <c r="H9" s="48">
        <f t="shared" si="2"/>
        <v>5.36553202011044</v>
      </c>
      <c r="I9" s="43"/>
      <c r="L9" s="90"/>
      <c r="M9" s="91"/>
    </row>
    <row r="10" customHeight="1" spans="1:13 16356:16384">
      <c r="A10" s="37">
        <f t="shared" si="0"/>
        <v>6</v>
      </c>
      <c r="B10" s="38" t="s">
        <v>32</v>
      </c>
      <c r="C10" s="39" t="s">
        <v>312</v>
      </c>
      <c r="D10" s="38">
        <v>2</v>
      </c>
      <c r="E10" s="40">
        <f>SUMIFS(转置表!O:O,转置表!L:L,B10,转置表!J:J,C10,转置表!M:M,D10)</f>
        <v>5497</v>
      </c>
      <c r="F10" s="40">
        <f>SUMIFS(转置表!T:T,转置表!L:L,B10,转置表!J:J,C10,转置表!M:M,D10)</f>
        <v>37</v>
      </c>
      <c r="G10" s="83">
        <f t="shared" si="1"/>
        <v>25900</v>
      </c>
      <c r="H10" s="48">
        <f t="shared" si="2"/>
        <v>4.7116609059487</v>
      </c>
      <c r="I10" s="43"/>
      <c r="L10" s="90"/>
      <c r="M10" s="91"/>
    </row>
    <row r="11" customHeight="1" spans="1:13 16356:16384">
      <c r="A11" s="37">
        <f t="shared" si="0"/>
        <v>7</v>
      </c>
      <c r="B11" s="38" t="s">
        <v>32</v>
      </c>
      <c r="C11" s="39" t="s">
        <v>313</v>
      </c>
      <c r="D11" s="38">
        <v>2</v>
      </c>
      <c r="E11" s="40">
        <f>SUMIFS(转置表!O:O,转置表!L:L,B11,转置表!J:J,C11,转置表!M:M,D11)</f>
        <v>3444</v>
      </c>
      <c r="F11" s="40">
        <f>SUMIFS(转置表!T:T,转置表!L:L,B11,转置表!J:J,C11,转置表!M:M,D11)</f>
        <v>30.8125</v>
      </c>
      <c r="G11" s="83">
        <f t="shared" si="1"/>
        <v>21568.75</v>
      </c>
      <c r="H11" s="48">
        <f t="shared" si="2"/>
        <v>6.26270325203252</v>
      </c>
      <c r="I11" s="43"/>
      <c r="L11" s="90"/>
      <c r="M11" s="91"/>
    </row>
    <row r="12" customHeight="1" spans="1:13 16356:16384">
      <c r="A12" s="37">
        <f t="shared" si="0"/>
        <v>8</v>
      </c>
      <c r="B12" s="38" t="s">
        <v>32</v>
      </c>
      <c r="C12" s="39" t="s">
        <v>314</v>
      </c>
      <c r="D12" s="38">
        <v>2</v>
      </c>
      <c r="E12" s="40">
        <f>SUMIFS(转置表!O:O,转置表!L:L,B12,转置表!J:J,C12,转置表!M:M,D12)</f>
        <v>2492</v>
      </c>
      <c r="F12" s="40">
        <f>SUMIFS(转置表!T:T,转置表!L:L,B12,转置表!J:J,C12,转置表!M:M,D12)</f>
        <v>12</v>
      </c>
      <c r="G12" s="83">
        <f t="shared" si="1"/>
        <v>8400</v>
      </c>
      <c r="H12" s="48">
        <f t="shared" si="2"/>
        <v>3.37078651685393</v>
      </c>
      <c r="I12" s="44" t="s">
        <v>334</v>
      </c>
      <c r="L12" s="90"/>
      <c r="M12" s="91"/>
    </row>
    <row r="13" customHeight="1" spans="1:13 16356:16384">
      <c r="A13" s="37">
        <f t="shared" si="0"/>
        <v>9</v>
      </c>
      <c r="B13" s="38" t="s">
        <v>32</v>
      </c>
      <c r="C13" s="39" t="s">
        <v>315</v>
      </c>
      <c r="D13" s="38">
        <v>2</v>
      </c>
      <c r="E13" s="40">
        <f>SUMIFS(转置表!O:O,转置表!L:L,B13,转置表!J:J,C13,转置表!M:M,D13)</f>
        <v>3321</v>
      </c>
      <c r="F13" s="40">
        <f>SUMIFS(转置表!T:T,转置表!L:L,B13,转置表!J:J,C13,转置表!M:M,D13)</f>
        <v>20.4166666665988</v>
      </c>
      <c r="G13" s="83">
        <f t="shared" si="1"/>
        <v>14291.6666666192</v>
      </c>
      <c r="H13" s="48">
        <f t="shared" si="2"/>
        <v>4.30342266384196</v>
      </c>
      <c r="I13" s="43"/>
      <c r="L13" s="90"/>
      <c r="M13" s="91"/>
    </row>
    <row r="14" customHeight="1" spans="1:13 16356:16384">
      <c r="A14" s="37">
        <f t="shared" si="0"/>
        <v>10</v>
      </c>
      <c r="B14" s="38" t="s">
        <v>32</v>
      </c>
      <c r="C14" s="39" t="s">
        <v>316</v>
      </c>
      <c r="D14" s="38">
        <v>2</v>
      </c>
      <c r="E14" s="40">
        <f>SUMIFS(转置表!O:O,转置表!L:L,B14,转置表!J:J,C14,转置表!M:M,D14)</f>
        <v>16455</v>
      </c>
      <c r="F14" s="40">
        <f>SUMIFS(转置表!T:T,转置表!L:L,B14,转置表!J:J,C14,转置表!M:M,D14)</f>
        <v>142.583333333299</v>
      </c>
      <c r="G14" s="83">
        <f t="shared" si="1"/>
        <v>99808.3333333096</v>
      </c>
      <c r="H14" s="48">
        <f t="shared" si="2"/>
        <v>6.06553225969672</v>
      </c>
      <c r="I14" s="43"/>
      <c r="L14" s="90"/>
      <c r="M14" s="91"/>
    </row>
    <row r="15" customHeight="1" spans="1:13 16356:16384">
      <c r="A15" s="37">
        <f t="shared" si="0"/>
        <v>11</v>
      </c>
      <c r="B15" s="38" t="s">
        <v>32</v>
      </c>
      <c r="C15" s="39" t="s">
        <v>317</v>
      </c>
      <c r="D15" s="38">
        <v>2</v>
      </c>
      <c r="E15" s="40">
        <f>SUMIFS(转置表!O:O,转置表!L:L,B15,转置表!J:J,C15,转置表!M:M,D15)</f>
        <v>2468</v>
      </c>
      <c r="F15" s="40">
        <f>SUMIFS(转置表!T:T,转置表!L:L,B15,转置表!J:J,C15,转置表!M:M,D15)</f>
        <v>16</v>
      </c>
      <c r="G15" s="83">
        <f t="shared" si="1"/>
        <v>11200</v>
      </c>
      <c r="H15" s="48">
        <f t="shared" si="2"/>
        <v>4.53808752025932</v>
      </c>
      <c r="I15" s="43"/>
      <c r="L15" s="90"/>
      <c r="M15" s="91"/>
    </row>
    <row r="16" customHeight="1" spans="1:13 16356:16384">
      <c r="A16" s="37">
        <f t="shared" si="0"/>
        <v>12</v>
      </c>
      <c r="B16" s="38" t="s">
        <v>32</v>
      </c>
      <c r="C16" s="39" t="s">
        <v>318</v>
      </c>
      <c r="D16" s="38">
        <v>2</v>
      </c>
      <c r="E16" s="40">
        <f>SUMIFS(转置表!O:O,转置表!L:L,B16,转置表!J:J,C16,转置表!M:M,D16)</f>
        <v>9956</v>
      </c>
      <c r="F16" s="40">
        <f>SUMIFS(转置表!T:T,转置表!L:L,B16,转置表!J:J,C16,转置表!M:M,D16)</f>
        <v>72.7916666667006</v>
      </c>
      <c r="G16" s="83">
        <f t="shared" si="1"/>
        <v>50954.1666666904</v>
      </c>
      <c r="H16" s="48">
        <f t="shared" si="2"/>
        <v>5.11793558323528</v>
      </c>
      <c r="I16" s="43"/>
      <c r="L16" s="90"/>
      <c r="M16" s="91"/>
    </row>
    <row r="17" customHeight="1" spans="1:13">
      <c r="A17" s="37">
        <f t="shared" si="0"/>
        <v>13</v>
      </c>
      <c r="B17" s="38" t="s">
        <v>32</v>
      </c>
      <c r="C17" s="45" t="s">
        <v>319</v>
      </c>
      <c r="D17" s="38">
        <v>2</v>
      </c>
      <c r="E17" s="40">
        <f>SUMIFS(转置表!O:O,转置表!L:L,B17,转置表!J:J,C17,转置表!M:M,D17)</f>
        <v>4402</v>
      </c>
      <c r="F17" s="40">
        <f>SUMIFS(转置表!T:T,转置表!L:L,B17,转置表!J:J,C17,转置表!M:M,D17)</f>
        <v>22</v>
      </c>
      <c r="G17" s="83">
        <f t="shared" si="1"/>
        <v>15400</v>
      </c>
      <c r="H17" s="48">
        <f t="shared" si="2"/>
        <v>3.49840981372104</v>
      </c>
      <c r="I17" s="43"/>
      <c r="L17" s="90"/>
      <c r="M17" s="91"/>
    </row>
    <row r="18" customHeight="1" spans="1:13">
      <c r="A18" s="37">
        <f t="shared" si="0"/>
        <v>14</v>
      </c>
      <c r="B18" s="38" t="s">
        <v>32</v>
      </c>
      <c r="C18" s="39" t="s">
        <v>320</v>
      </c>
      <c r="D18" s="38">
        <v>2</v>
      </c>
      <c r="E18" s="40">
        <f>SUMIFS(转置表!O:O,转置表!L:L,B18,转置表!J:J,C18,转置表!M:M,D18)</f>
        <v>2775</v>
      </c>
      <c r="F18" s="40">
        <f>SUMIFS(转置表!T:T,转置表!L:L,B18,转置表!J:J,C18,转置表!M:M,D18)</f>
        <v>21</v>
      </c>
      <c r="G18" s="83">
        <f t="shared" si="1"/>
        <v>14700</v>
      </c>
      <c r="H18" s="48">
        <f t="shared" si="2"/>
        <v>5.2972972972973</v>
      </c>
      <c r="I18" s="43"/>
      <c r="L18" s="90"/>
      <c r="M18" s="91"/>
    </row>
    <row r="19" customHeight="1" spans="1:13">
      <c r="A19" s="37">
        <f t="shared" si="0"/>
        <v>15</v>
      </c>
      <c r="B19" s="38" t="s">
        <v>32</v>
      </c>
      <c r="C19" s="39" t="s">
        <v>321</v>
      </c>
      <c r="D19" s="38">
        <v>2</v>
      </c>
      <c r="E19" s="40">
        <f>SUMIFS(转置表!O:O,转置表!L:L,B19,转置表!J:J,C19,转置表!M:M,D19)</f>
        <v>10593</v>
      </c>
      <c r="F19" s="40">
        <f>SUMIFS(转置表!T:T,转置表!L:L,B19,转置表!J:J,C19,转置表!M:M,D19)</f>
        <v>71</v>
      </c>
      <c r="G19" s="83">
        <f t="shared" si="1"/>
        <v>49700</v>
      </c>
      <c r="H19" s="48">
        <f t="shared" si="2"/>
        <v>4.69177758897385</v>
      </c>
      <c r="I19" s="43"/>
      <c r="L19" s="90"/>
      <c r="M19" s="91"/>
    </row>
    <row r="20" customHeight="1" spans="1:13">
      <c r="A20" s="37">
        <f t="shared" si="0"/>
        <v>16</v>
      </c>
      <c r="B20" s="38" t="s">
        <v>38</v>
      </c>
      <c r="C20" s="39" t="s">
        <v>30</v>
      </c>
      <c r="D20" s="38">
        <v>2</v>
      </c>
      <c r="E20" s="40">
        <f>SUMIFS(转置表!O:O,转置表!L:L,B20,转置表!J:J,C20,转置表!M:M,D20)</f>
        <v>19739</v>
      </c>
      <c r="F20" s="40">
        <f>SUMIFS(转置表!T:T,转置表!L:L,B20,转置表!J:J,C20,转置表!M:M,D20)</f>
        <v>123.812500000102</v>
      </c>
      <c r="G20" s="83">
        <f t="shared" si="1"/>
        <v>86668.7500000713</v>
      </c>
      <c r="H20" s="48">
        <f t="shared" si="2"/>
        <v>4.39073661280061</v>
      </c>
      <c r="I20" s="43"/>
      <c r="L20" s="90"/>
      <c r="M20" s="91"/>
    </row>
    <row r="21" customHeight="1" spans="1:13">
      <c r="A21" s="37">
        <f t="shared" ref="A21:A26" si="3">ROW()-4</f>
        <v>17</v>
      </c>
      <c r="B21" s="38" t="s">
        <v>38</v>
      </c>
      <c r="C21" s="39" t="s">
        <v>322</v>
      </c>
      <c r="D21" s="38">
        <v>2</v>
      </c>
      <c r="E21" s="40">
        <f>SUMIFS(转置表!O:O,转置表!L:L,B21,转置表!J:J,C21,转置表!M:M,D21)</f>
        <v>4804</v>
      </c>
      <c r="F21" s="40">
        <f>SUMIFS(转置表!T:T,转置表!L:L,B21,转置表!J:J,C21,转置表!M:M,D21)</f>
        <v>38.9166666667006</v>
      </c>
      <c r="G21" s="83">
        <f t="shared" si="1"/>
        <v>27241.6666666904</v>
      </c>
      <c r="H21" s="48">
        <f t="shared" si="2"/>
        <v>5.67062170414039</v>
      </c>
      <c r="I21" s="43"/>
      <c r="L21" s="90"/>
      <c r="M21" s="91"/>
    </row>
    <row r="22" customHeight="1" spans="1:13">
      <c r="A22" s="37">
        <f t="shared" si="3"/>
        <v>18</v>
      </c>
      <c r="B22" s="38" t="s">
        <v>38</v>
      </c>
      <c r="C22" s="39" t="s">
        <v>323</v>
      </c>
      <c r="D22" s="38">
        <v>2</v>
      </c>
      <c r="E22" s="40">
        <f>SUMIFS(转置表!O:O,转置表!L:L,B22,转置表!J:J,C22,转置表!M:M,D22)</f>
        <v>18574</v>
      </c>
      <c r="F22" s="40">
        <f>SUMIFS(转置表!T:T,转置表!L:L,B22,转置表!J:J,C22,转置表!M:M,D22)</f>
        <v>100.5243055557</v>
      </c>
      <c r="G22" s="83">
        <f t="shared" si="1"/>
        <v>70367.0138889901</v>
      </c>
      <c r="H22" s="48">
        <f t="shared" si="2"/>
        <v>3.78846849838431</v>
      </c>
      <c r="I22" s="43"/>
      <c r="L22" s="90"/>
      <c r="M22" s="91"/>
    </row>
    <row r="23" customHeight="1" spans="1:13">
      <c r="A23" s="37">
        <f t="shared" si="3"/>
        <v>19</v>
      </c>
      <c r="B23" s="38" t="s">
        <v>38</v>
      </c>
      <c r="C23" s="39" t="s">
        <v>321</v>
      </c>
      <c r="D23" s="38">
        <v>2</v>
      </c>
      <c r="E23" s="40">
        <f>SUMIFS(转置表!O:O,转置表!L:L,B23,转置表!J:J,C23,转置表!M:M,D23)</f>
        <v>8000</v>
      </c>
      <c r="F23" s="40">
        <f>SUMIFS(转置表!T:T,转置表!L:L,B23,转置表!J:J,C23,转置表!M:M,D23)</f>
        <v>83.125</v>
      </c>
      <c r="G23" s="83">
        <f t="shared" si="1"/>
        <v>58187.5</v>
      </c>
      <c r="H23" s="48">
        <f t="shared" si="2"/>
        <v>7.2734375</v>
      </c>
      <c r="I23" s="43"/>
      <c r="L23" s="90"/>
      <c r="M23" s="91"/>
    </row>
    <row r="24" customHeight="1" spans="1:13">
      <c r="A24" s="37">
        <f t="shared" si="3"/>
        <v>20</v>
      </c>
      <c r="B24" s="38" t="s">
        <v>32</v>
      </c>
      <c r="C24" s="39" t="s">
        <v>30</v>
      </c>
      <c r="D24" s="38">
        <v>3</v>
      </c>
      <c r="E24" s="40">
        <f>SUMIFS(转置表!O:O,转置表!L:L,B24,转置表!J:J,C24,转置表!M:M,D24)</f>
        <v>18653</v>
      </c>
      <c r="F24" s="40">
        <f>SUMIFS(转置表!T:T,转置表!L:L,B24,转置表!J:J,C24,转置表!M:M,D24)</f>
        <v>147</v>
      </c>
      <c r="G24" s="83">
        <f t="shared" si="1"/>
        <v>102900</v>
      </c>
      <c r="H24" s="48">
        <f t="shared" si="2"/>
        <v>5.51653889454779</v>
      </c>
      <c r="I24" s="43"/>
      <c r="L24" s="90"/>
      <c r="M24" s="91"/>
    </row>
    <row r="25" customHeight="1" spans="1:13">
      <c r="A25" s="37">
        <f t="shared" si="3"/>
        <v>21</v>
      </c>
      <c r="B25" s="38" t="s">
        <v>32</v>
      </c>
      <c r="C25" s="39" t="s">
        <v>324</v>
      </c>
      <c r="D25" s="38">
        <v>3</v>
      </c>
      <c r="E25" s="40">
        <f>SUMIFS(转置表!O:O,转置表!L:L,B25,转置表!J:J,C25,转置表!M:M,D25)</f>
        <v>7594</v>
      </c>
      <c r="F25" s="40">
        <f>SUMIFS(转置表!T:T,转置表!L:L,B25,转置表!J:J,C25,转置表!M:M,D25)</f>
        <v>42.9375</v>
      </c>
      <c r="G25" s="83">
        <f t="shared" si="1"/>
        <v>30056.25</v>
      </c>
      <c r="H25" s="48">
        <f t="shared" si="2"/>
        <v>3.95789439030814</v>
      </c>
      <c r="I25" s="43"/>
      <c r="L25" s="90"/>
      <c r="M25" s="91"/>
    </row>
    <row r="26" customHeight="1" spans="1:13">
      <c r="A26" s="37">
        <f t="shared" si="3"/>
        <v>22</v>
      </c>
      <c r="B26" s="38" t="s">
        <v>32</v>
      </c>
      <c r="C26" s="39" t="s">
        <v>325</v>
      </c>
      <c r="D26" s="38">
        <v>3</v>
      </c>
      <c r="E26" s="40">
        <f>SUMIFS(转置表!O:O,转置表!L:L,B26,转置表!J:J,C26,转置表!M:M,D26)</f>
        <v>23072</v>
      </c>
      <c r="F26" s="40">
        <f>SUMIFS(转置表!T:T,转置表!L:L,B26,转置表!J:J,C26,转置表!M:M,D26)</f>
        <v>153.791666666599</v>
      </c>
      <c r="G26" s="83">
        <f t="shared" si="1"/>
        <v>107654.166666619</v>
      </c>
      <c r="H26" s="48">
        <f t="shared" si="2"/>
        <v>4.66600930420506</v>
      </c>
      <c r="I26" s="43"/>
      <c r="L26" s="90"/>
      <c r="M26" s="91"/>
    </row>
    <row r="27" customHeight="1" spans="1:13">
      <c r="A27" s="37">
        <f t="shared" ref="A27:A46" si="4">ROW()-4</f>
        <v>23</v>
      </c>
      <c r="B27" s="38" t="s">
        <v>32</v>
      </c>
      <c r="C27" s="39" t="s">
        <v>323</v>
      </c>
      <c r="D27" s="38">
        <v>3</v>
      </c>
      <c r="E27" s="40">
        <f>SUMIFS(转置表!O:O,转置表!L:L,B27,转置表!J:J,C27,转置表!M:M,D27)</f>
        <v>3732</v>
      </c>
      <c r="F27" s="40">
        <f>SUMIFS(转置表!T:T,转置表!L:L,B27,转置表!J:J,C27,转置表!M:M,D27)</f>
        <v>39</v>
      </c>
      <c r="G27" s="83">
        <f t="shared" si="1"/>
        <v>27300</v>
      </c>
      <c r="H27" s="48">
        <f t="shared" si="2"/>
        <v>7.31511254019293</v>
      </c>
      <c r="I27" s="43"/>
      <c r="L27" s="90"/>
      <c r="M27" s="91"/>
    </row>
    <row r="28" customHeight="1" spans="1:13">
      <c r="A28" s="37">
        <f t="shared" si="4"/>
        <v>24</v>
      </c>
      <c r="B28" s="38" t="s">
        <v>32</v>
      </c>
      <c r="C28" s="39" t="s">
        <v>310</v>
      </c>
      <c r="D28" s="38">
        <v>3</v>
      </c>
      <c r="E28" s="40">
        <f>SUMIFS(转置表!O:O,转置表!L:L,B28,转置表!J:J,C28,转置表!M:M,D28)</f>
        <v>8427</v>
      </c>
      <c r="F28" s="40">
        <f>SUMIFS(转置表!T:T,转置表!L:L,B28,转置表!J:J,C28,转置表!M:M,D28)</f>
        <v>113.083333333401</v>
      </c>
      <c r="G28" s="83">
        <f t="shared" si="1"/>
        <v>79158.3333333808</v>
      </c>
      <c r="H28" s="48">
        <f t="shared" si="2"/>
        <v>9.39341798188927</v>
      </c>
      <c r="I28" s="43"/>
      <c r="L28" s="90"/>
      <c r="M28" s="91"/>
    </row>
    <row r="29" customHeight="1" spans="1:13">
      <c r="A29" s="37">
        <f t="shared" si="4"/>
        <v>25</v>
      </c>
      <c r="B29" s="38" t="s">
        <v>32</v>
      </c>
      <c r="C29" s="39" t="s">
        <v>326</v>
      </c>
      <c r="D29" s="38">
        <v>3</v>
      </c>
      <c r="E29" s="40">
        <f>SUMIFS(转置表!O:O,转置表!L:L,B29,转置表!J:J,C29,转置表!M:M,D29)</f>
        <v>10314</v>
      </c>
      <c r="F29" s="40">
        <f>SUMIFS(转置表!T:T,转置表!L:L,B29,转置表!J:J,C29,转置表!M:M,D29)</f>
        <v>126</v>
      </c>
      <c r="G29" s="83">
        <f t="shared" si="1"/>
        <v>88200</v>
      </c>
      <c r="H29" s="48">
        <f t="shared" si="2"/>
        <v>8.55148342059337</v>
      </c>
      <c r="I29" s="43"/>
      <c r="L29" s="90"/>
      <c r="M29" s="91"/>
    </row>
    <row r="30" customHeight="1" spans="1:13">
      <c r="A30" s="37">
        <f t="shared" si="4"/>
        <v>26</v>
      </c>
      <c r="B30" s="38" t="s">
        <v>32</v>
      </c>
      <c r="C30" s="39" t="s">
        <v>327</v>
      </c>
      <c r="D30" s="38">
        <v>3</v>
      </c>
      <c r="E30" s="40">
        <f>SUMIFS(转置表!O:O,转置表!L:L,B30,转置表!J:J,C30,转置表!M:M,D30)</f>
        <v>30995</v>
      </c>
      <c r="F30" s="40">
        <f>SUMIFS(转置表!T:T,转置表!L:L,B30,转置表!J:J,C30,转置表!M:M,D30)</f>
        <v>201.083333333365</v>
      </c>
      <c r="G30" s="83">
        <f t="shared" si="1"/>
        <v>140758.333333355</v>
      </c>
      <c r="H30" s="48">
        <f t="shared" si="2"/>
        <v>4.54132386944202</v>
      </c>
      <c r="I30" s="43"/>
      <c r="L30" s="90"/>
      <c r="M30" s="91"/>
    </row>
    <row r="31" customHeight="1" spans="1:13">
      <c r="A31" s="37">
        <f t="shared" si="4"/>
        <v>27</v>
      </c>
      <c r="B31" s="38" t="s">
        <v>32</v>
      </c>
      <c r="C31" s="39" t="s">
        <v>328</v>
      </c>
      <c r="D31" s="38">
        <v>3</v>
      </c>
      <c r="E31" s="40">
        <f>SUMIFS(转置表!O:O,转置表!L:L,B31,转置表!J:J,C31,转置表!M:M,D31)</f>
        <v>27892</v>
      </c>
      <c r="F31" s="40">
        <f>SUMIFS(转置表!T:T,转置表!L:L,B31,转置表!J:J,C31,转置表!M:M,D31)</f>
        <v>222.895833333198</v>
      </c>
      <c r="G31" s="83">
        <f t="shared" si="1"/>
        <v>156027.083333238</v>
      </c>
      <c r="H31" s="48">
        <f t="shared" si="2"/>
        <v>5.59397258472818</v>
      </c>
      <c r="I31" s="43"/>
      <c r="L31" s="90"/>
      <c r="M31" s="91"/>
    </row>
    <row r="32" customHeight="1" spans="1:13">
      <c r="A32" s="37">
        <f t="shared" si="4"/>
        <v>28</v>
      </c>
      <c r="B32" s="38" t="s">
        <v>32</v>
      </c>
      <c r="C32" s="39" t="s">
        <v>318</v>
      </c>
      <c r="D32" s="38">
        <v>3</v>
      </c>
      <c r="E32" s="40">
        <f>SUMIFS(转置表!O:O,转置表!L:L,B32,转置表!J:J,C32,转置表!M:M,D32)</f>
        <v>42074</v>
      </c>
      <c r="F32" s="40">
        <f>SUMIFS(转置表!T:T,转置表!L:L,B32,转置表!J:J,C32,转置表!M:M,D32)</f>
        <v>377.7325</v>
      </c>
      <c r="G32" s="83">
        <f t="shared" si="1"/>
        <v>264412.75</v>
      </c>
      <c r="H32" s="48">
        <f t="shared" si="2"/>
        <v>6.28446903075534</v>
      </c>
      <c r="I32" s="43"/>
      <c r="L32" s="90"/>
      <c r="M32" s="91"/>
    </row>
    <row r="33" customHeight="1" spans="1:13">
      <c r="A33" s="37">
        <f t="shared" si="4"/>
        <v>29</v>
      </c>
      <c r="B33" s="38" t="s">
        <v>38</v>
      </c>
      <c r="C33" s="39" t="s">
        <v>30</v>
      </c>
      <c r="D33" s="38">
        <v>3</v>
      </c>
      <c r="E33" s="40">
        <f>SUMIFS(转置表!O:O,转置表!L:L,B33,转置表!J:J,C33,转置表!M:M,D33)</f>
        <v>0</v>
      </c>
      <c r="F33" s="40">
        <f>SUMIFS(转置表!T:T,转置表!L:L,B33,转置表!J:J,C33,转置表!M:M,D33)</f>
        <v>0</v>
      </c>
      <c r="G33" s="83" t="e">
        <f t="shared" si="1"/>
        <v>#DIV/0!</v>
      </c>
      <c r="H33" s="48" t="e">
        <f t="shared" si="2"/>
        <v>#DIV/0!</v>
      </c>
      <c r="I33" s="43"/>
      <c r="L33" s="90"/>
      <c r="M33" s="91"/>
    </row>
    <row r="34" customHeight="1" spans="1:13">
      <c r="A34" s="37">
        <f t="shared" si="4"/>
        <v>30</v>
      </c>
      <c r="B34" s="38" t="s">
        <v>38</v>
      </c>
      <c r="C34" s="39" t="s">
        <v>322</v>
      </c>
      <c r="D34" s="38">
        <v>3</v>
      </c>
      <c r="E34" s="40">
        <f>SUMIFS(转置表!O:O,转置表!L:L,B34,转置表!J:J,C34,转置表!M:M,D34)</f>
        <v>8218</v>
      </c>
      <c r="F34" s="40">
        <f>SUMIFS(转置表!T:T,转置表!L:L,B34,转置表!J:J,C34,转置表!M:M,D34)</f>
        <v>62</v>
      </c>
      <c r="G34" s="83">
        <f t="shared" si="1"/>
        <v>43400</v>
      </c>
      <c r="H34" s="48">
        <f t="shared" si="2"/>
        <v>5.28109028960818</v>
      </c>
      <c r="I34" s="43"/>
      <c r="L34" s="90"/>
      <c r="M34" s="91"/>
    </row>
    <row r="35" customHeight="1" spans="1:13">
      <c r="A35" s="37">
        <f t="shared" si="4"/>
        <v>31</v>
      </c>
      <c r="B35" s="38" t="s">
        <v>38</v>
      </c>
      <c r="C35" s="39" t="s">
        <v>323</v>
      </c>
      <c r="D35" s="38">
        <v>3</v>
      </c>
      <c r="E35" s="40">
        <f>SUMIFS(转置表!O:O,转置表!L:L,B35,转置表!J:J,C35,转置表!M:M,D35)</f>
        <v>43535</v>
      </c>
      <c r="F35" s="40">
        <f>SUMIFS(转置表!T:T,转置表!L:L,B35,转置表!J:J,C35,转置表!M:M,D35)</f>
        <v>389</v>
      </c>
      <c r="G35" s="83">
        <f t="shared" si="1"/>
        <v>272300</v>
      </c>
      <c r="H35" s="48">
        <f t="shared" si="2"/>
        <v>6.25473756747445</v>
      </c>
      <c r="I35" s="44" t="s">
        <v>335</v>
      </c>
      <c r="L35" s="90"/>
      <c r="M35" s="91"/>
    </row>
    <row r="36" customHeight="1" spans="1:13">
      <c r="A36" s="37">
        <f t="shared" si="4"/>
        <v>32</v>
      </c>
      <c r="B36" s="38" t="s">
        <v>38</v>
      </c>
      <c r="C36" s="39" t="s">
        <v>44</v>
      </c>
      <c r="D36" s="38">
        <v>3</v>
      </c>
      <c r="E36" s="40">
        <f>SUMIFS(转置表!O:O,转置表!L:L,B36,转置表!J:J,C36,转置表!M:M,D36)</f>
        <v>5842</v>
      </c>
      <c r="F36" s="40">
        <f>SUMIFS(转置表!T:T,转置表!L:L,B36,转置表!J:J,C36,转置表!M:M,D36)</f>
        <v>46.71</v>
      </c>
      <c r="G36" s="83">
        <f t="shared" si="1"/>
        <v>32697</v>
      </c>
      <c r="H36" s="48">
        <f t="shared" si="2"/>
        <v>5.59688462855187</v>
      </c>
      <c r="I36" s="43"/>
      <c r="L36" s="90"/>
      <c r="M36" s="91"/>
    </row>
    <row r="37" customHeight="1" spans="1:13">
      <c r="A37" s="37">
        <f t="shared" si="4"/>
        <v>33</v>
      </c>
      <c r="B37" s="38" t="s">
        <v>32</v>
      </c>
      <c r="C37" s="39" t="s">
        <v>30</v>
      </c>
      <c r="D37" s="38">
        <v>4</v>
      </c>
      <c r="E37" s="40">
        <f>SUMIFS(转置表!O:O,转置表!L:L,B37,转置表!J:J,C37,转置表!M:M,D37)</f>
        <v>14474</v>
      </c>
      <c r="F37" s="40">
        <f>SUMIFS(转置表!T:T,转置表!L:L,B37,转置表!J:J,C37,转置表!M:M,D37)</f>
        <v>152.770833333401</v>
      </c>
      <c r="G37" s="83">
        <f t="shared" si="1"/>
        <v>106939.583333381</v>
      </c>
      <c r="H37" s="48">
        <f t="shared" si="2"/>
        <v>7.38839182903004</v>
      </c>
      <c r="I37" s="43"/>
      <c r="L37" s="90"/>
      <c r="M37" s="91"/>
    </row>
    <row r="38" customHeight="1" spans="1:13">
      <c r="A38" s="19" t="s">
        <v>436</v>
      </c>
    </row>
    <row r="39" customHeight="1" spans="1:13">
      <c r="B39" s="50" t="s">
        <v>32</v>
      </c>
      <c r="C39" s="50" t="s">
        <v>336</v>
      </c>
      <c r="D39" s="50">
        <v>3</v>
      </c>
      <c r="E39" s="51">
        <v>6082</v>
      </c>
      <c r="F39" s="51">
        <v>52.75</v>
      </c>
      <c r="G39" s="51"/>
      <c r="H39" s="51">
        <f t="shared" ref="H39:H47" si="5">(1.05*20000)/30*F39/E39</f>
        <v>6.07119368628741</v>
      </c>
    </row>
    <row r="40" customHeight="1" spans="1:13">
      <c r="B40" s="50" t="s">
        <v>32</v>
      </c>
      <c r="C40" s="50" t="s">
        <v>337</v>
      </c>
      <c r="D40" s="50">
        <v>3</v>
      </c>
      <c r="E40" s="51">
        <v>5220</v>
      </c>
      <c r="F40" s="51">
        <v>53.5</v>
      </c>
      <c r="G40" s="51"/>
      <c r="H40" s="51">
        <f t="shared" si="5"/>
        <v>7.17432950191571</v>
      </c>
    </row>
    <row r="41" customHeight="1" spans="1:13">
      <c r="B41" s="50" t="s">
        <v>32</v>
      </c>
      <c r="C41" s="50" t="s">
        <v>338</v>
      </c>
      <c r="D41" s="50">
        <v>2</v>
      </c>
      <c r="E41" s="51">
        <v>1761</v>
      </c>
      <c r="F41" s="51">
        <v>10</v>
      </c>
      <c r="G41" s="51"/>
      <c r="H41" s="51">
        <f t="shared" si="5"/>
        <v>3.97501419647927</v>
      </c>
    </row>
    <row r="42" customHeight="1" spans="1:13">
      <c r="B42" s="50" t="s">
        <v>32</v>
      </c>
      <c r="C42" s="50" t="s">
        <v>339</v>
      </c>
      <c r="D42" s="50">
        <v>2</v>
      </c>
      <c r="E42" s="51">
        <v>2327</v>
      </c>
      <c r="F42" s="51">
        <v>14</v>
      </c>
      <c r="G42" s="51"/>
      <c r="H42" s="51">
        <f t="shared" si="5"/>
        <v>4.21143102707348</v>
      </c>
    </row>
    <row r="43" customHeight="1" spans="1:13">
      <c r="B43" s="50" t="s">
        <v>32</v>
      </c>
      <c r="C43" s="50" t="s">
        <v>340</v>
      </c>
      <c r="D43" s="50">
        <v>2</v>
      </c>
      <c r="E43" s="51">
        <v>3092</v>
      </c>
      <c r="F43" s="51">
        <v>17</v>
      </c>
      <c r="G43" s="51"/>
      <c r="H43" s="51">
        <f t="shared" si="5"/>
        <v>3.84864165588616</v>
      </c>
    </row>
    <row r="44" customHeight="1" spans="1:13">
      <c r="B44" s="50" t="s">
        <v>38</v>
      </c>
      <c r="C44" s="50" t="s">
        <v>341</v>
      </c>
      <c r="D44" s="50">
        <v>3</v>
      </c>
      <c r="E44" s="51">
        <v>2695</v>
      </c>
      <c r="F44" s="51">
        <v>25.5</v>
      </c>
      <c r="G44" s="51"/>
      <c r="H44" s="51">
        <f t="shared" si="5"/>
        <v>6.62337662337662</v>
      </c>
    </row>
    <row r="45" customHeight="1" spans="1:13">
      <c r="B45" s="50" t="s">
        <v>38</v>
      </c>
      <c r="C45" s="50" t="s">
        <v>342</v>
      </c>
      <c r="D45" s="50">
        <v>3</v>
      </c>
      <c r="E45" s="51">
        <v>2720</v>
      </c>
      <c r="F45" s="51">
        <v>23.1</v>
      </c>
      <c r="G45" s="51"/>
      <c r="H45" s="51">
        <f t="shared" si="5"/>
        <v>5.94485294117647</v>
      </c>
    </row>
    <row r="46" customHeight="1" spans="1:13">
      <c r="B46" s="50" t="s">
        <v>32</v>
      </c>
      <c r="C46" s="50" t="s">
        <v>344</v>
      </c>
      <c r="D46" s="50">
        <v>2</v>
      </c>
      <c r="E46" s="51">
        <v>3092</v>
      </c>
      <c r="F46" s="51">
        <v>18.5</v>
      </c>
      <c r="G46" s="51"/>
      <c r="H46" s="51">
        <f t="shared" si="5"/>
        <v>4.1882276843467</v>
      </c>
    </row>
    <row r="47" customHeight="1" spans="1:13">
      <c r="B47" s="50" t="s">
        <v>32</v>
      </c>
      <c r="C47" s="50" t="s">
        <v>345</v>
      </c>
      <c r="D47" s="50">
        <v>3</v>
      </c>
      <c r="E47" s="51">
        <v>4540</v>
      </c>
      <c r="F47" s="51">
        <v>27.5</v>
      </c>
      <c r="G47" s="51"/>
      <c r="H47" s="51">
        <f t="shared" si="5"/>
        <v>4.24008810572687</v>
      </c>
    </row>
    <row r="48" customHeight="1" spans="1:13">
      <c r="B48" s="50"/>
      <c r="C48" s="50"/>
      <c r="D48" s="50"/>
      <c r="E48" s="51"/>
      <c r="F48" s="51"/>
      <c r="G48" s="51"/>
      <c r="H48" s="51"/>
    </row>
    <row r="49" customHeight="1" spans="1:8">
      <c r="B49" s="50"/>
      <c r="C49" s="50"/>
      <c r="D49" s="50"/>
      <c r="E49" s="51"/>
      <c r="F49" s="51"/>
      <c r="G49" s="51"/>
      <c r="H49" s="51"/>
    </row>
    <row r="50" customHeight="1" spans="1:8">
      <c r="B50" s="50"/>
      <c r="C50" s="50"/>
      <c r="D50" s="50"/>
      <c r="E50" s="51"/>
      <c r="F50" s="51"/>
      <c r="G50" s="51"/>
      <c r="H50" s="51"/>
    </row>
    <row r="51" customHeight="1" spans="1:8">
      <c r="A51" s="89" t="s">
        <v>355</v>
      </c>
    </row>
  </sheetData>
  <sheetProtection formatCells="0" formatColumns="0" formatRows="0" insertRows="0" insertColumns="0" insertHyperlinks="0" deleteColumns="0" deleteRows="0" sort="0" autoFilter="0" pivotTables="0"/>
  <autoFilter xmlns:etc="http://www.wps.cn/officeDocument/2017/etCustomData" ref="A4:XEA51" etc:filterBottomFollowUsedRange="0">
    <extLst/>
  </autoFilter>
  <mergeCells count="2">
    <mergeCell ref="A2:I2"/>
    <mergeCell ref="H3:I3"/>
  </mergeCells>
  <pageMargins left="0.432638888888889" right="0.156944444444444" top="0.904861111111111" bottom="0.708333333333333" header="0.314583333333333" footer="0.393055555555556"/>
  <pageSetup paperSize="9" fitToHeight="0" orientation="portrait" horizontalDpi="600"/>
  <headerFooter>
    <oddFooter>&amp;C第 &amp;P 页，共 &amp;N 页</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pageSetUpPr fitToPage="1"/>
  </sheetPr>
  <dimension ref="A1:O49"/>
  <sheetViews>
    <sheetView zoomScale="115" zoomScaleNormal="115" workbookViewId="0">
      <pane ySplit="3" topLeftCell="A4" activePane="bottomLeft" state="frozen"/>
      <selection/>
      <selection pane="bottomLeft" activeCell="G5" sqref="G5:G37"/>
    </sheetView>
  </sheetViews>
  <sheetFormatPr defaultColWidth="4.87962962962963" defaultRowHeight="16" customHeight="1"/>
  <cols>
    <col min="1" max="1" width="4.16666666666667" style="19" customWidth="1"/>
    <col min="2" max="2" width="6.46296296296296" style="19" customWidth="1"/>
    <col min="3" max="3" width="20.6296296296296" style="19" customWidth="1"/>
    <col min="4" max="4" width="6.62962962962963" style="20" customWidth="1"/>
    <col min="5" max="8" width="14.6296296296296" style="22" customWidth="1"/>
    <col min="9" max="9" width="17.2592592592593" style="22" customWidth="1"/>
    <col min="10" max="10" width="4.87962962962963" style="23"/>
    <col min="11" max="11" width="4.78703703703704" style="23" customWidth="1"/>
    <col min="12" max="12" width="5.37962962962963" style="23"/>
    <col min="13" max="13" width="6.37962962962963" style="23"/>
    <col min="14" max="14" width="12.6296296296296" style="23" customWidth="1"/>
    <col min="15" max="15" width="5.31481481481481" style="23" customWidth="1"/>
    <col min="16" max="16355" width="4.87962962962963" style="23"/>
  </cols>
  <sheetData>
    <row r="1" s="17" customFormat="1" ht="20.4" spans="1:15">
      <c r="A1" s="25" t="s">
        <v>437</v>
      </c>
    </row>
    <row r="2" s="18" customFormat="1" ht="29.4" spans="1:15">
      <c r="A2" s="26" t="s">
        <v>82</v>
      </c>
      <c r="B2" s="26"/>
      <c r="C2" s="26"/>
      <c r="D2" s="26"/>
      <c r="E2" s="26"/>
      <c r="F2" s="26"/>
      <c r="G2" s="26"/>
      <c r="H2" s="26"/>
      <c r="I2" s="26"/>
    </row>
    <row r="3" s="18" customFormat="1" customHeight="1" spans="1:15">
      <c r="A3" s="28"/>
      <c r="B3" s="28"/>
      <c r="C3" s="29"/>
      <c r="D3" s="29"/>
      <c r="E3" s="46"/>
      <c r="F3" s="31"/>
      <c r="G3" s="31"/>
      <c r="H3" s="47" t="s">
        <v>348</v>
      </c>
      <c r="I3" s="47"/>
    </row>
    <row r="4" ht="32" customHeight="1" spans="1:15">
      <c r="A4" s="32" t="s">
        <v>1</v>
      </c>
      <c r="B4" s="33" t="s">
        <v>10</v>
      </c>
      <c r="C4" s="33" t="s">
        <v>8</v>
      </c>
      <c r="D4" s="33" t="s">
        <v>11</v>
      </c>
      <c r="E4" s="33" t="s">
        <v>331</v>
      </c>
      <c r="F4" s="33" t="s">
        <v>297</v>
      </c>
      <c r="G4" s="82" t="s">
        <v>332</v>
      </c>
      <c r="H4" s="33" t="s">
        <v>396</v>
      </c>
      <c r="I4" s="35" t="s">
        <v>157</v>
      </c>
    </row>
    <row r="5" customHeight="1" spans="1:15">
      <c r="A5" s="37">
        <f t="shared" ref="A5:A20" si="0">ROW()-4</f>
        <v>1</v>
      </c>
      <c r="B5" s="38" t="s">
        <v>32</v>
      </c>
      <c r="C5" s="39" t="s">
        <v>307</v>
      </c>
      <c r="D5" s="38">
        <v>2</v>
      </c>
      <c r="E5" s="40">
        <f>SUMIFS(转置表!O:O,转置表!L:L,B5,转置表!J:J,C5,转置表!M:M,D5)</f>
        <v>3957</v>
      </c>
      <c r="F5" s="40">
        <f>SUMIFS(转置表!T:T,转置表!L:L,B5,转置表!J:J,C5,转置表!M:M,D5)</f>
        <v>25</v>
      </c>
      <c r="G5" s="83">
        <f>E5*H5</f>
        <v>8333.33333333333</v>
      </c>
      <c r="H5" s="48">
        <f>10000/30*F5/E5</f>
        <v>2.1059725381181</v>
      </c>
      <c r="I5" s="42"/>
      <c r="N5" s="90"/>
      <c r="O5" s="91"/>
    </row>
    <row r="6" customHeight="1" spans="1:15">
      <c r="A6" s="37">
        <f t="shared" si="0"/>
        <v>2</v>
      </c>
      <c r="B6" s="38" t="s">
        <v>32</v>
      </c>
      <c r="C6" s="39" t="s">
        <v>308</v>
      </c>
      <c r="D6" s="38">
        <v>2</v>
      </c>
      <c r="E6" s="40">
        <f>SUMIFS(转置表!O:O,转置表!L:L,B6,转置表!J:J,C6,转置表!M:M,D6)</f>
        <v>44234</v>
      </c>
      <c r="F6" s="40">
        <f>SUMIFS(转置表!T:T,转置表!L:L,B6,转置表!J:J,C6,转置表!M:M,D6)</f>
        <v>264.854166666802</v>
      </c>
      <c r="G6" s="83">
        <f t="shared" ref="G6:G37" si="1">E6*H6</f>
        <v>88284.7222222674</v>
      </c>
      <c r="H6" s="48">
        <f>10000/30*F6/E6</f>
        <v>1.99585663114951</v>
      </c>
      <c r="I6" s="42"/>
      <c r="N6" s="90"/>
      <c r="O6" s="91"/>
    </row>
    <row r="7" customHeight="1" spans="1:15">
      <c r="A7" s="37">
        <f t="shared" si="0"/>
        <v>3</v>
      </c>
      <c r="B7" s="38" t="s">
        <v>32</v>
      </c>
      <c r="C7" s="39" t="s">
        <v>309</v>
      </c>
      <c r="D7" s="38">
        <v>2</v>
      </c>
      <c r="E7" s="40">
        <f>SUMIFS(转置表!O:O,转置表!L:L,B7,转置表!J:J,C7,转置表!M:M,D7)</f>
        <v>21858</v>
      </c>
      <c r="F7" s="40">
        <f>SUMIFS(转置表!T:T,转置表!L:L,B7,转置表!J:J,C7,转置表!M:M,D7)</f>
        <v>182.666666666701</v>
      </c>
      <c r="G7" s="83">
        <f t="shared" si="1"/>
        <v>60888.8888889002</v>
      </c>
      <c r="H7" s="48">
        <f>10000/30*F7/E7</f>
        <v>2.78565691686797</v>
      </c>
      <c r="I7" s="43"/>
      <c r="N7" s="90"/>
      <c r="O7" s="91"/>
    </row>
    <row r="8" customHeight="1" spans="1:15">
      <c r="A8" s="37">
        <f t="shared" si="0"/>
        <v>4</v>
      </c>
      <c r="B8" s="38" t="s">
        <v>32</v>
      </c>
      <c r="C8" s="39" t="s">
        <v>310</v>
      </c>
      <c r="D8" s="38">
        <v>2</v>
      </c>
      <c r="E8" s="40">
        <f>SUMIFS(转置表!O:O,转置表!L:L,B8,转置表!J:J,C8,转置表!M:M,D8)</f>
        <v>3835</v>
      </c>
      <c r="F8" s="40">
        <f>SUMIFS(转置表!T:T,转置表!L:L,B8,转置表!J:J,C8,转置表!M:M,D8)</f>
        <v>20.1041666667006</v>
      </c>
      <c r="G8" s="83">
        <f t="shared" si="1"/>
        <v>6701.3888889002</v>
      </c>
      <c r="H8" s="48">
        <f t="shared" ref="H8:H39" si="2">10000/30*F8/E8</f>
        <v>1.74742865421126</v>
      </c>
      <c r="I8" s="43"/>
      <c r="N8" s="90"/>
      <c r="O8" s="91"/>
    </row>
    <row r="9" customHeight="1" spans="1:15">
      <c r="A9" s="37">
        <f t="shared" si="0"/>
        <v>5</v>
      </c>
      <c r="B9" s="38" t="s">
        <v>32</v>
      </c>
      <c r="C9" s="39" t="s">
        <v>311</v>
      </c>
      <c r="D9" s="38">
        <v>2</v>
      </c>
      <c r="E9" s="40">
        <f>SUMIFS(转置表!O:O,转置表!L:L,B9,转置表!J:J,C9,转置表!M:M,D9)</f>
        <v>12133</v>
      </c>
      <c r="F9" s="40">
        <f>SUMIFS(转置表!T:T,转置表!L:L,B9,转置表!J:J,C9,转置表!M:M,D9)</f>
        <v>93</v>
      </c>
      <c r="G9" s="83">
        <f t="shared" si="1"/>
        <v>31000</v>
      </c>
      <c r="H9" s="48">
        <f t="shared" si="2"/>
        <v>2.55501524767164</v>
      </c>
      <c r="I9" s="43"/>
      <c r="N9" s="90"/>
      <c r="O9" s="91"/>
    </row>
    <row r="10" customHeight="1" spans="1:15">
      <c r="A10" s="37">
        <f t="shared" si="0"/>
        <v>6</v>
      </c>
      <c r="B10" s="38" t="s">
        <v>32</v>
      </c>
      <c r="C10" s="39" t="s">
        <v>312</v>
      </c>
      <c r="D10" s="38">
        <v>2</v>
      </c>
      <c r="E10" s="40">
        <f>SUMIFS(转置表!O:O,转置表!L:L,B10,转置表!J:J,C10,转置表!M:M,D10)</f>
        <v>5497</v>
      </c>
      <c r="F10" s="40">
        <f>SUMIFS(转置表!T:T,转置表!L:L,B10,转置表!J:J,C10,转置表!M:M,D10)</f>
        <v>37</v>
      </c>
      <c r="G10" s="83">
        <f t="shared" si="1"/>
        <v>12333.3333333333</v>
      </c>
      <c r="H10" s="48">
        <f t="shared" si="2"/>
        <v>2.24364805045176</v>
      </c>
      <c r="I10" s="43"/>
      <c r="N10" s="90"/>
      <c r="O10" s="91"/>
    </row>
    <row r="11" customHeight="1" spans="1:15">
      <c r="A11" s="37">
        <f t="shared" si="0"/>
        <v>7</v>
      </c>
      <c r="B11" s="38" t="s">
        <v>32</v>
      </c>
      <c r="C11" s="39" t="s">
        <v>313</v>
      </c>
      <c r="D11" s="38">
        <v>2</v>
      </c>
      <c r="E11" s="40">
        <f>SUMIFS(转置表!O:O,转置表!L:L,B11,转置表!J:J,C11,转置表!M:M,D11)</f>
        <v>3444</v>
      </c>
      <c r="F11" s="40">
        <f>SUMIFS(转置表!T:T,转置表!L:L,B11,转置表!J:J,C11,转置表!M:M,D11)</f>
        <v>30.8125</v>
      </c>
      <c r="G11" s="83">
        <f t="shared" si="1"/>
        <v>10270.8333333333</v>
      </c>
      <c r="H11" s="48">
        <f t="shared" si="2"/>
        <v>2.98223964382501</v>
      </c>
      <c r="I11" s="43"/>
      <c r="N11" s="90"/>
      <c r="O11" s="91"/>
    </row>
    <row r="12" customHeight="1" spans="1:15">
      <c r="A12" s="37">
        <f t="shared" si="0"/>
        <v>8</v>
      </c>
      <c r="B12" s="38" t="s">
        <v>32</v>
      </c>
      <c r="C12" s="39" t="s">
        <v>314</v>
      </c>
      <c r="D12" s="38">
        <v>2</v>
      </c>
      <c r="E12" s="40">
        <f>SUMIFS(转置表!O:O,转置表!L:L,B12,转置表!J:J,C12,转置表!M:M,D12)</f>
        <v>2492</v>
      </c>
      <c r="F12" s="40">
        <f>SUMIFS(转置表!T:T,转置表!L:L,B12,转置表!J:J,C12,转置表!M:M,D12)</f>
        <v>12</v>
      </c>
      <c r="G12" s="83">
        <f t="shared" si="1"/>
        <v>4000</v>
      </c>
      <c r="H12" s="48">
        <f t="shared" si="2"/>
        <v>1.60513643659711</v>
      </c>
      <c r="I12" s="44" t="s">
        <v>334</v>
      </c>
      <c r="N12" s="90"/>
      <c r="O12" s="91"/>
    </row>
    <row r="13" customHeight="1" spans="1:15">
      <c r="A13" s="37">
        <f t="shared" si="0"/>
        <v>9</v>
      </c>
      <c r="B13" s="38" t="s">
        <v>32</v>
      </c>
      <c r="C13" s="39" t="s">
        <v>315</v>
      </c>
      <c r="D13" s="38">
        <v>2</v>
      </c>
      <c r="E13" s="40">
        <f>SUMIFS(转置表!O:O,转置表!L:L,B13,转置表!J:J,C13,转置表!M:M,D13)</f>
        <v>3321</v>
      </c>
      <c r="F13" s="40">
        <f>SUMIFS(转置表!T:T,转置表!L:L,B13,转置表!J:J,C13,转置表!M:M,D13)</f>
        <v>20.4166666665988</v>
      </c>
      <c r="G13" s="83">
        <f t="shared" si="1"/>
        <v>6805.55555553293</v>
      </c>
      <c r="H13" s="48">
        <f t="shared" si="2"/>
        <v>2.04924888754379</v>
      </c>
      <c r="I13" s="43"/>
      <c r="N13" s="90"/>
      <c r="O13" s="91"/>
    </row>
    <row r="14" customHeight="1" spans="1:15">
      <c r="A14" s="37">
        <f t="shared" si="0"/>
        <v>10</v>
      </c>
      <c r="B14" s="38" t="s">
        <v>32</v>
      </c>
      <c r="C14" s="39" t="s">
        <v>316</v>
      </c>
      <c r="D14" s="38">
        <v>2</v>
      </c>
      <c r="E14" s="40">
        <f>SUMIFS(转置表!O:O,转置表!L:L,B14,转置表!J:J,C14,转置表!M:M,D14)</f>
        <v>16455</v>
      </c>
      <c r="F14" s="40">
        <f>SUMIFS(转置表!T:T,转置表!L:L,B14,转置表!J:J,C14,转置表!M:M,D14)</f>
        <v>142.583333333299</v>
      </c>
      <c r="G14" s="83">
        <f t="shared" si="1"/>
        <v>47527.7777777665</v>
      </c>
      <c r="H14" s="48">
        <f t="shared" si="2"/>
        <v>2.88834869509368</v>
      </c>
      <c r="I14" s="43"/>
      <c r="N14" s="90"/>
      <c r="O14" s="91"/>
    </row>
    <row r="15" customHeight="1" spans="1:15">
      <c r="A15" s="37">
        <f t="shared" si="0"/>
        <v>11</v>
      </c>
      <c r="B15" s="38" t="s">
        <v>32</v>
      </c>
      <c r="C15" s="39" t="s">
        <v>317</v>
      </c>
      <c r="D15" s="38">
        <v>2</v>
      </c>
      <c r="E15" s="40">
        <f>SUMIFS(转置表!O:O,转置表!L:L,B15,转置表!J:J,C15,转置表!M:M,D15)</f>
        <v>2468</v>
      </c>
      <c r="F15" s="40">
        <f>SUMIFS(转置表!T:T,转置表!L:L,B15,转置表!J:J,C15,转置表!M:M,D15)</f>
        <v>16</v>
      </c>
      <c r="G15" s="83">
        <f t="shared" si="1"/>
        <v>5333.33333333333</v>
      </c>
      <c r="H15" s="48">
        <f t="shared" si="2"/>
        <v>2.16099405726634</v>
      </c>
      <c r="I15" s="43"/>
      <c r="N15" s="90"/>
      <c r="O15" s="91"/>
    </row>
    <row r="16" customHeight="1" spans="1:15">
      <c r="A16" s="37">
        <f t="shared" si="0"/>
        <v>12</v>
      </c>
      <c r="B16" s="38" t="s">
        <v>32</v>
      </c>
      <c r="C16" s="39" t="s">
        <v>318</v>
      </c>
      <c r="D16" s="38">
        <v>2</v>
      </c>
      <c r="E16" s="40">
        <f>SUMIFS(转置表!O:O,转置表!L:L,B16,转置表!J:J,C16,转置表!M:M,D16)</f>
        <v>9956</v>
      </c>
      <c r="F16" s="40">
        <f>SUMIFS(转置表!T:T,转置表!L:L,B16,转置表!J:J,C16,转置表!M:M,D16)</f>
        <v>72.7916666667006</v>
      </c>
      <c r="G16" s="83">
        <f t="shared" si="1"/>
        <v>24263.8888889002</v>
      </c>
      <c r="H16" s="48">
        <f t="shared" si="2"/>
        <v>2.43711218249299</v>
      </c>
      <c r="I16" s="43"/>
      <c r="N16" s="90"/>
      <c r="O16" s="91"/>
    </row>
    <row r="17" customHeight="1" spans="1:15">
      <c r="A17" s="37">
        <f t="shared" si="0"/>
        <v>13</v>
      </c>
      <c r="B17" s="38" t="s">
        <v>32</v>
      </c>
      <c r="C17" s="45" t="s">
        <v>319</v>
      </c>
      <c r="D17" s="38">
        <v>2</v>
      </c>
      <c r="E17" s="40">
        <f>SUMIFS(转置表!O:O,转置表!L:L,B17,转置表!J:J,C17,转置表!M:M,D17)</f>
        <v>4402</v>
      </c>
      <c r="F17" s="40">
        <f>SUMIFS(转置表!T:T,转置表!L:L,B17,转置表!J:J,C17,转置表!M:M,D17)</f>
        <v>22</v>
      </c>
      <c r="G17" s="83">
        <f t="shared" si="1"/>
        <v>7333.33333333333</v>
      </c>
      <c r="H17" s="48">
        <f t="shared" si="2"/>
        <v>1.66590943510526</v>
      </c>
      <c r="I17" s="43"/>
      <c r="N17" s="90"/>
      <c r="O17" s="91"/>
    </row>
    <row r="18" customHeight="1" spans="1:15">
      <c r="A18" s="37">
        <f t="shared" si="0"/>
        <v>14</v>
      </c>
      <c r="B18" s="38" t="s">
        <v>32</v>
      </c>
      <c r="C18" s="39" t="s">
        <v>320</v>
      </c>
      <c r="D18" s="38">
        <v>2</v>
      </c>
      <c r="E18" s="40">
        <f>SUMIFS(转置表!O:O,转置表!L:L,B18,转置表!J:J,C18,转置表!M:M,D18)</f>
        <v>2775</v>
      </c>
      <c r="F18" s="40">
        <f>SUMIFS(转置表!T:T,转置表!L:L,B18,转置表!J:J,C18,转置表!M:M,D18)</f>
        <v>21</v>
      </c>
      <c r="G18" s="83">
        <f t="shared" si="1"/>
        <v>7000</v>
      </c>
      <c r="H18" s="48">
        <f t="shared" si="2"/>
        <v>2.52252252252252</v>
      </c>
      <c r="I18" s="43"/>
      <c r="N18" s="90"/>
      <c r="O18" s="91"/>
    </row>
    <row r="19" customHeight="1" spans="1:15">
      <c r="A19" s="37">
        <f t="shared" si="0"/>
        <v>15</v>
      </c>
      <c r="B19" s="38" t="s">
        <v>32</v>
      </c>
      <c r="C19" s="39" t="s">
        <v>321</v>
      </c>
      <c r="D19" s="38">
        <v>2</v>
      </c>
      <c r="E19" s="40">
        <f>SUMIFS(转置表!O:O,转置表!L:L,B19,转置表!J:J,C19,转置表!M:M,D19)</f>
        <v>10593</v>
      </c>
      <c r="F19" s="40">
        <f>SUMIFS(转置表!T:T,转置表!L:L,B19,转置表!J:J,C19,转置表!M:M,D19)</f>
        <v>71</v>
      </c>
      <c r="G19" s="83">
        <f t="shared" si="1"/>
        <v>23666.6666666667</v>
      </c>
      <c r="H19" s="48">
        <f t="shared" si="2"/>
        <v>2.23417980427326</v>
      </c>
      <c r="I19" s="43"/>
      <c r="N19" s="90"/>
      <c r="O19" s="91"/>
    </row>
    <row r="20" customHeight="1" spans="1:15">
      <c r="A20" s="37">
        <f t="shared" si="0"/>
        <v>16</v>
      </c>
      <c r="B20" s="38" t="s">
        <v>38</v>
      </c>
      <c r="C20" s="39" t="s">
        <v>30</v>
      </c>
      <c r="D20" s="38">
        <v>2</v>
      </c>
      <c r="E20" s="40">
        <f>SUMIFS(转置表!O:O,转置表!L:L,B20,转置表!J:J,C20,转置表!M:M,D20)</f>
        <v>19739</v>
      </c>
      <c r="F20" s="40">
        <f>SUMIFS(转置表!T:T,转置表!L:L,B20,转置表!J:J,C20,转置表!M:M,D20)</f>
        <v>123.812500000102</v>
      </c>
      <c r="G20" s="83">
        <f t="shared" si="1"/>
        <v>41270.8333333673</v>
      </c>
      <c r="H20" s="48">
        <f t="shared" si="2"/>
        <v>2.09082695847648</v>
      </c>
      <c r="I20" s="43"/>
      <c r="N20" s="90"/>
      <c r="O20" s="91"/>
    </row>
    <row r="21" customHeight="1" spans="1:15">
      <c r="A21" s="37">
        <f t="shared" ref="A21:A26" si="3">ROW()-4</f>
        <v>17</v>
      </c>
      <c r="B21" s="38" t="s">
        <v>38</v>
      </c>
      <c r="C21" s="39" t="s">
        <v>322</v>
      </c>
      <c r="D21" s="38">
        <v>2</v>
      </c>
      <c r="E21" s="40">
        <f>SUMIFS(转置表!O:O,转置表!L:L,B21,转置表!J:J,C21,转置表!M:M,D21)</f>
        <v>4804</v>
      </c>
      <c r="F21" s="40">
        <f>SUMIFS(转置表!T:T,转置表!L:L,B21,转置表!J:J,C21,转置表!M:M,D21)</f>
        <v>38.9166666667006</v>
      </c>
      <c r="G21" s="83">
        <f t="shared" si="1"/>
        <v>12972.2222222335</v>
      </c>
      <c r="H21" s="48">
        <f t="shared" si="2"/>
        <v>2.70029604959066</v>
      </c>
      <c r="I21" s="43"/>
      <c r="N21" s="90"/>
      <c r="O21" s="91"/>
    </row>
    <row r="22" customHeight="1" spans="1:15">
      <c r="A22" s="37">
        <f t="shared" si="3"/>
        <v>18</v>
      </c>
      <c r="B22" s="38" t="s">
        <v>38</v>
      </c>
      <c r="C22" s="39" t="s">
        <v>323</v>
      </c>
      <c r="D22" s="38">
        <v>2</v>
      </c>
      <c r="E22" s="40">
        <f>SUMIFS(转置表!O:O,转置表!L:L,B22,转置表!J:J,C22,转置表!M:M,D22)</f>
        <v>18574</v>
      </c>
      <c r="F22" s="40">
        <f>SUMIFS(转置表!T:T,转置表!L:L,B22,转置表!J:J,C22,转置表!M:M,D22)</f>
        <v>100.5243055557</v>
      </c>
      <c r="G22" s="83">
        <f t="shared" si="1"/>
        <v>33508.1018519001</v>
      </c>
      <c r="H22" s="48">
        <f t="shared" si="2"/>
        <v>1.80403261827824</v>
      </c>
      <c r="I22" s="43"/>
      <c r="N22" s="90"/>
      <c r="O22" s="91"/>
    </row>
    <row r="23" customHeight="1" spans="1:15">
      <c r="A23" s="37">
        <f t="shared" si="3"/>
        <v>19</v>
      </c>
      <c r="B23" s="38" t="s">
        <v>38</v>
      </c>
      <c r="C23" s="39" t="s">
        <v>321</v>
      </c>
      <c r="D23" s="38">
        <v>2</v>
      </c>
      <c r="E23" s="40">
        <f>SUMIFS(转置表!O:O,转置表!L:L,B23,转置表!J:J,C23,转置表!M:M,D23)</f>
        <v>8000</v>
      </c>
      <c r="F23" s="40">
        <f>SUMIFS(转置表!T:T,转置表!L:L,B23,转置表!J:J,C23,转置表!M:M,D23)</f>
        <v>83.125</v>
      </c>
      <c r="G23" s="83">
        <f t="shared" si="1"/>
        <v>27708.3333333333</v>
      </c>
      <c r="H23" s="48">
        <f t="shared" si="2"/>
        <v>3.46354166666667</v>
      </c>
      <c r="I23" s="43"/>
      <c r="N23" s="90"/>
      <c r="O23" s="91"/>
    </row>
    <row r="24" customHeight="1" spans="1:15">
      <c r="A24" s="37">
        <f t="shared" si="3"/>
        <v>20</v>
      </c>
      <c r="B24" s="38" t="s">
        <v>32</v>
      </c>
      <c r="C24" s="39" t="s">
        <v>30</v>
      </c>
      <c r="D24" s="38">
        <v>3</v>
      </c>
      <c r="E24" s="40">
        <f>SUMIFS(转置表!O:O,转置表!L:L,B24,转置表!J:J,C24,转置表!M:M,D24)</f>
        <v>18653</v>
      </c>
      <c r="F24" s="40">
        <f>SUMIFS(转置表!T:T,转置表!L:L,B24,转置表!J:J,C24,转置表!M:M,D24)</f>
        <v>147</v>
      </c>
      <c r="G24" s="83">
        <f t="shared" si="1"/>
        <v>49000</v>
      </c>
      <c r="H24" s="48">
        <f t="shared" si="2"/>
        <v>2.626923283118</v>
      </c>
      <c r="I24" s="43"/>
      <c r="N24" s="90"/>
      <c r="O24" s="91"/>
    </row>
    <row r="25" customHeight="1" spans="1:15">
      <c r="A25" s="37">
        <f t="shared" si="3"/>
        <v>21</v>
      </c>
      <c r="B25" s="38" t="s">
        <v>32</v>
      </c>
      <c r="C25" s="39" t="s">
        <v>324</v>
      </c>
      <c r="D25" s="38">
        <v>3</v>
      </c>
      <c r="E25" s="40">
        <f>SUMIFS(转置表!O:O,转置表!L:L,B25,转置表!J:J,C25,转置表!M:M,D25)</f>
        <v>7594</v>
      </c>
      <c r="F25" s="40">
        <f>SUMIFS(转置表!T:T,转置表!L:L,B25,转置表!J:J,C25,转置表!M:M,D25)</f>
        <v>42.9375</v>
      </c>
      <c r="G25" s="83">
        <f t="shared" si="1"/>
        <v>14312.5</v>
      </c>
      <c r="H25" s="48">
        <f t="shared" si="2"/>
        <v>1.88471161443245</v>
      </c>
      <c r="I25" s="43"/>
      <c r="N25" s="90"/>
      <c r="O25" s="91"/>
    </row>
    <row r="26" customHeight="1" spans="1:15">
      <c r="A26" s="37">
        <f t="shared" si="3"/>
        <v>22</v>
      </c>
      <c r="B26" s="38" t="s">
        <v>32</v>
      </c>
      <c r="C26" s="39" t="s">
        <v>325</v>
      </c>
      <c r="D26" s="38">
        <v>3</v>
      </c>
      <c r="E26" s="40">
        <f>SUMIFS(转置表!O:O,转置表!L:L,B26,转置表!J:J,C26,转置表!M:M,D26)</f>
        <v>23072</v>
      </c>
      <c r="F26" s="40">
        <f>SUMIFS(转置表!T:T,转置表!L:L,B26,转置表!J:J,C26,转置表!M:M,D26)</f>
        <v>153.791666666599</v>
      </c>
      <c r="G26" s="83">
        <f t="shared" si="1"/>
        <v>51263.8888888663</v>
      </c>
      <c r="H26" s="48">
        <f t="shared" si="2"/>
        <v>2.2219091924786</v>
      </c>
      <c r="I26" s="43"/>
      <c r="N26" s="90"/>
      <c r="O26" s="91"/>
    </row>
    <row r="27" customHeight="1" spans="1:15">
      <c r="A27" s="37">
        <f t="shared" ref="A27:A46" si="4">ROW()-4</f>
        <v>23</v>
      </c>
      <c r="B27" s="38" t="s">
        <v>32</v>
      </c>
      <c r="C27" s="39" t="s">
        <v>323</v>
      </c>
      <c r="D27" s="38">
        <v>3</v>
      </c>
      <c r="E27" s="40">
        <f>SUMIFS(转置表!O:O,转置表!L:L,B27,转置表!J:J,C27,转置表!M:M,D27)</f>
        <v>3732</v>
      </c>
      <c r="F27" s="40">
        <f>SUMIFS(转置表!T:T,转置表!L:L,B27,转置表!J:J,C27,转置表!M:M,D27)</f>
        <v>39</v>
      </c>
      <c r="G27" s="83">
        <f t="shared" si="1"/>
        <v>13000</v>
      </c>
      <c r="H27" s="48">
        <f t="shared" si="2"/>
        <v>3.48338692390139</v>
      </c>
      <c r="I27" s="43"/>
      <c r="N27" s="90"/>
      <c r="O27" s="91"/>
    </row>
    <row r="28" customHeight="1" spans="1:15">
      <c r="A28" s="37">
        <f t="shared" si="4"/>
        <v>24</v>
      </c>
      <c r="B28" s="38" t="s">
        <v>32</v>
      </c>
      <c r="C28" s="39" t="s">
        <v>310</v>
      </c>
      <c r="D28" s="38">
        <v>3</v>
      </c>
      <c r="E28" s="40">
        <f>SUMIFS(转置表!O:O,转置表!L:L,B28,转置表!J:J,C28,转置表!M:M,D28)</f>
        <v>8427</v>
      </c>
      <c r="F28" s="40">
        <f>SUMIFS(转置表!T:T,转置表!L:L,B28,转置表!J:J,C28,转置表!M:M,D28)</f>
        <v>113.083333333401</v>
      </c>
      <c r="G28" s="83">
        <f t="shared" si="1"/>
        <v>37694.4444444671</v>
      </c>
      <c r="H28" s="48">
        <f t="shared" si="2"/>
        <v>4.47305618185203</v>
      </c>
      <c r="I28" s="43"/>
      <c r="N28" s="90"/>
      <c r="O28" s="91"/>
    </row>
    <row r="29" customHeight="1" spans="1:15">
      <c r="A29" s="37">
        <f t="shared" si="4"/>
        <v>25</v>
      </c>
      <c r="B29" s="38" t="s">
        <v>32</v>
      </c>
      <c r="C29" s="39" t="s">
        <v>326</v>
      </c>
      <c r="D29" s="38">
        <v>3</v>
      </c>
      <c r="E29" s="40">
        <f>SUMIFS(转置表!O:O,转置表!L:L,B29,转置表!J:J,C29,转置表!M:M,D29)</f>
        <v>10314</v>
      </c>
      <c r="F29" s="40">
        <f>SUMIFS(转置表!T:T,转置表!L:L,B29,转置表!J:J,C29,转置表!M:M,D29)</f>
        <v>126</v>
      </c>
      <c r="G29" s="83">
        <f t="shared" si="1"/>
        <v>42000</v>
      </c>
      <c r="H29" s="48">
        <f t="shared" si="2"/>
        <v>4.07213496218732</v>
      </c>
      <c r="I29" s="43"/>
      <c r="N29" s="90"/>
      <c r="O29" s="91"/>
    </row>
    <row r="30" customHeight="1" spans="1:15">
      <c r="A30" s="37">
        <f t="shared" si="4"/>
        <v>26</v>
      </c>
      <c r="B30" s="38" t="s">
        <v>32</v>
      </c>
      <c r="C30" s="39" t="s">
        <v>327</v>
      </c>
      <c r="D30" s="38">
        <v>3</v>
      </c>
      <c r="E30" s="40">
        <f>SUMIFS(转置表!O:O,转置表!L:L,B30,转置表!J:J,C30,转置表!M:M,D30)</f>
        <v>30995</v>
      </c>
      <c r="F30" s="40">
        <f>SUMIFS(转置表!T:T,转置表!L:L,B30,转置表!J:J,C30,转置表!M:M,D30)</f>
        <v>201.083333333365</v>
      </c>
      <c r="G30" s="83">
        <f t="shared" si="1"/>
        <v>67027.7777777883</v>
      </c>
      <c r="H30" s="48">
        <f t="shared" si="2"/>
        <v>2.16253517592477</v>
      </c>
      <c r="I30" s="43"/>
      <c r="N30" s="90"/>
      <c r="O30" s="91"/>
    </row>
    <row r="31" customHeight="1" spans="1:15">
      <c r="A31" s="37">
        <f t="shared" si="4"/>
        <v>27</v>
      </c>
      <c r="B31" s="38" t="s">
        <v>32</v>
      </c>
      <c r="C31" s="39" t="s">
        <v>328</v>
      </c>
      <c r="D31" s="38">
        <v>3</v>
      </c>
      <c r="E31" s="40">
        <f>SUMIFS(转置表!O:O,转置表!L:L,B31,转置表!J:J,C31,转置表!M:M,D31)</f>
        <v>27892</v>
      </c>
      <c r="F31" s="40">
        <f>SUMIFS(转置表!T:T,转置表!L:L,B31,转置表!J:J,C31,转置表!M:M,D31)</f>
        <v>222.895833333198</v>
      </c>
      <c r="G31" s="83">
        <f t="shared" si="1"/>
        <v>74298.6111110659</v>
      </c>
      <c r="H31" s="48">
        <f t="shared" si="2"/>
        <v>2.66379646891818</v>
      </c>
      <c r="I31" s="43"/>
      <c r="N31" s="90"/>
      <c r="O31" s="91"/>
    </row>
    <row r="32" customHeight="1" spans="1:15">
      <c r="A32" s="37">
        <f t="shared" si="4"/>
        <v>28</v>
      </c>
      <c r="B32" s="38" t="s">
        <v>32</v>
      </c>
      <c r="C32" s="39" t="s">
        <v>318</v>
      </c>
      <c r="D32" s="38">
        <v>3</v>
      </c>
      <c r="E32" s="40">
        <f>SUMIFS(转置表!O:O,转置表!L:L,B32,转置表!J:J,C32,转置表!M:M,D32)</f>
        <v>42074</v>
      </c>
      <c r="F32" s="40">
        <f>SUMIFS(转置表!T:T,转置表!L:L,B32,转置表!J:J,C32,转置表!M:M,D32)</f>
        <v>377.7325</v>
      </c>
      <c r="G32" s="83">
        <f t="shared" si="1"/>
        <v>125910.833333333</v>
      </c>
      <c r="H32" s="48">
        <f t="shared" si="2"/>
        <v>2.99260430035968</v>
      </c>
      <c r="I32" s="43"/>
      <c r="N32" s="90"/>
      <c r="O32" s="91"/>
    </row>
    <row r="33" customHeight="1" spans="1:15">
      <c r="A33" s="37">
        <f t="shared" si="4"/>
        <v>29</v>
      </c>
      <c r="B33" s="38" t="s">
        <v>38</v>
      </c>
      <c r="C33" s="39" t="s">
        <v>30</v>
      </c>
      <c r="D33" s="38">
        <v>3</v>
      </c>
      <c r="E33" s="40">
        <f>SUMIFS(转置表!O:O,转置表!L:L,B33,转置表!J:J,C33,转置表!M:M,D33)</f>
        <v>0</v>
      </c>
      <c r="F33" s="40">
        <f>SUMIFS(转置表!T:T,转置表!L:L,B33,转置表!J:J,C33,转置表!M:M,D33)</f>
        <v>0</v>
      </c>
      <c r="G33" s="83" t="e">
        <f t="shared" si="1"/>
        <v>#DIV/0!</v>
      </c>
      <c r="H33" s="48" t="e">
        <f t="shared" si="2"/>
        <v>#DIV/0!</v>
      </c>
      <c r="I33" s="43"/>
      <c r="N33" s="90"/>
      <c r="O33" s="91"/>
    </row>
    <row r="34" customHeight="1" spans="1:15">
      <c r="A34" s="37">
        <f t="shared" si="4"/>
        <v>30</v>
      </c>
      <c r="B34" s="38" t="s">
        <v>38</v>
      </c>
      <c r="C34" s="39" t="s">
        <v>322</v>
      </c>
      <c r="D34" s="38">
        <v>3</v>
      </c>
      <c r="E34" s="40">
        <f>SUMIFS(转置表!O:O,转置表!L:L,B34,转置表!J:J,C34,转置表!M:M,D34)</f>
        <v>8218</v>
      </c>
      <c r="F34" s="40">
        <f>SUMIFS(转置表!T:T,转置表!L:L,B34,转置表!J:J,C34,转置表!M:M,D34)</f>
        <v>62</v>
      </c>
      <c r="G34" s="83">
        <f t="shared" si="1"/>
        <v>20666.6666666667</v>
      </c>
      <c r="H34" s="48">
        <f t="shared" si="2"/>
        <v>2.51480489981342</v>
      </c>
      <c r="I34" s="43"/>
      <c r="N34" s="90"/>
      <c r="O34" s="91"/>
    </row>
    <row r="35" customHeight="1" spans="1:15">
      <c r="A35" s="37">
        <f t="shared" si="4"/>
        <v>31</v>
      </c>
      <c r="B35" s="38" t="s">
        <v>38</v>
      </c>
      <c r="C35" s="39" t="s">
        <v>323</v>
      </c>
      <c r="D35" s="38">
        <v>3</v>
      </c>
      <c r="E35" s="40">
        <f>SUMIFS(转置表!O:O,转置表!L:L,B35,转置表!J:J,C35,转置表!M:M,D35)</f>
        <v>43535</v>
      </c>
      <c r="F35" s="40">
        <f>SUMIFS(转置表!T:T,转置表!L:L,B35,转置表!J:J,C35,转置表!M:M,D35)</f>
        <v>389</v>
      </c>
      <c r="G35" s="83">
        <f t="shared" si="1"/>
        <v>129666.666666667</v>
      </c>
      <c r="H35" s="48">
        <f t="shared" si="2"/>
        <v>2.97844646070212</v>
      </c>
      <c r="I35" s="44" t="s">
        <v>335</v>
      </c>
      <c r="N35" s="90"/>
      <c r="O35" s="91"/>
    </row>
    <row r="36" customHeight="1" spans="1:15">
      <c r="A36" s="37">
        <f t="shared" si="4"/>
        <v>32</v>
      </c>
      <c r="B36" s="38" t="s">
        <v>38</v>
      </c>
      <c r="C36" s="39" t="s">
        <v>44</v>
      </c>
      <c r="D36" s="38">
        <v>3</v>
      </c>
      <c r="E36" s="40">
        <f>SUMIFS(转置表!O:O,转置表!L:L,B36,转置表!J:J,C36,转置表!M:M,D36)</f>
        <v>5842</v>
      </c>
      <c r="F36" s="40">
        <f>SUMIFS(转置表!T:T,转置表!L:L,B36,转置表!J:J,C36,转置表!M:M,D36)</f>
        <v>46.71</v>
      </c>
      <c r="G36" s="83">
        <f t="shared" si="1"/>
        <v>15570</v>
      </c>
      <c r="H36" s="48">
        <f t="shared" si="2"/>
        <v>2.66518315645327</v>
      </c>
      <c r="I36" s="43"/>
      <c r="N36" s="90"/>
      <c r="O36" s="91"/>
    </row>
    <row r="37" customHeight="1" spans="1:15">
      <c r="A37" s="37">
        <f t="shared" si="4"/>
        <v>33</v>
      </c>
      <c r="B37" s="38" t="s">
        <v>32</v>
      </c>
      <c r="C37" s="39" t="s">
        <v>30</v>
      </c>
      <c r="D37" s="38">
        <v>4</v>
      </c>
      <c r="E37" s="40">
        <f>SUMIFS(转置表!O:O,转置表!L:L,B37,转置表!J:J,C37,转置表!M:M,D37)</f>
        <v>14474</v>
      </c>
      <c r="F37" s="40">
        <f>SUMIFS(转置表!T:T,转置表!L:L,B37,转置表!J:J,C37,转置表!M:M,D37)</f>
        <v>152.770833333401</v>
      </c>
      <c r="G37" s="83">
        <f t="shared" si="1"/>
        <v>50923.6111111337</v>
      </c>
      <c r="H37" s="48">
        <f t="shared" si="2"/>
        <v>3.51828182334764</v>
      </c>
      <c r="I37" s="43"/>
      <c r="N37" s="90"/>
      <c r="O37" s="91"/>
    </row>
    <row r="38" customHeight="1" spans="1:15">
      <c r="A38" s="19" t="s">
        <v>438</v>
      </c>
    </row>
    <row r="39" customHeight="1" spans="1:15">
      <c r="B39" s="50" t="s">
        <v>32</v>
      </c>
      <c r="C39" s="50" t="s">
        <v>336</v>
      </c>
      <c r="D39" s="50">
        <v>3</v>
      </c>
      <c r="E39" s="51">
        <v>6082</v>
      </c>
      <c r="F39" s="51">
        <v>52.75</v>
      </c>
      <c r="G39" s="51"/>
      <c r="H39" s="51">
        <f t="shared" ref="H39:H47" si="5">10000/30*F39/E39</f>
        <v>2.89104461251781</v>
      </c>
    </row>
    <row r="40" customHeight="1" spans="1:15">
      <c r="B40" s="50" t="s">
        <v>32</v>
      </c>
      <c r="C40" s="50" t="s">
        <v>337</v>
      </c>
      <c r="D40" s="50">
        <v>3</v>
      </c>
      <c r="E40" s="51">
        <v>5220</v>
      </c>
      <c r="F40" s="51">
        <v>53.5</v>
      </c>
      <c r="G40" s="51"/>
      <c r="H40" s="51">
        <f t="shared" si="5"/>
        <v>3.41634738186462</v>
      </c>
    </row>
    <row r="41" customHeight="1" spans="1:15">
      <c r="B41" s="50" t="s">
        <v>32</v>
      </c>
      <c r="C41" s="50" t="s">
        <v>338</v>
      </c>
      <c r="D41" s="50">
        <v>2</v>
      </c>
      <c r="E41" s="51">
        <v>1761</v>
      </c>
      <c r="F41" s="51">
        <v>10</v>
      </c>
      <c r="G41" s="51"/>
      <c r="H41" s="51">
        <f t="shared" si="5"/>
        <v>1.89286390308537</v>
      </c>
    </row>
    <row r="42" customHeight="1" spans="1:15">
      <c r="B42" s="50" t="s">
        <v>32</v>
      </c>
      <c r="C42" s="50" t="s">
        <v>339</v>
      </c>
      <c r="D42" s="50">
        <v>2</v>
      </c>
      <c r="E42" s="51">
        <v>2327</v>
      </c>
      <c r="F42" s="51">
        <v>14</v>
      </c>
      <c r="G42" s="51"/>
      <c r="H42" s="51">
        <f t="shared" si="5"/>
        <v>2.00544334622547</v>
      </c>
    </row>
    <row r="43" customHeight="1" spans="1:15">
      <c r="B43" s="50" t="s">
        <v>32</v>
      </c>
      <c r="C43" s="50" t="s">
        <v>340</v>
      </c>
      <c r="D43" s="50">
        <v>2</v>
      </c>
      <c r="E43" s="51">
        <v>3092</v>
      </c>
      <c r="F43" s="51">
        <v>17</v>
      </c>
      <c r="G43" s="51"/>
      <c r="H43" s="51">
        <f t="shared" si="5"/>
        <v>1.83268650280293</v>
      </c>
    </row>
    <row r="44" customHeight="1" spans="1:15">
      <c r="B44" s="50" t="s">
        <v>38</v>
      </c>
      <c r="C44" s="50" t="s">
        <v>341</v>
      </c>
      <c r="D44" s="50">
        <v>3</v>
      </c>
      <c r="E44" s="51">
        <v>2695</v>
      </c>
      <c r="F44" s="51">
        <v>25.5</v>
      </c>
      <c r="G44" s="51"/>
      <c r="H44" s="51">
        <f t="shared" si="5"/>
        <v>3.15398886827458</v>
      </c>
    </row>
    <row r="45" customHeight="1" spans="1:15">
      <c r="B45" s="50" t="s">
        <v>38</v>
      </c>
      <c r="C45" s="50" t="s">
        <v>342</v>
      </c>
      <c r="D45" s="50">
        <v>3</v>
      </c>
      <c r="E45" s="51">
        <v>2720</v>
      </c>
      <c r="F45" s="51">
        <v>23.1</v>
      </c>
      <c r="G45" s="51"/>
      <c r="H45" s="51">
        <f t="shared" si="5"/>
        <v>2.83088235294118</v>
      </c>
    </row>
    <row r="46" customHeight="1" spans="1:15">
      <c r="B46" s="50" t="s">
        <v>32</v>
      </c>
      <c r="C46" s="50" t="s">
        <v>344</v>
      </c>
      <c r="D46" s="50">
        <v>2</v>
      </c>
      <c r="E46" s="51">
        <v>3092</v>
      </c>
      <c r="F46" s="51">
        <v>18.5</v>
      </c>
      <c r="G46" s="51"/>
      <c r="H46" s="51">
        <f t="shared" si="5"/>
        <v>1.99439413540319</v>
      </c>
    </row>
    <row r="47" customHeight="1" spans="1:15">
      <c r="B47" s="50" t="s">
        <v>32</v>
      </c>
      <c r="C47" s="50" t="s">
        <v>345</v>
      </c>
      <c r="D47" s="50">
        <v>3</v>
      </c>
      <c r="E47" s="51">
        <v>4540</v>
      </c>
      <c r="F47" s="51">
        <v>27.5</v>
      </c>
      <c r="G47" s="51"/>
      <c r="H47" s="51">
        <f t="shared" si="5"/>
        <v>2.01908957415565</v>
      </c>
    </row>
    <row r="48" customHeight="1" spans="1:15">
      <c r="B48" s="50"/>
      <c r="C48" s="50"/>
      <c r="D48" s="50"/>
      <c r="E48" s="51"/>
      <c r="F48" s="51"/>
      <c r="G48" s="51"/>
      <c r="H48" s="51"/>
    </row>
    <row r="49" customHeight="1" spans="1:1">
      <c r="A49" s="89" t="s">
        <v>355</v>
      </c>
    </row>
  </sheetData>
  <sheetProtection formatCells="0" formatColumns="0" formatRows="0" insertRows="0" insertColumns="0" insertHyperlinks="0" deleteColumns="0" deleteRows="0" sort="0" autoFilter="0" pivotTables="0"/>
  <autoFilter xmlns:etc="http://www.wps.cn/officeDocument/2017/etCustomData" ref="A4:XEA49" etc:filterBottomFollowUsedRange="0">
    <extLst/>
  </autoFilter>
  <mergeCells count="2">
    <mergeCell ref="A2:I2"/>
    <mergeCell ref="H3:I3"/>
  </mergeCells>
  <pageMargins left="0.432638888888889" right="0.156944444444444" top="0.904861111111111" bottom="0.708333333333333" header="0.314583333333333" footer="0.393055555555556"/>
  <pageSetup paperSize="9" fitToHeight="0" orientation="portrait" horizontalDpi="600"/>
  <headerFooter>
    <oddFooter>&amp;C第 &amp;P 页，共 &amp;N 页</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P39"/>
  <sheetViews>
    <sheetView zoomScale="115" zoomScaleNormal="115" topLeftCell="A2" workbookViewId="0">
      <selection activeCell="G5" sqref="G5:G37"/>
    </sheetView>
  </sheetViews>
  <sheetFormatPr defaultColWidth="9" defaultRowHeight="14.4"/>
  <cols>
    <col min="3" max="3" width="14.4444444444444" customWidth="1"/>
    <col min="4" max="4" width="7.05555555555556" customWidth="1"/>
    <col min="5" max="5" width="11.1944444444444" customWidth="1"/>
    <col min="6" max="6" width="13.1296296296296" customWidth="1"/>
    <col min="7" max="7" width="7.87962962962963" customWidth="1"/>
    <col min="8" max="8" width="17.2592592592593" customWidth="1"/>
    <col min="9" max="9" width="23.7037037037037" customWidth="1"/>
    <col min="12" max="12" width="10.3796296296296"/>
    <col min="16" max="17" width="12.6296296296296"/>
  </cols>
  <sheetData>
    <row r="1" ht="20.4" spans="1:16">
      <c r="A1" s="25" t="s">
        <v>439</v>
      </c>
      <c r="B1" s="17"/>
      <c r="C1" s="17"/>
      <c r="D1" s="17"/>
      <c r="E1" s="17"/>
      <c r="F1" s="17"/>
      <c r="G1" s="17"/>
      <c r="H1" s="17"/>
      <c r="I1" s="17"/>
    </row>
    <row r="2" ht="29.4" spans="1:16">
      <c r="A2" s="26" t="s">
        <v>83</v>
      </c>
      <c r="B2" s="26"/>
      <c r="C2" s="26"/>
      <c r="D2" s="26"/>
      <c r="E2" s="26"/>
      <c r="F2" s="26"/>
      <c r="G2" s="26"/>
      <c r="H2" s="26"/>
      <c r="I2" s="26"/>
    </row>
    <row r="3" ht="15.15" spans="1:16">
      <c r="A3" s="28"/>
      <c r="B3" s="28"/>
      <c r="C3" s="29"/>
      <c r="D3" s="29"/>
      <c r="E3" s="46"/>
      <c r="F3" s="31"/>
      <c r="G3" s="47" t="s">
        <v>348</v>
      </c>
      <c r="H3" s="47"/>
      <c r="I3" s="85"/>
    </row>
    <row r="4" ht="15" spans="1:16">
      <c r="A4" s="32" t="s">
        <v>1</v>
      </c>
      <c r="B4" s="33" t="s">
        <v>10</v>
      </c>
      <c r="C4" s="33" t="s">
        <v>8</v>
      </c>
      <c r="D4" s="33" t="s">
        <v>11</v>
      </c>
      <c r="E4" s="33" t="s">
        <v>295</v>
      </c>
      <c r="F4" s="82" t="s">
        <v>332</v>
      </c>
      <c r="G4" s="33" t="s">
        <v>396</v>
      </c>
      <c r="H4" s="35" t="s">
        <v>157</v>
      </c>
      <c r="I4" s="86"/>
      <c r="J4" s="87" t="s">
        <v>1</v>
      </c>
      <c r="K4" s="87" t="s">
        <v>440</v>
      </c>
      <c r="L4" s="87" t="s">
        <v>153</v>
      </c>
      <c r="M4" s="87" t="s">
        <v>441</v>
      </c>
    </row>
    <row r="5" ht="16" customHeight="1" spans="1:16">
      <c r="A5" s="37">
        <f t="shared" ref="A5:A37" si="0">ROW()-4</f>
        <v>1</v>
      </c>
      <c r="B5" s="38" t="s">
        <v>32</v>
      </c>
      <c r="C5" s="39" t="s">
        <v>307</v>
      </c>
      <c r="D5" s="38">
        <v>2</v>
      </c>
      <c r="E5" s="83">
        <f>SUMIFS(转置表!O:O,转置表!L:L,B5,转置表!J:J,C5,转置表!M:M,D5)</f>
        <v>3957</v>
      </c>
      <c r="F5" s="83">
        <v>0</v>
      </c>
      <c r="G5" s="40"/>
      <c r="H5" s="42"/>
      <c r="I5" s="86"/>
      <c r="J5" s="87"/>
      <c r="K5" s="87"/>
      <c r="L5" s="87"/>
      <c r="M5" s="87"/>
      <c r="P5" s="13"/>
    </row>
    <row r="6" ht="16" customHeight="1" spans="1:16">
      <c r="A6" s="37">
        <f t="shared" si="0"/>
        <v>2</v>
      </c>
      <c r="B6" s="38" t="s">
        <v>32</v>
      </c>
      <c r="C6" s="39" t="s">
        <v>308</v>
      </c>
      <c r="D6" s="38">
        <v>2</v>
      </c>
      <c r="E6" s="83">
        <f>SUMIFS(转置表!O:O,转置表!L:L,B6,转置表!J:J,C6,转置表!M:M,D6)</f>
        <v>44234</v>
      </c>
      <c r="F6" s="83">
        <f>104764.941604431+9954+11771+9125+8927+11297</f>
        <v>155838.941604431</v>
      </c>
      <c r="G6" s="40">
        <f>F6/E6</f>
        <v>3.5230578650909</v>
      </c>
      <c r="H6" s="42"/>
      <c r="I6" s="86"/>
      <c r="J6" s="87"/>
      <c r="K6" s="87"/>
      <c r="L6" s="87"/>
      <c r="M6" s="87"/>
      <c r="P6" s="13"/>
    </row>
    <row r="7" ht="16" customHeight="1" spans="1:16">
      <c r="A7" s="37">
        <f t="shared" si="0"/>
        <v>3</v>
      </c>
      <c r="B7" s="38" t="s">
        <v>32</v>
      </c>
      <c r="C7" s="39" t="s">
        <v>309</v>
      </c>
      <c r="D7" s="38">
        <v>2</v>
      </c>
      <c r="E7" s="83">
        <f>SUMIFS(转置表!O:O,转置表!L:L,B7,转置表!J:J,C7,转置表!M:M,D7)</f>
        <v>21858</v>
      </c>
      <c r="F7" s="83">
        <v>100586.492734325</v>
      </c>
      <c r="G7" s="40">
        <f>F7/E7</f>
        <v>4.60181593623959</v>
      </c>
      <c r="H7" s="43"/>
      <c r="I7" s="86"/>
      <c r="J7" s="87">
        <v>1</v>
      </c>
      <c r="K7" s="87" t="s">
        <v>442</v>
      </c>
      <c r="L7" s="87" t="s">
        <v>443</v>
      </c>
      <c r="M7" s="87">
        <v>0.68</v>
      </c>
      <c r="P7" s="13"/>
    </row>
    <row r="8" ht="16" customHeight="1" spans="1:16">
      <c r="A8" s="37">
        <f t="shared" si="0"/>
        <v>4</v>
      </c>
      <c r="B8" s="38" t="s">
        <v>32</v>
      </c>
      <c r="C8" s="39" t="s">
        <v>310</v>
      </c>
      <c r="D8" s="38">
        <v>2</v>
      </c>
      <c r="E8" s="83">
        <f>SUMIFS(转置表!O:O,转置表!L:L,B8,转置表!J:J,C8,转置表!M:M,D8)</f>
        <v>3835</v>
      </c>
      <c r="F8" s="83">
        <v>15207.5</v>
      </c>
      <c r="G8" s="40">
        <f>F8/E8</f>
        <v>3.96544980443286</v>
      </c>
      <c r="H8" s="43"/>
      <c r="I8" s="86"/>
      <c r="J8" s="87">
        <v>2</v>
      </c>
      <c r="K8" s="87" t="s">
        <v>444</v>
      </c>
      <c r="L8" s="87" t="s">
        <v>443</v>
      </c>
      <c r="M8" s="87">
        <v>0.31</v>
      </c>
      <c r="P8" s="13"/>
    </row>
    <row r="9" ht="16" customHeight="1" spans="1:16">
      <c r="A9" s="37">
        <f t="shared" si="0"/>
        <v>5</v>
      </c>
      <c r="B9" s="38" t="s">
        <v>32</v>
      </c>
      <c r="C9" s="39" t="s">
        <v>311</v>
      </c>
      <c r="D9" s="38">
        <v>2</v>
      </c>
      <c r="E9" s="83">
        <f>SUMIFS(转置表!O:O,转置表!L:L,B9,转置表!J:J,C9,转置表!M:M,D9)</f>
        <v>12133</v>
      </c>
      <c r="F9" s="83">
        <v>53404</v>
      </c>
      <c r="G9" s="40">
        <f>F9/E9</f>
        <v>4.40154949311794</v>
      </c>
      <c r="H9" s="43"/>
      <c r="I9" s="86"/>
      <c r="J9" s="87">
        <v>3</v>
      </c>
      <c r="K9" s="87" t="s">
        <v>445</v>
      </c>
      <c r="L9" s="87" t="s">
        <v>443</v>
      </c>
      <c r="M9" s="87">
        <v>0.19</v>
      </c>
      <c r="P9" s="13"/>
    </row>
    <row r="10" ht="16" customHeight="1" spans="1:16">
      <c r="A10" s="37">
        <f t="shared" si="0"/>
        <v>6</v>
      </c>
      <c r="B10" s="38" t="s">
        <v>32</v>
      </c>
      <c r="C10" s="39" t="s">
        <v>312</v>
      </c>
      <c r="D10" s="38">
        <v>2</v>
      </c>
      <c r="E10" s="83">
        <f>SUMIFS(转置表!O:O,转置表!L:L,B10,转置表!J:J,C10,转置表!M:M,D10)</f>
        <v>5497</v>
      </c>
      <c r="F10" s="83">
        <v>19671</v>
      </c>
      <c r="G10" s="40">
        <f>F10/E10</f>
        <v>3.57849736219756</v>
      </c>
      <c r="H10" s="43"/>
      <c r="I10" s="86"/>
      <c r="J10" s="87">
        <v>4</v>
      </c>
      <c r="K10" s="87" t="s">
        <v>446</v>
      </c>
      <c r="L10" s="87" t="s">
        <v>443</v>
      </c>
      <c r="M10" s="87">
        <v>0.15</v>
      </c>
      <c r="P10" s="13"/>
    </row>
    <row r="11" ht="16" customHeight="1" spans="1:16">
      <c r="A11" s="37">
        <f t="shared" si="0"/>
        <v>7</v>
      </c>
      <c r="B11" s="38" t="s">
        <v>32</v>
      </c>
      <c r="C11" s="39" t="s">
        <v>313</v>
      </c>
      <c r="D11" s="38">
        <v>2</v>
      </c>
      <c r="E11" s="83">
        <f>SUMIFS(转置表!O:O,转置表!L:L,B11,转置表!J:J,C11,转置表!M:M,D11)</f>
        <v>3444</v>
      </c>
      <c r="F11" s="83">
        <v>0</v>
      </c>
      <c r="G11" s="40"/>
      <c r="H11" s="43"/>
      <c r="I11" s="86"/>
      <c r="J11" s="87">
        <v>5</v>
      </c>
      <c r="K11" s="87" t="s">
        <v>447</v>
      </c>
      <c r="L11" s="87" t="s">
        <v>443</v>
      </c>
      <c r="M11" s="87">
        <v>0.09</v>
      </c>
      <c r="P11" s="13"/>
    </row>
    <row r="12" ht="16" customHeight="1" spans="1:16">
      <c r="A12" s="37">
        <f t="shared" si="0"/>
        <v>8</v>
      </c>
      <c r="B12" s="38" t="s">
        <v>32</v>
      </c>
      <c r="C12" s="39" t="s">
        <v>314</v>
      </c>
      <c r="D12" s="38">
        <v>2</v>
      </c>
      <c r="E12" s="83">
        <f>SUMIFS(转置表!O:O,转置表!L:L,B12,转置表!J:J,C12,转置表!M:M,D12)</f>
        <v>2492</v>
      </c>
      <c r="F12" s="83">
        <v>0</v>
      </c>
      <c r="G12" s="40"/>
      <c r="H12" s="44"/>
      <c r="I12" s="88"/>
      <c r="J12" s="87">
        <v>6</v>
      </c>
      <c r="K12" s="87" t="s">
        <v>448</v>
      </c>
      <c r="L12" s="87" t="s">
        <v>443</v>
      </c>
      <c r="M12" s="87">
        <v>0.09</v>
      </c>
      <c r="P12" s="13"/>
    </row>
    <row r="13" ht="16" customHeight="1" spans="1:16">
      <c r="A13" s="37">
        <f t="shared" si="0"/>
        <v>9</v>
      </c>
      <c r="B13" s="38" t="s">
        <v>32</v>
      </c>
      <c r="C13" s="39" t="s">
        <v>315</v>
      </c>
      <c r="D13" s="38">
        <v>2</v>
      </c>
      <c r="E13" s="83">
        <f>SUMIFS(转置表!O:O,转置表!L:L,B13,转置表!J:J,C13,转置表!M:M,D13)</f>
        <v>3321</v>
      </c>
      <c r="F13" s="83">
        <v>13390.5</v>
      </c>
      <c r="G13" s="40">
        <f>F13/E13</f>
        <v>4.03206865401987</v>
      </c>
      <c r="H13" s="43"/>
      <c r="I13" s="86"/>
      <c r="J13" s="87">
        <v>7</v>
      </c>
      <c r="K13" s="87" t="s">
        <v>449</v>
      </c>
      <c r="L13" s="87" t="s">
        <v>443</v>
      </c>
      <c r="M13" s="87">
        <v>0.07</v>
      </c>
      <c r="P13" s="13"/>
    </row>
    <row r="14" ht="16" customHeight="1" spans="1:16">
      <c r="A14" s="37">
        <f t="shared" si="0"/>
        <v>10</v>
      </c>
      <c r="B14" s="38" t="s">
        <v>32</v>
      </c>
      <c r="C14" s="39" t="s">
        <v>316</v>
      </c>
      <c r="D14" s="38">
        <v>2</v>
      </c>
      <c r="E14" s="83">
        <f>SUMIFS(转置表!O:O,转置表!L:L,B14,转置表!J:J,C14,转置表!M:M,D14)</f>
        <v>16455</v>
      </c>
      <c r="F14" s="83">
        <v>0</v>
      </c>
      <c r="G14" s="40"/>
      <c r="H14" s="43"/>
      <c r="I14" s="86"/>
      <c r="J14" s="87">
        <v>8</v>
      </c>
      <c r="K14" s="87" t="s">
        <v>450</v>
      </c>
      <c r="L14" s="87" t="s">
        <v>443</v>
      </c>
      <c r="M14" s="87">
        <v>0.04</v>
      </c>
      <c r="P14" s="13"/>
    </row>
    <row r="15" ht="16" customHeight="1" spans="1:16">
      <c r="A15" s="37">
        <f t="shared" si="0"/>
        <v>11</v>
      </c>
      <c r="B15" s="38" t="s">
        <v>32</v>
      </c>
      <c r="C15" s="39" t="s">
        <v>317</v>
      </c>
      <c r="D15" s="38">
        <v>2</v>
      </c>
      <c r="E15" s="83">
        <f>SUMIFS(转置表!O:O,转置表!L:L,B15,转置表!J:J,C15,转置表!M:M,D15)</f>
        <v>2468</v>
      </c>
      <c r="F15" s="83">
        <v>0</v>
      </c>
      <c r="G15" s="40"/>
      <c r="H15" s="43"/>
      <c r="I15" s="86"/>
      <c r="J15" s="87">
        <v>9</v>
      </c>
      <c r="K15" s="87" t="s">
        <v>451</v>
      </c>
      <c r="L15" s="87" t="s">
        <v>443</v>
      </c>
      <c r="M15" s="87">
        <v>0.02</v>
      </c>
      <c r="P15" s="13"/>
    </row>
    <row r="16" ht="16" customHeight="1" spans="1:16">
      <c r="A16" s="37">
        <f t="shared" si="0"/>
        <v>12</v>
      </c>
      <c r="B16" s="38" t="s">
        <v>32</v>
      </c>
      <c r="C16" s="39" t="s">
        <v>318</v>
      </c>
      <c r="D16" s="38">
        <v>2</v>
      </c>
      <c r="E16" s="83">
        <f>SUMIFS(转置表!O:O,转置表!L:L,B16,转置表!J:J,C16,转置表!M:M,D16)</f>
        <v>9956</v>
      </c>
      <c r="F16" s="83">
        <v>0</v>
      </c>
      <c r="G16" s="40"/>
      <c r="H16" s="43"/>
      <c r="I16" s="86"/>
      <c r="P16" s="13"/>
    </row>
    <row r="17" ht="16" customHeight="1" spans="1:16">
      <c r="A17" s="37">
        <f t="shared" si="0"/>
        <v>13</v>
      </c>
      <c r="B17" s="38" t="s">
        <v>32</v>
      </c>
      <c r="C17" s="45" t="s">
        <v>319</v>
      </c>
      <c r="D17" s="38">
        <v>2</v>
      </c>
      <c r="E17" s="83">
        <f>SUMIFS(转置表!O:O,转置表!L:L,B17,转置表!J:J,C17,转置表!M:M,D17)</f>
        <v>4402</v>
      </c>
      <c r="F17" s="83">
        <v>0</v>
      </c>
      <c r="G17" s="40"/>
      <c r="H17" s="43"/>
      <c r="I17" s="86"/>
      <c r="P17" s="13"/>
    </row>
    <row r="18" ht="16" customHeight="1" spans="1:16">
      <c r="A18" s="37">
        <f t="shared" si="0"/>
        <v>14</v>
      </c>
      <c r="B18" s="38" t="s">
        <v>32</v>
      </c>
      <c r="C18" s="39" t="s">
        <v>320</v>
      </c>
      <c r="D18" s="38">
        <v>2</v>
      </c>
      <c r="E18" s="83">
        <f>SUMIFS(转置表!O:O,转置表!L:L,B18,转置表!J:J,C18,转置表!M:M,D18)</f>
        <v>2775</v>
      </c>
      <c r="F18" s="83">
        <v>0</v>
      </c>
      <c r="G18" s="40"/>
      <c r="H18" s="43"/>
      <c r="I18" s="86"/>
      <c r="P18" s="13"/>
    </row>
    <row r="19" ht="16" customHeight="1" spans="1:16">
      <c r="A19" s="37">
        <f t="shared" si="0"/>
        <v>15</v>
      </c>
      <c r="B19" s="38" t="s">
        <v>32</v>
      </c>
      <c r="C19" s="39" t="s">
        <v>321</v>
      </c>
      <c r="D19" s="38">
        <v>2</v>
      </c>
      <c r="E19" s="83">
        <f>SUMIFS(转置表!O:O,转置表!L:L,B19,转置表!J:J,C19,转置表!M:M,D19)</f>
        <v>10593</v>
      </c>
      <c r="F19" s="83">
        <v>0</v>
      </c>
      <c r="G19" s="40"/>
      <c r="H19" s="43"/>
      <c r="I19" s="86"/>
      <c r="P19" s="13"/>
    </row>
    <row r="20" ht="16" customHeight="1" spans="1:16">
      <c r="A20" s="37">
        <f t="shared" si="0"/>
        <v>16</v>
      </c>
      <c r="B20" s="38" t="s">
        <v>38</v>
      </c>
      <c r="C20" s="39" t="s">
        <v>30</v>
      </c>
      <c r="D20" s="38">
        <v>2</v>
      </c>
      <c r="E20" s="83">
        <f>SUMIFS(转置表!O:O,转置表!L:L,B20,转置表!J:J,C20,转置表!M:M,D20)</f>
        <v>19739</v>
      </c>
      <c r="F20" s="83">
        <v>79872.9639523149</v>
      </c>
      <c r="G20" s="40">
        <f>F20/E20</f>
        <v>4.04645442789984</v>
      </c>
      <c r="H20" s="43"/>
      <c r="I20" s="86"/>
      <c r="P20" s="13"/>
    </row>
    <row r="21" ht="16" customHeight="1" spans="1:16">
      <c r="A21" s="37">
        <f t="shared" si="0"/>
        <v>17</v>
      </c>
      <c r="B21" s="38" t="s">
        <v>38</v>
      </c>
      <c r="C21" s="39" t="s">
        <v>322</v>
      </c>
      <c r="D21" s="38">
        <v>2</v>
      </c>
      <c r="E21" s="83">
        <f>SUMIFS(转置表!O:O,转置表!L:L,B21,转置表!J:J,C21,转置表!M:M,D21)</f>
        <v>4804</v>
      </c>
      <c r="F21" s="83">
        <v>0</v>
      </c>
      <c r="G21" s="40"/>
      <c r="H21" s="43"/>
      <c r="I21" s="86"/>
      <c r="P21" s="13"/>
    </row>
    <row r="22" ht="16" customHeight="1" spans="1:16">
      <c r="A22" s="37">
        <f t="shared" si="0"/>
        <v>18</v>
      </c>
      <c r="B22" s="38" t="s">
        <v>38</v>
      </c>
      <c r="C22" s="39" t="s">
        <v>323</v>
      </c>
      <c r="D22" s="38">
        <v>2</v>
      </c>
      <c r="E22" s="83">
        <f>SUMIFS(转置表!O:O,转置表!L:L,B22,转置表!J:J,C22,转置表!M:M,D22)</f>
        <v>18574</v>
      </c>
      <c r="F22" s="83">
        <v>0</v>
      </c>
      <c r="G22" s="40"/>
      <c r="H22" s="43"/>
      <c r="I22" s="86"/>
      <c r="P22" s="13"/>
    </row>
    <row r="23" ht="16" customHeight="1" spans="1:16">
      <c r="A23" s="37">
        <f t="shared" si="0"/>
        <v>19</v>
      </c>
      <c r="B23" s="38" t="s">
        <v>38</v>
      </c>
      <c r="C23" s="39" t="s">
        <v>321</v>
      </c>
      <c r="D23" s="38">
        <v>2</v>
      </c>
      <c r="E23" s="83">
        <f>SUMIFS(转置表!O:O,转置表!L:L,B23,转置表!J:J,C23,转置表!M:M,D23)</f>
        <v>8000</v>
      </c>
      <c r="F23" s="83">
        <v>0</v>
      </c>
      <c r="G23" s="40"/>
      <c r="H23" s="43"/>
      <c r="I23" s="86"/>
      <c r="P23" s="13"/>
    </row>
    <row r="24" ht="16" customHeight="1" spans="1:16">
      <c r="A24" s="37">
        <f t="shared" si="0"/>
        <v>20</v>
      </c>
      <c r="B24" s="38" t="s">
        <v>32</v>
      </c>
      <c r="C24" s="39" t="s">
        <v>30</v>
      </c>
      <c r="D24" s="38">
        <v>3</v>
      </c>
      <c r="E24" s="83">
        <f>SUMIFS(转置表!O:O,转置表!L:L,B24,转置表!J:J,C24,转置表!M:M,D24)</f>
        <v>18653</v>
      </c>
      <c r="F24" s="83">
        <v>79632.0000000001</v>
      </c>
      <c r="G24" s="40">
        <f>F24/E24</f>
        <v>4.26912560982148</v>
      </c>
      <c r="H24" s="43"/>
      <c r="I24" s="86"/>
      <c r="P24" s="13"/>
    </row>
    <row r="25" ht="16" customHeight="1" spans="1:16">
      <c r="A25" s="37">
        <f t="shared" si="0"/>
        <v>21</v>
      </c>
      <c r="B25" s="38" t="s">
        <v>32</v>
      </c>
      <c r="C25" s="39" t="s">
        <v>324</v>
      </c>
      <c r="D25" s="38">
        <v>3</v>
      </c>
      <c r="E25" s="83">
        <f>SUMIFS(转置表!O:O,转置表!L:L,B25,转置表!J:J,C25,转置表!M:M,D25)</f>
        <v>7594</v>
      </c>
      <c r="F25" s="83">
        <v>0</v>
      </c>
      <c r="G25" s="40"/>
      <c r="H25" s="43"/>
      <c r="I25" s="86"/>
      <c r="P25" s="13"/>
    </row>
    <row r="26" ht="16" customHeight="1" spans="1:16">
      <c r="A26" s="37">
        <f t="shared" si="0"/>
        <v>22</v>
      </c>
      <c r="B26" s="38" t="s">
        <v>32</v>
      </c>
      <c r="C26" s="39" t="s">
        <v>325</v>
      </c>
      <c r="D26" s="38">
        <v>3</v>
      </c>
      <c r="E26" s="83">
        <f>SUMIFS(转置表!O:O,转置表!L:L,B26,转置表!J:J,C26,转置表!M:M,D26)</f>
        <v>23072</v>
      </c>
      <c r="F26" s="83">
        <v>0</v>
      </c>
      <c r="G26" s="40"/>
      <c r="H26" s="43"/>
      <c r="I26" s="86"/>
      <c r="P26" s="13"/>
    </row>
    <row r="27" ht="16" customHeight="1" spans="1:16">
      <c r="A27" s="37">
        <f t="shared" si="0"/>
        <v>23</v>
      </c>
      <c r="B27" s="38" t="s">
        <v>32</v>
      </c>
      <c r="C27" s="39" t="s">
        <v>323</v>
      </c>
      <c r="D27" s="38">
        <v>3</v>
      </c>
      <c r="E27" s="83">
        <f>SUMIFS(转置表!O:O,转置表!L:L,B27,转置表!J:J,C27,转置表!M:M,D27)</f>
        <v>3732</v>
      </c>
      <c r="F27" s="83">
        <v>0</v>
      </c>
      <c r="G27" s="40"/>
      <c r="H27" s="43"/>
      <c r="I27" s="86"/>
      <c r="P27" s="13"/>
    </row>
    <row r="28" ht="16" customHeight="1" spans="1:16">
      <c r="A28" s="37">
        <f t="shared" si="0"/>
        <v>24</v>
      </c>
      <c r="B28" s="38" t="s">
        <v>32</v>
      </c>
      <c r="C28" s="39" t="s">
        <v>310</v>
      </c>
      <c r="D28" s="38">
        <v>3</v>
      </c>
      <c r="E28" s="83">
        <f>SUMIFS(转置表!O:O,转置表!L:L,B28,转置表!J:J,C28,转置表!M:M,D28)</f>
        <v>8427</v>
      </c>
      <c r="F28" s="83">
        <v>0</v>
      </c>
      <c r="G28" s="40"/>
      <c r="H28" s="43"/>
      <c r="I28" s="86"/>
      <c r="P28" s="13"/>
    </row>
    <row r="29" ht="16" customHeight="1" spans="1:16">
      <c r="A29" s="37">
        <f t="shared" si="0"/>
        <v>25</v>
      </c>
      <c r="B29" s="38" t="s">
        <v>32</v>
      </c>
      <c r="C29" s="39" t="s">
        <v>326</v>
      </c>
      <c r="D29" s="38">
        <v>3</v>
      </c>
      <c r="E29" s="83">
        <f>SUMIFS(转置表!O:O,转置表!L:L,B29,转置表!J:J,C29,转置表!M:M,D29)</f>
        <v>10314</v>
      </c>
      <c r="F29" s="83">
        <v>0</v>
      </c>
      <c r="G29" s="40"/>
      <c r="H29" s="43"/>
      <c r="I29" s="86"/>
      <c r="K29">
        <v>4.82</v>
      </c>
      <c r="L29">
        <f>K29*E29</f>
        <v>49713.48</v>
      </c>
      <c r="P29" s="13"/>
    </row>
    <row r="30" ht="16" customHeight="1" spans="1:16">
      <c r="A30" s="37">
        <f t="shared" si="0"/>
        <v>26</v>
      </c>
      <c r="B30" s="38" t="s">
        <v>32</v>
      </c>
      <c r="C30" s="39" t="s">
        <v>327</v>
      </c>
      <c r="D30" s="38">
        <v>3</v>
      </c>
      <c r="E30" s="83">
        <f>SUMIFS(转置表!O:O,转置表!L:L,B30,转置表!J:J,C30,转置表!M:M,D30)</f>
        <v>30995</v>
      </c>
      <c r="F30" s="83">
        <v>83800.52</v>
      </c>
      <c r="G30" s="40">
        <f>F30/E30</f>
        <v>2.70367865784804</v>
      </c>
      <c r="H30" s="43"/>
      <c r="I30" s="86"/>
      <c r="K30">
        <v>4.82</v>
      </c>
      <c r="L30">
        <f>K30*E30</f>
        <v>149395.9</v>
      </c>
      <c r="P30" s="13"/>
    </row>
    <row r="31" ht="16" customHeight="1" spans="1:16">
      <c r="A31" s="37">
        <f t="shared" si="0"/>
        <v>27</v>
      </c>
      <c r="B31" s="38" t="s">
        <v>32</v>
      </c>
      <c r="C31" s="39" t="s">
        <v>328</v>
      </c>
      <c r="D31" s="38">
        <v>3</v>
      </c>
      <c r="E31" s="83">
        <f>SUMIFS(转置表!O:O,转置表!L:L,B31,转置表!J:J,C31,转置表!M:M,D31)</f>
        <v>27892</v>
      </c>
      <c r="F31" s="83">
        <v>100169.56</v>
      </c>
      <c r="G31" s="40">
        <f>F31/E31</f>
        <v>3.59133658396673</v>
      </c>
      <c r="H31" s="43"/>
      <c r="I31" s="86"/>
      <c r="K31">
        <v>5.93</v>
      </c>
      <c r="L31">
        <f>K31*E31</f>
        <v>165399.56</v>
      </c>
      <c r="P31" s="13"/>
    </row>
    <row r="32" ht="16" customHeight="1" spans="1:16">
      <c r="A32" s="37">
        <f t="shared" si="0"/>
        <v>28</v>
      </c>
      <c r="B32" s="38" t="s">
        <v>32</v>
      </c>
      <c r="C32" s="39" t="s">
        <v>318</v>
      </c>
      <c r="D32" s="38">
        <v>3</v>
      </c>
      <c r="E32" s="83">
        <f>SUMIFS(转置表!O:O,转置表!L:L,B32,转置表!J:J,C32,转置表!M:M,D32)</f>
        <v>42074</v>
      </c>
      <c r="F32" s="83">
        <v>0</v>
      </c>
      <c r="G32" s="40"/>
      <c r="H32" s="43"/>
      <c r="I32" s="86"/>
      <c r="P32" s="13"/>
    </row>
    <row r="33" ht="16" customHeight="1" spans="1:16">
      <c r="A33" s="37">
        <f t="shared" si="0"/>
        <v>29</v>
      </c>
      <c r="B33" s="38" t="s">
        <v>38</v>
      </c>
      <c r="C33" s="39" t="s">
        <v>30</v>
      </c>
      <c r="D33" s="38">
        <v>3</v>
      </c>
      <c r="E33" s="83">
        <f>SUMIFS(转置表!O:O,转置表!L:L,B33,转置表!J:J,C33,转置表!M:M,D33)</f>
        <v>0</v>
      </c>
      <c r="F33" s="83">
        <v>10169.0572025948</v>
      </c>
      <c r="G33" s="40" t="e">
        <f>F33/E33</f>
        <v>#DIV/0!</v>
      </c>
      <c r="H33" s="43"/>
      <c r="I33" s="86"/>
      <c r="P33" s="13"/>
    </row>
    <row r="34" ht="16" customHeight="1" spans="1:16">
      <c r="A34" s="37">
        <f t="shared" si="0"/>
        <v>30</v>
      </c>
      <c r="B34" s="38" t="s">
        <v>38</v>
      </c>
      <c r="C34" s="39" t="s">
        <v>322</v>
      </c>
      <c r="D34" s="38">
        <v>3</v>
      </c>
      <c r="E34" s="83">
        <f>SUMIFS(转置表!O:O,转置表!L:L,B34,转置表!J:J,C34,转置表!M:M,D34)</f>
        <v>8218</v>
      </c>
      <c r="F34" s="83">
        <v>0</v>
      </c>
      <c r="G34" s="40"/>
      <c r="H34" s="43"/>
      <c r="I34" s="86"/>
      <c r="P34" s="13"/>
    </row>
    <row r="35" ht="16" customHeight="1" spans="1:16">
      <c r="A35" s="37">
        <f t="shared" si="0"/>
        <v>31</v>
      </c>
      <c r="B35" s="38" t="s">
        <v>38</v>
      </c>
      <c r="C35" s="39" t="s">
        <v>323</v>
      </c>
      <c r="D35" s="38">
        <v>3</v>
      </c>
      <c r="E35" s="83">
        <f>SUMIFS(转置表!O:O,转置表!L:L,B35,转置表!J:J,C35,转置表!M:M,D35)</f>
        <v>43535</v>
      </c>
      <c r="F35" s="83">
        <v>0</v>
      </c>
      <c r="G35" s="40"/>
      <c r="H35" s="44"/>
      <c r="I35" s="88"/>
      <c r="P35" s="13"/>
    </row>
    <row r="36" ht="16" customHeight="1" spans="1:16">
      <c r="A36" s="37">
        <f t="shared" si="0"/>
        <v>32</v>
      </c>
      <c r="B36" s="38" t="s">
        <v>38</v>
      </c>
      <c r="C36" s="39" t="s">
        <v>44</v>
      </c>
      <c r="D36" s="38">
        <v>3</v>
      </c>
      <c r="E36" s="83">
        <f>SUMIFS(转置表!O:O,转置表!L:L,B36,转置表!J:J,C36,转置表!M:M,D36)</f>
        <v>5842</v>
      </c>
      <c r="F36" s="83">
        <v>36624.2318125771</v>
      </c>
      <c r="G36" s="40">
        <f>F36/E36</f>
        <v>6.26912560982148</v>
      </c>
      <c r="H36" s="43"/>
      <c r="I36" s="86"/>
      <c r="P36" s="13"/>
    </row>
    <row r="37" ht="16" customHeight="1" spans="1:16">
      <c r="A37" s="37">
        <f t="shared" si="0"/>
        <v>33</v>
      </c>
      <c r="B37" s="38" t="s">
        <v>32</v>
      </c>
      <c r="C37" s="39" t="s">
        <v>30</v>
      </c>
      <c r="D37" s="38">
        <v>4</v>
      </c>
      <c r="E37" s="83">
        <f>SUMIFS(转置表!O:O,转置表!L:L,B37,转置表!J:J,C37,转置表!M:M,D37)</f>
        <v>14474</v>
      </c>
      <c r="F37" s="83">
        <v>84135</v>
      </c>
      <c r="G37" s="40">
        <f>F37/E37</f>
        <v>5.81283681083322</v>
      </c>
      <c r="H37" s="43"/>
      <c r="I37" s="86"/>
      <c r="P37" s="13"/>
    </row>
    <row r="39" spans="1:16">
      <c r="A39" s="89" t="s">
        <v>355</v>
      </c>
    </row>
  </sheetData>
  <sheetProtection formatCells="0" formatColumns="0" formatRows="0" insertRows="0" insertColumns="0" insertHyperlinks="0" deleteColumns="0" deleteRows="0" sort="0" autoFilter="0" pivotTables="0"/>
  <autoFilter xmlns:etc="http://www.wps.cn/officeDocument/2017/etCustomData" ref="A4:P41" etc:filterBottomFollowUsedRange="0">
    <extLst/>
  </autoFilter>
  <mergeCells count="2">
    <mergeCell ref="A2:H2"/>
    <mergeCell ref="G3:H3"/>
  </mergeCells>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L46"/>
  <sheetViews>
    <sheetView zoomScale="115" zoomScaleNormal="115" topLeftCell="A12" workbookViewId="0">
      <selection activeCell="G5" sqref="G5:G37"/>
    </sheetView>
  </sheetViews>
  <sheetFormatPr defaultColWidth="9" defaultRowHeight="14.4"/>
  <cols>
    <col min="3" max="3" width="13.8796296296296" customWidth="1"/>
    <col min="5" max="5" width="9.37962962962963"/>
    <col min="6" max="7" width="13.1296296296296" customWidth="1"/>
    <col min="9" max="9" width="17.2592592592593" customWidth="1"/>
    <col min="11" max="13" width="12.6296296296296"/>
  </cols>
  <sheetData>
    <row r="1" ht="20.4" spans="1:12">
      <c r="A1" s="25" t="s">
        <v>452</v>
      </c>
      <c r="B1" s="17"/>
      <c r="C1" s="17"/>
      <c r="D1" s="17"/>
      <c r="E1" s="17"/>
      <c r="F1" s="17"/>
      <c r="G1" s="17"/>
      <c r="H1" s="17"/>
      <c r="I1" s="17"/>
    </row>
    <row r="2" ht="29.4" spans="1:12">
      <c r="A2" s="26" t="s">
        <v>84</v>
      </c>
      <c r="B2" s="26"/>
      <c r="C2" s="26"/>
      <c r="D2" s="26"/>
      <c r="E2" s="26"/>
      <c r="F2" s="26"/>
      <c r="G2" s="26"/>
      <c r="H2" s="26"/>
      <c r="I2" s="26"/>
    </row>
    <row r="3" ht="15.15" spans="1:12">
      <c r="A3" s="28"/>
      <c r="B3" s="28"/>
      <c r="C3" s="29"/>
      <c r="D3" s="29"/>
      <c r="E3" s="46"/>
      <c r="F3" s="31"/>
      <c r="G3" s="31"/>
      <c r="H3" s="47" t="s">
        <v>348</v>
      </c>
      <c r="I3" s="47"/>
    </row>
    <row r="4" spans="1:12">
      <c r="A4" s="32" t="s">
        <v>1</v>
      </c>
      <c r="B4" s="33" t="s">
        <v>10</v>
      </c>
      <c r="C4" s="33" t="s">
        <v>8</v>
      </c>
      <c r="D4" s="33" t="s">
        <v>11</v>
      </c>
      <c r="E4" s="33" t="s">
        <v>331</v>
      </c>
      <c r="F4" s="33" t="s">
        <v>297</v>
      </c>
      <c r="G4" s="82" t="s">
        <v>332</v>
      </c>
      <c r="H4" s="33" t="s">
        <v>396</v>
      </c>
      <c r="I4" s="35" t="s">
        <v>157</v>
      </c>
    </row>
    <row r="5" ht="16" customHeight="1" spans="1:12">
      <c r="A5" s="37">
        <f t="shared" ref="A5:A20" si="0">ROW()-4</f>
        <v>1</v>
      </c>
      <c r="B5" s="38" t="s">
        <v>32</v>
      </c>
      <c r="C5" s="39" t="s">
        <v>307</v>
      </c>
      <c r="D5" s="38">
        <v>2</v>
      </c>
      <c r="E5" s="40">
        <f>SUMIFS(转置表!O:O,转置表!L:L,B5,转置表!J:J,C5,转置表!M:M,D5)</f>
        <v>3957</v>
      </c>
      <c r="F5" s="40">
        <f>SUMIFS(转置表!T:T,转置表!L:L,B5,转置表!J:J,C5,转置表!M:M,D5)</f>
        <v>25</v>
      </c>
      <c r="G5" s="83">
        <f>E5*H5</f>
        <v>8333.33333333333</v>
      </c>
      <c r="H5" s="48">
        <f>(100*100)/30*F5/E5</f>
        <v>2.1059725381181</v>
      </c>
      <c r="I5" s="42"/>
      <c r="L5" s="84"/>
    </row>
    <row r="6" ht="16" customHeight="1" spans="1:12">
      <c r="A6" s="37">
        <f t="shared" si="0"/>
        <v>2</v>
      </c>
      <c r="B6" s="38" t="s">
        <v>32</v>
      </c>
      <c r="C6" s="39" t="s">
        <v>308</v>
      </c>
      <c r="D6" s="38">
        <v>2</v>
      </c>
      <c r="E6" s="40">
        <f>SUMIFS(转置表!O:O,转置表!L:L,B6,转置表!J:J,C6,转置表!M:M,D6)</f>
        <v>44234</v>
      </c>
      <c r="F6" s="40">
        <f>SUMIFS(转置表!T:T,转置表!L:L,B6,转置表!J:J,C6,转置表!M:M,D6)</f>
        <v>264.854166666802</v>
      </c>
      <c r="G6" s="83">
        <f t="shared" ref="G6:G37" si="1">E6*H6</f>
        <v>88284.7222222674</v>
      </c>
      <c r="H6" s="48">
        <f t="shared" ref="H6:H46" si="2">(100*100)/30*F6/E6</f>
        <v>1.99585663114951</v>
      </c>
      <c r="I6" s="42"/>
      <c r="L6" s="84"/>
    </row>
    <row r="7" ht="16" customHeight="1" spans="1:12">
      <c r="A7" s="37">
        <f t="shared" si="0"/>
        <v>3</v>
      </c>
      <c r="B7" s="38" t="s">
        <v>32</v>
      </c>
      <c r="C7" s="39" t="s">
        <v>309</v>
      </c>
      <c r="D7" s="38">
        <v>2</v>
      </c>
      <c r="E7" s="40">
        <f>SUMIFS(转置表!O:O,转置表!L:L,B7,转置表!J:J,C7,转置表!M:M,D7)</f>
        <v>21858</v>
      </c>
      <c r="F7" s="40">
        <f>SUMIFS(转置表!T:T,转置表!L:L,B7,转置表!J:J,C7,转置表!M:M,D7)</f>
        <v>182.666666666701</v>
      </c>
      <c r="G7" s="83">
        <f t="shared" si="1"/>
        <v>60888.8888889002</v>
      </c>
      <c r="H7" s="48">
        <f t="shared" si="2"/>
        <v>2.78565691686797</v>
      </c>
      <c r="I7" s="43"/>
      <c r="L7" s="84"/>
    </row>
    <row r="8" ht="16" customHeight="1" spans="1:12">
      <c r="A8" s="37">
        <f t="shared" si="0"/>
        <v>4</v>
      </c>
      <c r="B8" s="38" t="s">
        <v>32</v>
      </c>
      <c r="C8" s="39" t="s">
        <v>310</v>
      </c>
      <c r="D8" s="38">
        <v>2</v>
      </c>
      <c r="E8" s="40">
        <f>SUMIFS(转置表!O:O,转置表!L:L,B8,转置表!J:J,C8,转置表!M:M,D8)</f>
        <v>3835</v>
      </c>
      <c r="F8" s="40">
        <f>SUMIFS(转置表!T:T,转置表!L:L,B8,转置表!J:J,C8,转置表!M:M,D8)</f>
        <v>20.1041666667006</v>
      </c>
      <c r="G8" s="83">
        <f t="shared" si="1"/>
        <v>6701.3888889002</v>
      </c>
      <c r="H8" s="48">
        <f t="shared" si="2"/>
        <v>1.74742865421126</v>
      </c>
      <c r="I8" s="43"/>
      <c r="L8" s="84"/>
    </row>
    <row r="9" ht="16" customHeight="1" spans="1:12">
      <c r="A9" s="37">
        <f t="shared" si="0"/>
        <v>5</v>
      </c>
      <c r="B9" s="38" t="s">
        <v>32</v>
      </c>
      <c r="C9" s="39" t="s">
        <v>311</v>
      </c>
      <c r="D9" s="38">
        <v>2</v>
      </c>
      <c r="E9" s="40">
        <f>SUMIFS(转置表!O:O,转置表!L:L,B9,转置表!J:J,C9,转置表!M:M,D9)</f>
        <v>12133</v>
      </c>
      <c r="F9" s="40">
        <f>SUMIFS(转置表!T:T,转置表!L:L,B9,转置表!J:J,C9,转置表!M:M,D9)</f>
        <v>93</v>
      </c>
      <c r="G9" s="83">
        <f t="shared" si="1"/>
        <v>31000</v>
      </c>
      <c r="H9" s="48">
        <f t="shared" si="2"/>
        <v>2.55501524767164</v>
      </c>
      <c r="I9" s="43"/>
      <c r="L9" s="84"/>
    </row>
    <row r="10" ht="16" customHeight="1" spans="1:12">
      <c r="A10" s="37">
        <f t="shared" si="0"/>
        <v>6</v>
      </c>
      <c r="B10" s="38" t="s">
        <v>32</v>
      </c>
      <c r="C10" s="39" t="s">
        <v>312</v>
      </c>
      <c r="D10" s="38">
        <v>2</v>
      </c>
      <c r="E10" s="40">
        <f>SUMIFS(转置表!O:O,转置表!L:L,B10,转置表!J:J,C10,转置表!M:M,D10)</f>
        <v>5497</v>
      </c>
      <c r="F10" s="40">
        <f>SUMIFS(转置表!T:T,转置表!L:L,B10,转置表!J:J,C10,转置表!M:M,D10)</f>
        <v>37</v>
      </c>
      <c r="G10" s="83">
        <f t="shared" si="1"/>
        <v>12333.3333333333</v>
      </c>
      <c r="H10" s="48">
        <f t="shared" si="2"/>
        <v>2.24364805045176</v>
      </c>
      <c r="I10" s="43"/>
      <c r="L10" s="84"/>
    </row>
    <row r="11" ht="16" customHeight="1" spans="1:12">
      <c r="A11" s="37">
        <f t="shared" si="0"/>
        <v>7</v>
      </c>
      <c r="B11" s="38" t="s">
        <v>32</v>
      </c>
      <c r="C11" s="39" t="s">
        <v>313</v>
      </c>
      <c r="D11" s="38">
        <v>2</v>
      </c>
      <c r="E11" s="40">
        <f>SUMIFS(转置表!O:O,转置表!L:L,B11,转置表!J:J,C11,转置表!M:M,D11)</f>
        <v>3444</v>
      </c>
      <c r="F11" s="40">
        <f>SUMIFS(转置表!T:T,转置表!L:L,B11,转置表!J:J,C11,转置表!M:M,D11)</f>
        <v>30.8125</v>
      </c>
      <c r="G11" s="83">
        <f t="shared" si="1"/>
        <v>10270.8333333333</v>
      </c>
      <c r="H11" s="48">
        <f t="shared" si="2"/>
        <v>2.98223964382501</v>
      </c>
      <c r="I11" s="43"/>
      <c r="L11" s="84"/>
    </row>
    <row r="12" ht="16" customHeight="1" spans="1:12">
      <c r="A12" s="37">
        <f t="shared" si="0"/>
        <v>8</v>
      </c>
      <c r="B12" s="38" t="s">
        <v>32</v>
      </c>
      <c r="C12" s="39" t="s">
        <v>314</v>
      </c>
      <c r="D12" s="38">
        <v>2</v>
      </c>
      <c r="E12" s="40">
        <f>SUMIFS(转置表!O:O,转置表!L:L,B12,转置表!J:J,C12,转置表!M:M,D12)</f>
        <v>2492</v>
      </c>
      <c r="F12" s="40">
        <f>SUMIFS(转置表!T:T,转置表!L:L,B12,转置表!J:J,C12,转置表!M:M,D12)</f>
        <v>12</v>
      </c>
      <c r="G12" s="83">
        <f t="shared" si="1"/>
        <v>4000</v>
      </c>
      <c r="H12" s="48">
        <f t="shared" si="2"/>
        <v>1.60513643659711</v>
      </c>
      <c r="I12" s="44" t="s">
        <v>334</v>
      </c>
      <c r="L12" s="84"/>
    </row>
    <row r="13" ht="16" customHeight="1" spans="1:12">
      <c r="A13" s="37">
        <f t="shared" si="0"/>
        <v>9</v>
      </c>
      <c r="B13" s="38" t="s">
        <v>32</v>
      </c>
      <c r="C13" s="39" t="s">
        <v>315</v>
      </c>
      <c r="D13" s="38">
        <v>2</v>
      </c>
      <c r="E13" s="40">
        <f>SUMIFS(转置表!O:O,转置表!L:L,B13,转置表!J:J,C13,转置表!M:M,D13)</f>
        <v>3321</v>
      </c>
      <c r="F13" s="40">
        <f>SUMIFS(转置表!T:T,转置表!L:L,B13,转置表!J:J,C13,转置表!M:M,D13)</f>
        <v>20.4166666665988</v>
      </c>
      <c r="G13" s="83">
        <f t="shared" si="1"/>
        <v>6805.55555553293</v>
      </c>
      <c r="H13" s="48">
        <f t="shared" si="2"/>
        <v>2.04924888754379</v>
      </c>
      <c r="I13" s="43"/>
      <c r="L13" s="84"/>
    </row>
    <row r="14" ht="16" customHeight="1" spans="1:12">
      <c r="A14" s="37">
        <f t="shared" si="0"/>
        <v>10</v>
      </c>
      <c r="B14" s="38" t="s">
        <v>32</v>
      </c>
      <c r="C14" s="39" t="s">
        <v>316</v>
      </c>
      <c r="D14" s="38">
        <v>2</v>
      </c>
      <c r="E14" s="40">
        <f>SUMIFS(转置表!O:O,转置表!L:L,B14,转置表!J:J,C14,转置表!M:M,D14)</f>
        <v>16455</v>
      </c>
      <c r="F14" s="40">
        <f>SUMIFS(转置表!T:T,转置表!L:L,B14,转置表!J:J,C14,转置表!M:M,D14)</f>
        <v>142.583333333299</v>
      </c>
      <c r="G14" s="83">
        <f t="shared" si="1"/>
        <v>47527.7777777665</v>
      </c>
      <c r="H14" s="48">
        <f t="shared" si="2"/>
        <v>2.88834869509368</v>
      </c>
      <c r="I14" s="43"/>
      <c r="L14" s="84"/>
    </row>
    <row r="15" ht="16" customHeight="1" spans="1:12">
      <c r="A15" s="37">
        <f t="shared" si="0"/>
        <v>11</v>
      </c>
      <c r="B15" s="38" t="s">
        <v>32</v>
      </c>
      <c r="C15" s="39" t="s">
        <v>317</v>
      </c>
      <c r="D15" s="38">
        <v>2</v>
      </c>
      <c r="E15" s="40">
        <f>SUMIFS(转置表!O:O,转置表!L:L,B15,转置表!J:J,C15,转置表!M:M,D15)</f>
        <v>2468</v>
      </c>
      <c r="F15" s="40">
        <f>SUMIFS(转置表!T:T,转置表!L:L,B15,转置表!J:J,C15,转置表!M:M,D15)</f>
        <v>16</v>
      </c>
      <c r="G15" s="83">
        <f t="shared" si="1"/>
        <v>5333.33333333333</v>
      </c>
      <c r="H15" s="48">
        <f t="shared" si="2"/>
        <v>2.16099405726634</v>
      </c>
      <c r="I15" s="43"/>
      <c r="L15" s="84"/>
    </row>
    <row r="16" ht="16" customHeight="1" spans="1:12">
      <c r="A16" s="37">
        <f t="shared" si="0"/>
        <v>12</v>
      </c>
      <c r="B16" s="38" t="s">
        <v>32</v>
      </c>
      <c r="C16" s="39" t="s">
        <v>318</v>
      </c>
      <c r="D16" s="38">
        <v>2</v>
      </c>
      <c r="E16" s="40">
        <f>SUMIFS(转置表!O:O,转置表!L:L,B16,转置表!J:J,C16,转置表!M:M,D16)</f>
        <v>9956</v>
      </c>
      <c r="F16" s="40">
        <f>SUMIFS(转置表!T:T,转置表!L:L,B16,转置表!J:J,C16,转置表!M:M,D16)</f>
        <v>72.7916666667006</v>
      </c>
      <c r="G16" s="83">
        <f t="shared" si="1"/>
        <v>24263.8888889002</v>
      </c>
      <c r="H16" s="48">
        <f t="shared" si="2"/>
        <v>2.43711218249299</v>
      </c>
      <c r="I16" s="43"/>
      <c r="L16" s="84"/>
    </row>
    <row r="17" ht="16" customHeight="1" spans="1:12">
      <c r="A17" s="37">
        <f t="shared" si="0"/>
        <v>13</v>
      </c>
      <c r="B17" s="38" t="s">
        <v>32</v>
      </c>
      <c r="C17" s="45" t="s">
        <v>319</v>
      </c>
      <c r="D17" s="38">
        <v>2</v>
      </c>
      <c r="E17" s="40">
        <f>SUMIFS(转置表!O:O,转置表!L:L,B17,转置表!J:J,C17,转置表!M:M,D17)</f>
        <v>4402</v>
      </c>
      <c r="F17" s="40">
        <f>SUMIFS(转置表!T:T,转置表!L:L,B17,转置表!J:J,C17,转置表!M:M,D17)</f>
        <v>22</v>
      </c>
      <c r="G17" s="83">
        <f t="shared" si="1"/>
        <v>7333.33333333333</v>
      </c>
      <c r="H17" s="48">
        <f t="shared" si="2"/>
        <v>1.66590943510526</v>
      </c>
      <c r="I17" s="43"/>
      <c r="L17" s="84"/>
    </row>
    <row r="18" ht="16" customHeight="1" spans="1:12">
      <c r="A18" s="37">
        <f t="shared" si="0"/>
        <v>14</v>
      </c>
      <c r="B18" s="38" t="s">
        <v>32</v>
      </c>
      <c r="C18" s="39" t="s">
        <v>320</v>
      </c>
      <c r="D18" s="38">
        <v>2</v>
      </c>
      <c r="E18" s="40">
        <f>SUMIFS(转置表!O:O,转置表!L:L,B18,转置表!J:J,C18,转置表!M:M,D18)</f>
        <v>2775</v>
      </c>
      <c r="F18" s="40">
        <f>SUMIFS(转置表!T:T,转置表!L:L,B18,转置表!J:J,C18,转置表!M:M,D18)</f>
        <v>21</v>
      </c>
      <c r="G18" s="83">
        <f t="shared" si="1"/>
        <v>7000</v>
      </c>
      <c r="H18" s="48">
        <f t="shared" si="2"/>
        <v>2.52252252252252</v>
      </c>
      <c r="I18" s="43"/>
      <c r="L18" s="84"/>
    </row>
    <row r="19" ht="16" customHeight="1" spans="1:12">
      <c r="A19" s="37">
        <f t="shared" si="0"/>
        <v>15</v>
      </c>
      <c r="B19" s="38" t="s">
        <v>32</v>
      </c>
      <c r="C19" s="39" t="s">
        <v>321</v>
      </c>
      <c r="D19" s="38">
        <v>2</v>
      </c>
      <c r="E19" s="40">
        <f>SUMIFS(转置表!O:O,转置表!L:L,B19,转置表!J:J,C19,转置表!M:M,D19)</f>
        <v>10593</v>
      </c>
      <c r="F19" s="40">
        <f>SUMIFS(转置表!T:T,转置表!L:L,B19,转置表!J:J,C19,转置表!M:M,D19)</f>
        <v>71</v>
      </c>
      <c r="G19" s="83">
        <f t="shared" si="1"/>
        <v>23666.6666666667</v>
      </c>
      <c r="H19" s="48">
        <f t="shared" si="2"/>
        <v>2.23417980427326</v>
      </c>
      <c r="I19" s="43"/>
      <c r="L19" s="84"/>
    </row>
    <row r="20" ht="16" customHeight="1" spans="1:12">
      <c r="A20" s="37">
        <f t="shared" si="0"/>
        <v>16</v>
      </c>
      <c r="B20" s="38" t="s">
        <v>38</v>
      </c>
      <c r="C20" s="39" t="s">
        <v>30</v>
      </c>
      <c r="D20" s="38">
        <v>2</v>
      </c>
      <c r="E20" s="40">
        <f>SUMIFS(转置表!O:O,转置表!L:L,B20,转置表!J:J,C20,转置表!M:M,D20)</f>
        <v>19739</v>
      </c>
      <c r="F20" s="40">
        <f>SUMIFS(转置表!T:T,转置表!L:L,B20,转置表!J:J,C20,转置表!M:M,D20)</f>
        <v>123.812500000102</v>
      </c>
      <c r="G20" s="83">
        <f t="shared" si="1"/>
        <v>41270.8333333673</v>
      </c>
      <c r="H20" s="48">
        <f t="shared" si="2"/>
        <v>2.09082695847648</v>
      </c>
      <c r="I20" s="43"/>
      <c r="L20" s="84"/>
    </row>
    <row r="21" ht="16" customHeight="1" spans="1:12">
      <c r="A21" s="37">
        <f t="shared" ref="A21:A26" si="3">ROW()-4</f>
        <v>17</v>
      </c>
      <c r="B21" s="38" t="s">
        <v>38</v>
      </c>
      <c r="C21" s="39" t="s">
        <v>322</v>
      </c>
      <c r="D21" s="38">
        <v>2</v>
      </c>
      <c r="E21" s="40">
        <f>SUMIFS(转置表!O:O,转置表!L:L,B21,转置表!J:J,C21,转置表!M:M,D21)</f>
        <v>4804</v>
      </c>
      <c r="F21" s="40">
        <f>SUMIFS(转置表!T:T,转置表!L:L,B21,转置表!J:J,C21,转置表!M:M,D21)</f>
        <v>38.9166666667006</v>
      </c>
      <c r="G21" s="83">
        <f t="shared" si="1"/>
        <v>12972.2222222335</v>
      </c>
      <c r="H21" s="48">
        <f t="shared" si="2"/>
        <v>2.70029604959066</v>
      </c>
      <c r="I21" s="43"/>
      <c r="L21" s="84"/>
    </row>
    <row r="22" ht="16" customHeight="1" spans="1:12">
      <c r="A22" s="37">
        <f t="shared" si="3"/>
        <v>18</v>
      </c>
      <c r="B22" s="38" t="s">
        <v>38</v>
      </c>
      <c r="C22" s="39" t="s">
        <v>323</v>
      </c>
      <c r="D22" s="38">
        <v>2</v>
      </c>
      <c r="E22" s="40">
        <f>SUMIFS(转置表!O:O,转置表!L:L,B22,转置表!J:J,C22,转置表!M:M,D22)</f>
        <v>18574</v>
      </c>
      <c r="F22" s="40">
        <f>SUMIFS(转置表!T:T,转置表!L:L,B22,转置表!J:J,C22,转置表!M:M,D22)</f>
        <v>100.5243055557</v>
      </c>
      <c r="G22" s="83">
        <f t="shared" si="1"/>
        <v>33508.1018519001</v>
      </c>
      <c r="H22" s="48">
        <f t="shared" si="2"/>
        <v>1.80403261827824</v>
      </c>
      <c r="I22" s="43"/>
      <c r="L22" s="84"/>
    </row>
    <row r="23" ht="16" customHeight="1" spans="1:12">
      <c r="A23" s="37">
        <f t="shared" si="3"/>
        <v>19</v>
      </c>
      <c r="B23" s="38" t="s">
        <v>38</v>
      </c>
      <c r="C23" s="39" t="s">
        <v>321</v>
      </c>
      <c r="D23" s="38">
        <v>2</v>
      </c>
      <c r="E23" s="40">
        <f>SUMIFS(转置表!O:O,转置表!L:L,B23,转置表!J:J,C23,转置表!M:M,D23)</f>
        <v>8000</v>
      </c>
      <c r="F23" s="40">
        <f>SUMIFS(转置表!T:T,转置表!L:L,B23,转置表!J:J,C23,转置表!M:M,D23)</f>
        <v>83.125</v>
      </c>
      <c r="G23" s="83">
        <f t="shared" si="1"/>
        <v>27708.3333333333</v>
      </c>
      <c r="H23" s="48">
        <f t="shared" si="2"/>
        <v>3.46354166666667</v>
      </c>
      <c r="I23" s="43"/>
      <c r="L23" s="84"/>
    </row>
    <row r="24" ht="16" customHeight="1" spans="1:12">
      <c r="A24" s="37">
        <f t="shared" si="3"/>
        <v>20</v>
      </c>
      <c r="B24" s="38" t="s">
        <v>32</v>
      </c>
      <c r="C24" s="39" t="s">
        <v>30</v>
      </c>
      <c r="D24" s="38">
        <v>3</v>
      </c>
      <c r="E24" s="40">
        <f>SUMIFS(转置表!O:O,转置表!L:L,B24,转置表!J:J,C24,转置表!M:M,D24)</f>
        <v>18653</v>
      </c>
      <c r="F24" s="40">
        <f>SUMIFS(转置表!T:T,转置表!L:L,B24,转置表!J:J,C24,转置表!M:M,D24)</f>
        <v>147</v>
      </c>
      <c r="G24" s="83">
        <f t="shared" si="1"/>
        <v>49000</v>
      </c>
      <c r="H24" s="48">
        <f t="shared" si="2"/>
        <v>2.626923283118</v>
      </c>
      <c r="I24" s="43"/>
      <c r="L24" s="84"/>
    </row>
    <row r="25" ht="16" customHeight="1" spans="1:12">
      <c r="A25" s="37">
        <f t="shared" si="3"/>
        <v>21</v>
      </c>
      <c r="B25" s="38" t="s">
        <v>32</v>
      </c>
      <c r="C25" s="39" t="s">
        <v>324</v>
      </c>
      <c r="D25" s="38">
        <v>3</v>
      </c>
      <c r="E25" s="40">
        <f>SUMIFS(转置表!O:O,转置表!L:L,B25,转置表!J:J,C25,转置表!M:M,D25)</f>
        <v>7594</v>
      </c>
      <c r="F25" s="40">
        <f>SUMIFS(转置表!T:T,转置表!L:L,B25,转置表!J:J,C25,转置表!M:M,D25)</f>
        <v>42.9375</v>
      </c>
      <c r="G25" s="83">
        <f t="shared" si="1"/>
        <v>14312.5</v>
      </c>
      <c r="H25" s="48">
        <f t="shared" si="2"/>
        <v>1.88471161443245</v>
      </c>
      <c r="I25" s="43"/>
      <c r="L25" s="84"/>
    </row>
    <row r="26" ht="16" customHeight="1" spans="1:12">
      <c r="A26" s="37">
        <f t="shared" si="3"/>
        <v>22</v>
      </c>
      <c r="B26" s="38" t="s">
        <v>32</v>
      </c>
      <c r="C26" s="39" t="s">
        <v>325</v>
      </c>
      <c r="D26" s="38">
        <v>3</v>
      </c>
      <c r="E26" s="40">
        <f>SUMIFS(转置表!O:O,转置表!L:L,B26,转置表!J:J,C26,转置表!M:M,D26)</f>
        <v>23072</v>
      </c>
      <c r="F26" s="40">
        <f>SUMIFS(转置表!T:T,转置表!L:L,B26,转置表!J:J,C26,转置表!M:M,D26)</f>
        <v>153.791666666599</v>
      </c>
      <c r="G26" s="83">
        <f t="shared" si="1"/>
        <v>51263.8888888663</v>
      </c>
      <c r="H26" s="48">
        <f t="shared" si="2"/>
        <v>2.2219091924786</v>
      </c>
      <c r="I26" s="43"/>
      <c r="L26" s="84"/>
    </row>
    <row r="27" ht="16" customHeight="1" spans="1:12">
      <c r="A27" s="37">
        <f t="shared" ref="A27:A46" si="4">ROW()-4</f>
        <v>23</v>
      </c>
      <c r="B27" s="38" t="s">
        <v>32</v>
      </c>
      <c r="C27" s="39" t="s">
        <v>323</v>
      </c>
      <c r="D27" s="38">
        <v>3</v>
      </c>
      <c r="E27" s="40">
        <f>SUMIFS(转置表!O:O,转置表!L:L,B27,转置表!J:J,C27,转置表!M:M,D27)</f>
        <v>3732</v>
      </c>
      <c r="F27" s="40">
        <f>SUMIFS(转置表!T:T,转置表!L:L,B27,转置表!J:J,C27,转置表!M:M,D27)</f>
        <v>39</v>
      </c>
      <c r="G27" s="83">
        <f t="shared" si="1"/>
        <v>13000</v>
      </c>
      <c r="H27" s="48">
        <f t="shared" si="2"/>
        <v>3.48338692390139</v>
      </c>
      <c r="I27" s="43"/>
      <c r="L27" s="84"/>
    </row>
    <row r="28" ht="16" customHeight="1" spans="1:12">
      <c r="A28" s="37">
        <f t="shared" si="4"/>
        <v>24</v>
      </c>
      <c r="B28" s="38" t="s">
        <v>32</v>
      </c>
      <c r="C28" s="39" t="s">
        <v>310</v>
      </c>
      <c r="D28" s="38">
        <v>3</v>
      </c>
      <c r="E28" s="40">
        <f>SUMIFS(转置表!O:O,转置表!L:L,B28,转置表!J:J,C28,转置表!M:M,D28)</f>
        <v>8427</v>
      </c>
      <c r="F28" s="40">
        <f>SUMIFS(转置表!T:T,转置表!L:L,B28,转置表!J:J,C28,转置表!M:M,D28)</f>
        <v>113.083333333401</v>
      </c>
      <c r="G28" s="83">
        <f t="shared" si="1"/>
        <v>37694.4444444671</v>
      </c>
      <c r="H28" s="48">
        <f t="shared" si="2"/>
        <v>4.47305618185203</v>
      </c>
      <c r="I28" s="43"/>
      <c r="L28" s="84"/>
    </row>
    <row r="29" ht="16" customHeight="1" spans="1:12">
      <c r="A29" s="37">
        <f t="shared" si="4"/>
        <v>25</v>
      </c>
      <c r="B29" s="38" t="s">
        <v>32</v>
      </c>
      <c r="C29" s="39" t="s">
        <v>326</v>
      </c>
      <c r="D29" s="38">
        <v>3</v>
      </c>
      <c r="E29" s="40">
        <f>SUMIFS(转置表!O:O,转置表!L:L,B29,转置表!J:J,C29,转置表!M:M,D29)</f>
        <v>10314</v>
      </c>
      <c r="F29" s="40">
        <f>SUMIFS(转置表!T:T,转置表!L:L,B29,转置表!J:J,C29,转置表!M:M,D29)</f>
        <v>126</v>
      </c>
      <c r="G29" s="83">
        <f t="shared" si="1"/>
        <v>42000</v>
      </c>
      <c r="H29" s="48">
        <f t="shared" si="2"/>
        <v>4.07213496218732</v>
      </c>
      <c r="I29" s="43"/>
      <c r="L29" s="84"/>
    </row>
    <row r="30" ht="16" customHeight="1" spans="1:12">
      <c r="A30" s="37">
        <f t="shared" si="4"/>
        <v>26</v>
      </c>
      <c r="B30" s="38" t="s">
        <v>32</v>
      </c>
      <c r="C30" s="39" t="s">
        <v>327</v>
      </c>
      <c r="D30" s="38">
        <v>3</v>
      </c>
      <c r="E30" s="40">
        <f>SUMIFS(转置表!O:O,转置表!L:L,B30,转置表!J:J,C30,转置表!M:M,D30)</f>
        <v>30995</v>
      </c>
      <c r="F30" s="40">
        <f>SUMIFS(转置表!T:T,转置表!L:L,B30,转置表!J:J,C30,转置表!M:M,D30)</f>
        <v>201.083333333365</v>
      </c>
      <c r="G30" s="83">
        <f t="shared" si="1"/>
        <v>67027.7777777883</v>
      </c>
      <c r="H30" s="48">
        <f t="shared" si="2"/>
        <v>2.16253517592477</v>
      </c>
      <c r="I30" s="43"/>
      <c r="L30" s="84"/>
    </row>
    <row r="31" ht="16" customHeight="1" spans="1:12">
      <c r="A31" s="37">
        <f t="shared" si="4"/>
        <v>27</v>
      </c>
      <c r="B31" s="38" t="s">
        <v>32</v>
      </c>
      <c r="C31" s="39" t="s">
        <v>328</v>
      </c>
      <c r="D31" s="38">
        <v>3</v>
      </c>
      <c r="E31" s="40">
        <f>SUMIFS(转置表!O:O,转置表!L:L,B31,转置表!J:J,C31,转置表!M:M,D31)</f>
        <v>27892</v>
      </c>
      <c r="F31" s="40">
        <f>SUMIFS(转置表!T:T,转置表!L:L,B31,转置表!J:J,C31,转置表!M:M,D31)</f>
        <v>222.895833333198</v>
      </c>
      <c r="G31" s="83">
        <f t="shared" si="1"/>
        <v>74298.6111110659</v>
      </c>
      <c r="H31" s="48">
        <f t="shared" si="2"/>
        <v>2.66379646891818</v>
      </c>
      <c r="I31" s="43"/>
      <c r="L31" s="84"/>
    </row>
    <row r="32" ht="16" customHeight="1" spans="1:12">
      <c r="A32" s="37">
        <f t="shared" si="4"/>
        <v>28</v>
      </c>
      <c r="B32" s="38" t="s">
        <v>32</v>
      </c>
      <c r="C32" s="39" t="s">
        <v>318</v>
      </c>
      <c r="D32" s="38">
        <v>3</v>
      </c>
      <c r="E32" s="40">
        <f>SUMIFS(转置表!O:O,转置表!L:L,B32,转置表!J:J,C32,转置表!M:M,D32)</f>
        <v>42074</v>
      </c>
      <c r="F32" s="40">
        <f>SUMIFS(转置表!T:T,转置表!L:L,B32,转置表!J:J,C32,转置表!M:M,D32)</f>
        <v>377.7325</v>
      </c>
      <c r="G32" s="83">
        <f t="shared" si="1"/>
        <v>125910.833333333</v>
      </c>
      <c r="H32" s="48">
        <f t="shared" si="2"/>
        <v>2.99260430035968</v>
      </c>
      <c r="I32" s="43"/>
      <c r="L32" s="84"/>
    </row>
    <row r="33" ht="16" customHeight="1" spans="1:12">
      <c r="A33" s="37">
        <f t="shared" si="4"/>
        <v>29</v>
      </c>
      <c r="B33" s="38" t="s">
        <v>38</v>
      </c>
      <c r="C33" s="39" t="s">
        <v>30</v>
      </c>
      <c r="D33" s="38">
        <v>3</v>
      </c>
      <c r="E33" s="40">
        <f>SUMIFS(转置表!O:O,转置表!L:L,B33,转置表!J:J,C33,转置表!M:M,D33)</f>
        <v>0</v>
      </c>
      <c r="F33" s="40">
        <f>SUMIFS(转置表!T:T,转置表!L:L,B33,转置表!J:J,C33,转置表!M:M,D33)</f>
        <v>0</v>
      </c>
      <c r="G33" s="83" t="e">
        <f t="shared" si="1"/>
        <v>#DIV/0!</v>
      </c>
      <c r="H33" s="48" t="e">
        <f t="shared" si="2"/>
        <v>#DIV/0!</v>
      </c>
      <c r="I33" s="43"/>
      <c r="L33" s="84"/>
    </row>
    <row r="34" ht="16" customHeight="1" spans="1:12">
      <c r="A34" s="37">
        <f t="shared" si="4"/>
        <v>30</v>
      </c>
      <c r="B34" s="38" t="s">
        <v>38</v>
      </c>
      <c r="C34" s="39" t="s">
        <v>322</v>
      </c>
      <c r="D34" s="38">
        <v>3</v>
      </c>
      <c r="E34" s="40">
        <f>SUMIFS(转置表!O:O,转置表!L:L,B34,转置表!J:J,C34,转置表!M:M,D34)</f>
        <v>8218</v>
      </c>
      <c r="F34" s="40">
        <f>SUMIFS(转置表!T:T,转置表!L:L,B34,转置表!J:J,C34,转置表!M:M,D34)</f>
        <v>62</v>
      </c>
      <c r="G34" s="83">
        <f t="shared" si="1"/>
        <v>20666.6666666667</v>
      </c>
      <c r="H34" s="48">
        <f t="shared" si="2"/>
        <v>2.51480489981342</v>
      </c>
      <c r="I34" s="43"/>
      <c r="L34" s="84"/>
    </row>
    <row r="35" ht="16" customHeight="1" spans="1:12">
      <c r="A35" s="37">
        <f t="shared" si="4"/>
        <v>31</v>
      </c>
      <c r="B35" s="38" t="s">
        <v>38</v>
      </c>
      <c r="C35" s="39" t="s">
        <v>323</v>
      </c>
      <c r="D35" s="38">
        <v>3</v>
      </c>
      <c r="E35" s="40">
        <f>SUMIFS(转置表!O:O,转置表!L:L,B35,转置表!J:J,C35,转置表!M:M,D35)</f>
        <v>43535</v>
      </c>
      <c r="F35" s="40">
        <f>SUMIFS(转置表!T:T,转置表!L:L,B35,转置表!J:J,C35,转置表!M:M,D35)</f>
        <v>389</v>
      </c>
      <c r="G35" s="83">
        <f t="shared" si="1"/>
        <v>129666.666666667</v>
      </c>
      <c r="H35" s="48">
        <f t="shared" si="2"/>
        <v>2.97844646070212</v>
      </c>
      <c r="I35" s="44" t="s">
        <v>335</v>
      </c>
      <c r="L35" s="84"/>
    </row>
    <row r="36" ht="16" customHeight="1" spans="1:12">
      <c r="A36" s="37">
        <f t="shared" si="4"/>
        <v>32</v>
      </c>
      <c r="B36" s="38" t="s">
        <v>38</v>
      </c>
      <c r="C36" s="39" t="s">
        <v>44</v>
      </c>
      <c r="D36" s="38">
        <v>3</v>
      </c>
      <c r="E36" s="40">
        <f>SUMIFS(转置表!O:O,转置表!L:L,B36,转置表!J:J,C36,转置表!M:M,D36)</f>
        <v>5842</v>
      </c>
      <c r="F36" s="40">
        <f>SUMIFS(转置表!T:T,转置表!L:L,B36,转置表!J:J,C36,转置表!M:M,D36)</f>
        <v>46.71</v>
      </c>
      <c r="G36" s="83">
        <f t="shared" si="1"/>
        <v>15570</v>
      </c>
      <c r="H36" s="48">
        <f t="shared" si="2"/>
        <v>2.66518315645327</v>
      </c>
      <c r="I36" s="43"/>
      <c r="L36" s="84"/>
    </row>
    <row r="37" ht="16" customHeight="1" spans="1:12">
      <c r="A37" s="37">
        <f t="shared" si="4"/>
        <v>33</v>
      </c>
      <c r="B37" s="38" t="s">
        <v>32</v>
      </c>
      <c r="C37" s="39" t="s">
        <v>30</v>
      </c>
      <c r="D37" s="38">
        <v>4</v>
      </c>
      <c r="E37" s="40">
        <f>SUMIFS(转置表!O:O,转置表!L:L,B37,转置表!J:J,C37,转置表!M:M,D37)</f>
        <v>14474</v>
      </c>
      <c r="F37" s="40">
        <f>SUMIFS(转置表!T:T,转置表!L:L,B37,转置表!J:J,C37,转置表!M:M,D37)</f>
        <v>152.770833333401</v>
      </c>
      <c r="G37" s="83">
        <f t="shared" si="1"/>
        <v>50923.6111111337</v>
      </c>
      <c r="H37" s="48">
        <f t="shared" si="2"/>
        <v>3.51828182334764</v>
      </c>
      <c r="I37" s="43"/>
      <c r="L37" s="84"/>
    </row>
    <row r="38" spans="1:12">
      <c r="B38" s="50" t="s">
        <v>32</v>
      </c>
      <c r="C38" s="50" t="s">
        <v>336</v>
      </c>
      <c r="D38" s="50">
        <v>3</v>
      </c>
      <c r="E38" s="51">
        <v>6082</v>
      </c>
      <c r="F38" s="51">
        <v>52.75</v>
      </c>
      <c r="G38" s="51"/>
      <c r="H38" s="51">
        <f t="shared" si="2"/>
        <v>2.89104461251781</v>
      </c>
    </row>
    <row r="39" spans="1:12">
      <c r="B39" s="50" t="s">
        <v>32</v>
      </c>
      <c r="C39" s="50" t="s">
        <v>337</v>
      </c>
      <c r="D39" s="50">
        <v>3</v>
      </c>
      <c r="E39" s="51">
        <v>5220</v>
      </c>
      <c r="F39" s="51">
        <v>53.5</v>
      </c>
      <c r="G39" s="51"/>
      <c r="H39" s="51">
        <f t="shared" si="2"/>
        <v>3.41634738186462</v>
      </c>
    </row>
    <row r="40" spans="1:12">
      <c r="B40" s="50" t="s">
        <v>32</v>
      </c>
      <c r="C40" s="50" t="s">
        <v>338</v>
      </c>
      <c r="D40" s="50">
        <v>2</v>
      </c>
      <c r="E40" s="51">
        <v>1761</v>
      </c>
      <c r="F40" s="51">
        <v>10</v>
      </c>
      <c r="G40" s="51"/>
      <c r="H40" s="51">
        <f t="shared" si="2"/>
        <v>1.89286390308537</v>
      </c>
    </row>
    <row r="41" spans="1:12">
      <c r="B41" s="50" t="s">
        <v>32</v>
      </c>
      <c r="C41" s="50" t="s">
        <v>339</v>
      </c>
      <c r="D41" s="50">
        <v>2</v>
      </c>
      <c r="E41" s="51">
        <v>2327</v>
      </c>
      <c r="F41" s="51">
        <v>14</v>
      </c>
      <c r="G41" s="51"/>
      <c r="H41" s="51">
        <f t="shared" si="2"/>
        <v>2.00544334622547</v>
      </c>
    </row>
    <row r="42" spans="1:12">
      <c r="B42" s="50" t="s">
        <v>32</v>
      </c>
      <c r="C42" s="50" t="s">
        <v>340</v>
      </c>
      <c r="D42" s="50">
        <v>2</v>
      </c>
      <c r="E42" s="51">
        <v>3092</v>
      </c>
      <c r="F42" s="51">
        <v>17</v>
      </c>
      <c r="G42" s="51"/>
      <c r="H42" s="51">
        <f t="shared" si="2"/>
        <v>1.83268650280293</v>
      </c>
    </row>
    <row r="43" spans="1:12">
      <c r="B43" s="50" t="s">
        <v>38</v>
      </c>
      <c r="C43" s="50" t="s">
        <v>341</v>
      </c>
      <c r="D43" s="50">
        <v>3</v>
      </c>
      <c r="E43" s="51">
        <v>2695</v>
      </c>
      <c r="F43" s="51">
        <v>25.5</v>
      </c>
      <c r="G43" s="51"/>
      <c r="H43" s="51">
        <f t="shared" si="2"/>
        <v>3.15398886827458</v>
      </c>
    </row>
    <row r="44" spans="1:12">
      <c r="B44" s="50" t="s">
        <v>38</v>
      </c>
      <c r="C44" s="50" t="s">
        <v>342</v>
      </c>
      <c r="D44" s="50">
        <v>3</v>
      </c>
      <c r="E44" s="51">
        <v>2720</v>
      </c>
      <c r="F44" s="51">
        <v>23.1</v>
      </c>
      <c r="G44" s="51"/>
      <c r="H44" s="51">
        <f t="shared" si="2"/>
        <v>2.83088235294118</v>
      </c>
    </row>
    <row r="45" spans="1:12">
      <c r="B45" s="50" t="s">
        <v>32</v>
      </c>
      <c r="C45" s="50" t="s">
        <v>344</v>
      </c>
      <c r="D45" s="50">
        <v>2</v>
      </c>
      <c r="E45" s="51">
        <v>3092</v>
      </c>
      <c r="F45" s="51">
        <v>18.5</v>
      </c>
      <c r="G45" s="51"/>
      <c r="H45" s="51">
        <f t="shared" si="2"/>
        <v>1.99439413540319</v>
      </c>
    </row>
    <row r="46" spans="1:12">
      <c r="B46" s="50" t="s">
        <v>32</v>
      </c>
      <c r="C46" s="50" t="s">
        <v>345</v>
      </c>
      <c r="D46" s="50">
        <v>3</v>
      </c>
      <c r="E46" s="51">
        <v>4540</v>
      </c>
      <c r="F46" s="51">
        <v>27.5</v>
      </c>
      <c r="G46" s="51"/>
      <c r="H46" s="51">
        <f t="shared" si="2"/>
        <v>2.01908957415565</v>
      </c>
    </row>
  </sheetData>
  <sheetProtection formatCells="0" formatColumns="0" formatRows="0" insertRows="0" insertColumns="0" insertHyperlinks="0" deleteColumns="0" deleteRows="0" sort="0" autoFilter="0" pivotTables="0"/>
  <autoFilter xmlns:etc="http://www.wps.cn/officeDocument/2017/etCustomData" ref="A4:I46" etc:filterBottomFollowUsedRange="0">
    <extLst/>
  </autoFilter>
  <mergeCells count="2">
    <mergeCell ref="A2:I2"/>
    <mergeCell ref="H3:I3"/>
  </mergeCells>
  <pageMargins left="0.75" right="0.75" top="1" bottom="1" header="0.5" footer="0.5"/>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H7"/>
  <sheetViews>
    <sheetView zoomScale="160" zoomScaleNormal="160" workbookViewId="0">
      <selection activeCell="G5" sqref="G5:G37"/>
    </sheetView>
  </sheetViews>
  <sheetFormatPr defaultColWidth="9" defaultRowHeight="14.4" outlineLevelRow="6" outlineLevelCol="7"/>
  <cols>
    <col min="6" max="6" width="15.9074074074074" customWidth="1"/>
  </cols>
  <sheetData>
    <row r="1" ht="20.4" spans="1:8">
      <c r="A1" s="25" t="s">
        <v>453</v>
      </c>
      <c r="B1" s="64"/>
      <c r="C1" s="17"/>
      <c r="D1" s="17"/>
      <c r="E1" s="17"/>
      <c r="F1" s="17"/>
      <c r="G1" s="17"/>
      <c r="H1" s="17"/>
    </row>
    <row r="2" ht="29.4" spans="1:8">
      <c r="A2" s="26" t="s">
        <v>454</v>
      </c>
      <c r="B2" s="26"/>
      <c r="C2" s="26"/>
      <c r="D2" s="26"/>
      <c r="E2" s="26"/>
      <c r="F2" s="26"/>
      <c r="G2" s="26"/>
      <c r="H2" s="26"/>
    </row>
    <row r="3" ht="15.15" spans="1:8">
      <c r="A3" s="28"/>
      <c r="B3" s="28"/>
      <c r="C3" s="29"/>
      <c r="D3" s="29"/>
      <c r="E3" s="46"/>
      <c r="F3" s="31"/>
      <c r="G3" s="47" t="s">
        <v>455</v>
      </c>
      <c r="H3" s="47"/>
    </row>
    <row r="4" spans="1:8">
      <c r="A4" s="65" t="s">
        <v>1</v>
      </c>
      <c r="B4" s="66" t="s">
        <v>53</v>
      </c>
      <c r="C4" s="67" t="s">
        <v>456</v>
      </c>
      <c r="D4" s="66" t="s">
        <v>153</v>
      </c>
      <c r="E4" s="66" t="s">
        <v>457</v>
      </c>
      <c r="F4" s="68" t="s">
        <v>458</v>
      </c>
      <c r="G4" s="68" t="s">
        <v>275</v>
      </c>
      <c r="H4" s="69" t="s">
        <v>157</v>
      </c>
    </row>
    <row r="5" spans="1:8">
      <c r="A5" s="70">
        <v>1</v>
      </c>
      <c r="B5" s="71" t="s">
        <v>459</v>
      </c>
      <c r="C5" s="71" t="s">
        <v>368</v>
      </c>
      <c r="D5" s="71" t="s">
        <v>460</v>
      </c>
      <c r="E5" s="72">
        <v>11</v>
      </c>
      <c r="F5" s="73">
        <v>6.97</v>
      </c>
      <c r="G5" s="74">
        <f>E5*F5*150</f>
        <v>11500.5</v>
      </c>
      <c r="H5" s="75"/>
    </row>
    <row r="6" spans="1:8">
      <c r="A6" s="70">
        <v>2</v>
      </c>
      <c r="B6" s="71" t="s">
        <v>459</v>
      </c>
      <c r="C6" s="71" t="s">
        <v>369</v>
      </c>
      <c r="D6" s="71" t="s">
        <v>460</v>
      </c>
      <c r="E6" s="72">
        <v>12</v>
      </c>
      <c r="F6" s="73">
        <v>6.97</v>
      </c>
      <c r="G6" s="74">
        <f>E6*F6*150</f>
        <v>12546</v>
      </c>
      <c r="H6" s="75"/>
    </row>
    <row r="7" ht="15.15" spans="1:8">
      <c r="A7" s="76">
        <v>3</v>
      </c>
      <c r="B7" s="77" t="s">
        <v>283</v>
      </c>
      <c r="C7" s="77"/>
      <c r="D7" s="77" t="s">
        <v>460</v>
      </c>
      <c r="E7" s="78">
        <v>4</v>
      </c>
      <c r="F7" s="79">
        <v>6.97</v>
      </c>
      <c r="G7" s="80">
        <f>E7*F7*150</f>
        <v>4182</v>
      </c>
      <c r="H7" s="81"/>
    </row>
  </sheetData>
  <sheetProtection formatCells="0" formatColumns="0" formatRows="0" insertRows="0" insertColumns="0" insertHyperlinks="0" deleteColumns="0" deleteRows="0" sort="0" autoFilter="0" pivotTables="0"/>
  <mergeCells count="2">
    <mergeCell ref="A2:H2"/>
    <mergeCell ref="G3:H3"/>
  </mergeCells>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E14"/>
  <sheetViews>
    <sheetView zoomScale="205" zoomScaleNormal="205" workbookViewId="0">
      <selection activeCell="G5" sqref="G5:G37"/>
    </sheetView>
  </sheetViews>
  <sheetFormatPr defaultColWidth="9" defaultRowHeight="14.4" outlineLevelCol="4"/>
  <cols>
    <col min="1" max="1" width="6.32407407407407" customWidth="1"/>
    <col min="2" max="2" width="11.2592592592593" customWidth="1"/>
  </cols>
  <sheetData>
    <row r="1" s="17" customFormat="1" ht="20.4" spans="1:5">
      <c r="A1" s="25" t="s">
        <v>461</v>
      </c>
    </row>
    <row r="2" ht="30" customHeight="1" spans="1:5">
      <c r="A2" s="52" t="s">
        <v>462</v>
      </c>
      <c r="B2" s="52"/>
      <c r="C2" s="52"/>
      <c r="D2" s="52"/>
      <c r="E2" s="52"/>
    </row>
    <row r="3" spans="1:5">
      <c r="A3" s="53" t="s">
        <v>1</v>
      </c>
      <c r="B3" s="54" t="s">
        <v>5</v>
      </c>
      <c r="C3" s="54" t="s">
        <v>6</v>
      </c>
      <c r="D3" s="54" t="s">
        <v>463</v>
      </c>
      <c r="E3" s="55" t="s">
        <v>464</v>
      </c>
    </row>
    <row r="4" spans="1:5">
      <c r="A4" s="56">
        <v>1</v>
      </c>
      <c r="B4" s="57">
        <v>50639</v>
      </c>
      <c r="C4" s="57" t="s">
        <v>465</v>
      </c>
      <c r="D4" s="58">
        <v>1.02325825</v>
      </c>
      <c r="E4" s="59">
        <v>1.5</v>
      </c>
    </row>
    <row r="5" spans="1:5">
      <c r="A5" s="56">
        <v>2</v>
      </c>
      <c r="B5" s="57">
        <v>50537</v>
      </c>
      <c r="C5" s="57" t="s">
        <v>360</v>
      </c>
      <c r="D5" s="58">
        <v>0.68771345</v>
      </c>
      <c r="E5" s="59">
        <v>1.35</v>
      </c>
    </row>
    <row r="6" spans="1:5">
      <c r="A6" s="56">
        <v>3</v>
      </c>
      <c r="B6" s="57">
        <v>50998</v>
      </c>
      <c r="C6" s="57" t="s">
        <v>360</v>
      </c>
      <c r="D6" s="58">
        <v>0.52873745</v>
      </c>
      <c r="E6" s="59">
        <v>1.35</v>
      </c>
    </row>
    <row r="7" spans="1:5">
      <c r="A7" s="56">
        <v>4</v>
      </c>
      <c r="B7" s="57">
        <v>70520</v>
      </c>
      <c r="C7" s="57" t="s">
        <v>466</v>
      </c>
      <c r="D7" s="58">
        <v>1.37269245</v>
      </c>
      <c r="E7" s="59">
        <v>1.5</v>
      </c>
    </row>
    <row r="8" spans="1:5">
      <c r="A8" s="56">
        <v>5</v>
      </c>
      <c r="B8" s="57">
        <v>70111</v>
      </c>
      <c r="C8" s="57" t="s">
        <v>361</v>
      </c>
      <c r="D8" s="58">
        <v>0.90897065</v>
      </c>
      <c r="E8" s="59">
        <v>1.05</v>
      </c>
    </row>
    <row r="9" spans="1:5">
      <c r="A9" s="56">
        <v>6</v>
      </c>
      <c r="B9" s="57">
        <v>70152</v>
      </c>
      <c r="C9" s="57" t="s">
        <v>361</v>
      </c>
      <c r="D9" s="58">
        <v>0.83591825</v>
      </c>
      <c r="E9" s="59">
        <v>1.05</v>
      </c>
    </row>
    <row r="10" spans="1:5">
      <c r="A10" s="56">
        <v>7</v>
      </c>
      <c r="B10" s="57">
        <v>70316</v>
      </c>
      <c r="C10" s="57" t="s">
        <v>361</v>
      </c>
      <c r="D10" s="58">
        <v>0.8965547</v>
      </c>
      <c r="E10" s="59">
        <v>0.42</v>
      </c>
    </row>
    <row r="11" spans="1:5">
      <c r="A11" s="56">
        <v>8</v>
      </c>
      <c r="B11" s="57">
        <v>70318</v>
      </c>
      <c r="C11" s="57" t="s">
        <v>467</v>
      </c>
      <c r="D11" s="58">
        <v>1.08425635</v>
      </c>
      <c r="E11" s="59">
        <v>0.42</v>
      </c>
    </row>
    <row r="12" spans="1:5">
      <c r="A12" s="56">
        <v>9</v>
      </c>
      <c r="B12" s="57">
        <v>70315</v>
      </c>
      <c r="C12" s="57" t="s">
        <v>467</v>
      </c>
      <c r="D12" s="58">
        <v>0.9171607</v>
      </c>
      <c r="E12" s="59">
        <v>0.28</v>
      </c>
    </row>
    <row r="13" ht="15.15" spans="1:5">
      <c r="A13" s="60">
        <v>10</v>
      </c>
      <c r="B13" s="61" t="s">
        <v>468</v>
      </c>
      <c r="C13" s="61" t="s">
        <v>467</v>
      </c>
      <c r="D13" s="62">
        <v>1.01315595</v>
      </c>
      <c r="E13" s="63">
        <v>0.7</v>
      </c>
    </row>
    <row r="14" spans="1:5">
      <c r="A14" t="s">
        <v>469</v>
      </c>
    </row>
  </sheetData>
  <sheetProtection formatCells="0" formatColumns="0" formatRows="0" insertRows="0" insertColumns="0" insertHyperlinks="0" deleteColumns="0" deleteRows="0" sort="0" autoFilter="0" pivotTables="0"/>
  <mergeCells count="1">
    <mergeCell ref="A2:E2"/>
  </mergeCells>
  <pageMargins left="0.75" right="0.75" top="1" bottom="1" header="0.5" footer="0.5"/>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pageSetUpPr fitToPage="1"/>
  </sheetPr>
  <dimension ref="A1:M45"/>
  <sheetViews>
    <sheetView workbookViewId="0">
      <pane ySplit="3" topLeftCell="A4" activePane="bottomLeft" state="frozen"/>
      <selection/>
      <selection pane="bottomLeft" activeCell="G5" sqref="G5:G37"/>
    </sheetView>
  </sheetViews>
  <sheetFormatPr defaultColWidth="4.87962962962963" defaultRowHeight="16" customHeight="1"/>
  <cols>
    <col min="1" max="1" width="4.16666666666667" style="19" customWidth="1"/>
    <col min="2" max="2" width="6.46296296296296" style="19" customWidth="1"/>
    <col min="3" max="3" width="15" style="19" customWidth="1"/>
    <col min="4" max="4" width="7.25925925925926" style="20" customWidth="1"/>
    <col min="5" max="7" width="14.6296296296296" style="22" customWidth="1"/>
    <col min="8" max="8" width="21.6296296296296" style="22" customWidth="1"/>
    <col min="9" max="12" width="4.87962962962963" style="23"/>
    <col min="13" max="14" width="11.5" style="23"/>
    <col min="15" max="16354" width="4.87962962962963" style="23"/>
  </cols>
  <sheetData>
    <row r="1" s="17" customFormat="1" ht="20.4" spans="1:13">
      <c r="A1" s="25" t="s">
        <v>470</v>
      </c>
    </row>
    <row r="2" s="18" customFormat="1" ht="29.4" spans="1:13">
      <c r="A2" s="26" t="s">
        <v>87</v>
      </c>
      <c r="B2" s="26"/>
      <c r="C2" s="26"/>
      <c r="D2" s="26"/>
      <c r="E2" s="26"/>
      <c r="F2" s="26"/>
      <c r="G2" s="26"/>
      <c r="H2" s="26"/>
    </row>
    <row r="3" s="18" customFormat="1" customHeight="1" spans="1:13">
      <c r="A3" s="28"/>
      <c r="B3" s="28"/>
      <c r="C3" s="29"/>
      <c r="D3" s="29"/>
      <c r="E3" s="46"/>
      <c r="F3" s="31"/>
      <c r="G3" s="47" t="s">
        <v>471</v>
      </c>
      <c r="H3" s="47"/>
    </row>
    <row r="4" ht="32" customHeight="1" spans="1:13">
      <c r="A4" s="32" t="s">
        <v>1</v>
      </c>
      <c r="B4" s="33" t="s">
        <v>10</v>
      </c>
      <c r="C4" s="33" t="s">
        <v>8</v>
      </c>
      <c r="D4" s="33" t="s">
        <v>11</v>
      </c>
      <c r="E4" s="33" t="s">
        <v>362</v>
      </c>
      <c r="F4" s="33" t="s">
        <v>472</v>
      </c>
      <c r="G4" s="33" t="s">
        <v>473</v>
      </c>
      <c r="H4" s="35" t="s">
        <v>157</v>
      </c>
    </row>
    <row r="5" customHeight="1" spans="1:13">
      <c r="A5" s="37">
        <f t="shared" ref="A5:A20" si="0">ROW()-4</f>
        <v>1</v>
      </c>
      <c r="B5" s="38" t="s">
        <v>32</v>
      </c>
      <c r="C5" s="39" t="s">
        <v>307</v>
      </c>
      <c r="D5" s="38">
        <v>2</v>
      </c>
      <c r="E5" s="40">
        <f>SUMIFS(转置表!O:O,转置表!L:L,B5,转置表!J:J,C5,转置表!M:M,D5)/COUNTIFS(转置表!L:L,B5,转置表!J:J,C5,转置表!M:M,D5)</f>
        <v>1978.5</v>
      </c>
      <c r="F5" s="40">
        <f>SUMIFS(转置表!T:T,转置表!L:L,B5,转置表!J:J,C5,转置表!M:M,D5)/COUNTIFS(转置表!L:L,B5,转置表!J:J,C5,转置表!M:M,D5)</f>
        <v>12.5</v>
      </c>
      <c r="G5" s="48">
        <f>E5/F5</f>
        <v>158.28</v>
      </c>
      <c r="H5" s="42"/>
      <c r="M5" s="49"/>
    </row>
    <row r="6" customHeight="1" spans="1:13">
      <c r="A6" s="37">
        <f t="shared" si="0"/>
        <v>2</v>
      </c>
      <c r="B6" s="38" t="s">
        <v>32</v>
      </c>
      <c r="C6" s="39" t="s">
        <v>308</v>
      </c>
      <c r="D6" s="38">
        <v>2</v>
      </c>
      <c r="E6" s="40">
        <f>SUMIFS(转置表!O:O,转置表!L:L,B6,转置表!J:J,C6,转置表!M:M,D6)/COUNTIFS(转置表!L:L,B6,转置表!J:J,C6,转置表!M:M,D6)</f>
        <v>3159.57142857143</v>
      </c>
      <c r="F6" s="40">
        <f>SUMIFS(转置表!T:T,转置表!L:L,B6,转置表!J:J,C6,转置表!M:M,D6)/COUNTIFS(转置表!L:L,B6,转置表!J:J,C6,转置表!M:M,D6)</f>
        <v>18.9181547619145</v>
      </c>
      <c r="G6" s="48">
        <f t="shared" ref="G6:G45" si="1">E6/F6</f>
        <v>167.012664201912</v>
      </c>
      <c r="H6" s="42"/>
      <c r="M6" s="49"/>
    </row>
    <row r="7" customHeight="1" spans="1:13">
      <c r="A7" s="37">
        <f t="shared" si="0"/>
        <v>3</v>
      </c>
      <c r="B7" s="38" t="s">
        <v>32</v>
      </c>
      <c r="C7" s="39" t="s">
        <v>309</v>
      </c>
      <c r="D7" s="38">
        <v>2</v>
      </c>
      <c r="E7" s="40">
        <f>SUMIFS(转置表!O:O,转置表!L:L,B7,转置表!J:J,C7,转置表!M:M,D7)/COUNTIFS(转置表!L:L,B7,转置表!J:J,C7,转置表!M:M,D7)</f>
        <v>3643</v>
      </c>
      <c r="F7" s="40">
        <f>SUMIFS(转置表!T:T,转置表!L:L,B7,转置表!J:J,C7,转置表!M:M,D7)/COUNTIFS(转置表!L:L,B7,转置表!J:J,C7,转置表!M:M,D7)</f>
        <v>30.4444444444501</v>
      </c>
      <c r="G7" s="48">
        <f t="shared" si="1"/>
        <v>119.660583941584</v>
      </c>
      <c r="H7" s="43"/>
      <c r="M7" s="49"/>
    </row>
    <row r="8" customHeight="1" spans="1:13">
      <c r="A8" s="37">
        <f t="shared" si="0"/>
        <v>4</v>
      </c>
      <c r="B8" s="38" t="s">
        <v>32</v>
      </c>
      <c r="C8" s="39" t="s">
        <v>310</v>
      </c>
      <c r="D8" s="38">
        <v>2</v>
      </c>
      <c r="E8" s="40">
        <f>SUMIFS(转置表!O:O,转置表!L:L,B8,转置表!J:J,C8,转置表!M:M,D8)/COUNTIFS(转置表!L:L,B8,转置表!J:J,C8,转置表!M:M,D8)</f>
        <v>1917.5</v>
      </c>
      <c r="F8" s="40">
        <f>SUMIFS(转置表!T:T,转置表!L:L,B8,转置表!J:J,C8,转置表!M:M,D8)/COUNTIFS(转置表!L:L,B8,转置表!J:J,C8,转置表!M:M,D8)</f>
        <v>10.0520833333503</v>
      </c>
      <c r="G8" s="48">
        <f t="shared" si="1"/>
        <v>190.756476683616</v>
      </c>
      <c r="H8" s="43"/>
      <c r="M8" s="49"/>
    </row>
    <row r="9" customHeight="1" spans="1:13">
      <c r="A9" s="37">
        <f t="shared" si="0"/>
        <v>5</v>
      </c>
      <c r="B9" s="38" t="s">
        <v>32</v>
      </c>
      <c r="C9" s="39" t="s">
        <v>311</v>
      </c>
      <c r="D9" s="38">
        <v>2</v>
      </c>
      <c r="E9" s="40">
        <f>SUMIFS(转置表!O:O,转置表!L:L,B9,转置表!J:J,C9,转置表!M:M,D9)/COUNTIFS(转置表!L:L,B9,转置表!J:J,C9,转置表!M:M,D9)</f>
        <v>1516.625</v>
      </c>
      <c r="F9" s="40">
        <f>SUMIFS(转置表!T:T,转置表!L:L,B9,转置表!J:J,C9,转置表!M:M,D9)/COUNTIFS(转置表!L:L,B9,转置表!J:J,C9,转置表!M:M,D9)</f>
        <v>11.625</v>
      </c>
      <c r="G9" s="48">
        <f t="shared" si="1"/>
        <v>130.462365591398</v>
      </c>
      <c r="H9" s="43"/>
      <c r="M9" s="49"/>
    </row>
    <row r="10" customHeight="1" spans="1:13">
      <c r="A10" s="37">
        <f t="shared" si="0"/>
        <v>6</v>
      </c>
      <c r="B10" s="38" t="s">
        <v>32</v>
      </c>
      <c r="C10" s="39" t="s">
        <v>312</v>
      </c>
      <c r="D10" s="38">
        <v>2</v>
      </c>
      <c r="E10" s="40">
        <f>SUMIFS(转置表!O:O,转置表!L:L,B10,转置表!J:J,C10,转置表!M:M,D10)/COUNTIFS(转置表!L:L,B10,转置表!J:J,C10,转置表!M:M,D10)</f>
        <v>2748.5</v>
      </c>
      <c r="F10" s="40">
        <f>SUMIFS(转置表!T:T,转置表!L:L,B10,转置表!J:J,C10,转置表!M:M,D10)/COUNTIFS(转置表!L:L,B10,转置表!J:J,C10,转置表!M:M,D10)</f>
        <v>18.5</v>
      </c>
      <c r="G10" s="48">
        <f t="shared" si="1"/>
        <v>148.567567567568</v>
      </c>
      <c r="H10" s="43"/>
      <c r="M10" s="49"/>
    </row>
    <row r="11" customHeight="1" spans="1:13">
      <c r="A11" s="37">
        <f t="shared" si="0"/>
        <v>7</v>
      </c>
      <c r="B11" s="38" t="s">
        <v>32</v>
      </c>
      <c r="C11" s="39" t="s">
        <v>313</v>
      </c>
      <c r="D11" s="38">
        <v>2</v>
      </c>
      <c r="E11" s="40">
        <f>SUMIFS(转置表!O:O,转置表!L:L,B11,转置表!J:J,C11,转置表!M:M,D11)/COUNTIFS(转置表!L:L,B11,转置表!J:J,C11,转置表!M:M,D11)</f>
        <v>1722</v>
      </c>
      <c r="F11" s="40">
        <f>SUMIFS(转置表!T:T,转置表!L:L,B11,转置表!J:J,C11,转置表!M:M,D11)/COUNTIFS(转置表!L:L,B11,转置表!J:J,C11,转置表!M:M,D11)</f>
        <v>15.40625</v>
      </c>
      <c r="G11" s="48">
        <f t="shared" si="1"/>
        <v>111.772819472617</v>
      </c>
      <c r="H11" s="43"/>
      <c r="M11" s="49"/>
    </row>
    <row r="12" customHeight="1" spans="1:13">
      <c r="A12" s="37">
        <f t="shared" si="0"/>
        <v>8</v>
      </c>
      <c r="B12" s="38" t="s">
        <v>32</v>
      </c>
      <c r="C12" s="39" t="s">
        <v>314</v>
      </c>
      <c r="D12" s="38">
        <v>2</v>
      </c>
      <c r="E12" s="40">
        <f>SUMIFS(转置表!O:O,转置表!L:L,B12,转置表!J:J,C12,转置表!M:M,D12)/COUNTIFS(转置表!L:L,B12,转置表!J:J,C12,转置表!M:M,D12)</f>
        <v>2492</v>
      </c>
      <c r="F12" s="40">
        <f>SUMIFS(转置表!T:T,转置表!L:L,B12,转置表!J:J,C12,转置表!M:M,D12)/COUNTIFS(转置表!L:L,B12,转置表!J:J,C12,转置表!M:M,D12)</f>
        <v>12</v>
      </c>
      <c r="G12" s="48">
        <f t="shared" si="1"/>
        <v>207.666666666667</v>
      </c>
      <c r="H12" s="44" t="s">
        <v>334</v>
      </c>
      <c r="M12" s="49"/>
    </row>
    <row r="13" customHeight="1" spans="1:13">
      <c r="A13" s="37">
        <f t="shared" si="0"/>
        <v>9</v>
      </c>
      <c r="B13" s="38" t="s">
        <v>32</v>
      </c>
      <c r="C13" s="39" t="s">
        <v>315</v>
      </c>
      <c r="D13" s="38">
        <v>2</v>
      </c>
      <c r="E13" s="40">
        <f>SUMIFS(转置表!O:O,转置表!L:L,B13,转置表!J:J,C13,转置表!M:M,D13)/COUNTIFS(转置表!L:L,B13,转置表!J:J,C13,转置表!M:M,D13)</f>
        <v>3321</v>
      </c>
      <c r="F13" s="40">
        <f>SUMIFS(转置表!T:T,转置表!L:L,B13,转置表!J:J,C13,转置表!M:M,D13)/COUNTIFS(转置表!L:L,B13,转置表!J:J,C13,转置表!M:M,D13)</f>
        <v>20.4166666665988</v>
      </c>
      <c r="G13" s="48">
        <f t="shared" si="1"/>
        <v>162.661224490337</v>
      </c>
      <c r="H13" s="43"/>
      <c r="M13" s="49"/>
    </row>
    <row r="14" customHeight="1" spans="1:13">
      <c r="A14" s="37">
        <f t="shared" si="0"/>
        <v>10</v>
      </c>
      <c r="B14" s="38" t="s">
        <v>32</v>
      </c>
      <c r="C14" s="39" t="s">
        <v>316</v>
      </c>
      <c r="D14" s="38">
        <v>2</v>
      </c>
      <c r="E14" s="40">
        <f>SUMIFS(转置表!O:O,转置表!L:L,B14,转置表!J:J,C14,转置表!M:M,D14)/COUNTIFS(转置表!L:L,B14,转置表!J:J,C14,转置表!M:M,D14)</f>
        <v>3291</v>
      </c>
      <c r="F14" s="40">
        <f>SUMIFS(转置表!T:T,转置表!L:L,B14,转置表!J:J,C14,转置表!M:M,D14)/COUNTIFS(转置表!L:L,B14,转置表!J:J,C14,转置表!M:M,D14)</f>
        <v>28.5166666666599</v>
      </c>
      <c r="G14" s="48">
        <f t="shared" si="1"/>
        <v>115.406195207508</v>
      </c>
      <c r="H14" s="43"/>
      <c r="M14" s="49"/>
    </row>
    <row r="15" customHeight="1" spans="1:13">
      <c r="A15" s="37">
        <f t="shared" si="0"/>
        <v>11</v>
      </c>
      <c r="B15" s="38" t="s">
        <v>32</v>
      </c>
      <c r="C15" s="39" t="s">
        <v>317</v>
      </c>
      <c r="D15" s="38">
        <v>2</v>
      </c>
      <c r="E15" s="40">
        <f>SUMIFS(转置表!O:O,转置表!L:L,B15,转置表!J:J,C15,转置表!M:M,D15)/COUNTIFS(转置表!L:L,B15,转置表!J:J,C15,转置表!M:M,D15)</f>
        <v>2468</v>
      </c>
      <c r="F15" s="40">
        <f>SUMIFS(转置表!T:T,转置表!L:L,B15,转置表!J:J,C15,转置表!M:M,D15)/COUNTIFS(转置表!L:L,B15,转置表!J:J,C15,转置表!M:M,D15)</f>
        <v>16</v>
      </c>
      <c r="G15" s="48">
        <f t="shared" si="1"/>
        <v>154.25</v>
      </c>
      <c r="H15" s="43"/>
      <c r="M15" s="49"/>
    </row>
    <row r="16" customHeight="1" spans="1:13">
      <c r="A16" s="37">
        <f t="shared" si="0"/>
        <v>12</v>
      </c>
      <c r="B16" s="38" t="s">
        <v>32</v>
      </c>
      <c r="C16" s="39" t="s">
        <v>318</v>
      </c>
      <c r="D16" s="38">
        <v>2</v>
      </c>
      <c r="E16" s="40">
        <f>SUMIFS(转置表!O:O,转置表!L:L,B16,转置表!J:J,C16,转置表!M:M,D16)/COUNTIFS(转置表!L:L,B16,转置表!J:J,C16,转置表!M:M,D16)</f>
        <v>4978</v>
      </c>
      <c r="F16" s="40">
        <f>SUMIFS(转置表!T:T,转置表!L:L,B16,转置表!J:J,C16,转置表!M:M,D16)/COUNTIFS(转置表!L:L,B16,转置表!J:J,C16,转置表!M:M,D16)</f>
        <v>36.3958333333503</v>
      </c>
      <c r="G16" s="48">
        <f t="shared" si="1"/>
        <v>136.773898110984</v>
      </c>
      <c r="H16" s="43"/>
      <c r="M16" s="49"/>
    </row>
    <row r="17" customHeight="1" spans="1:13">
      <c r="A17" s="37">
        <f t="shared" si="0"/>
        <v>13</v>
      </c>
      <c r="B17" s="38" t="s">
        <v>32</v>
      </c>
      <c r="C17" s="45" t="s">
        <v>319</v>
      </c>
      <c r="D17" s="38">
        <v>2</v>
      </c>
      <c r="E17" s="40">
        <f>SUMIFS(转置表!O:O,转置表!L:L,B17,转置表!J:J,C17,转置表!M:M,D17)/COUNTIFS(转置表!L:L,B17,转置表!J:J,C17,转置表!M:M,D17)</f>
        <v>2201</v>
      </c>
      <c r="F17" s="40">
        <f>SUMIFS(转置表!T:T,转置表!L:L,B17,转置表!J:J,C17,转置表!M:M,D17)/COUNTIFS(转置表!L:L,B17,转置表!J:J,C17,转置表!M:M,D17)</f>
        <v>11</v>
      </c>
      <c r="G17" s="48">
        <f t="shared" si="1"/>
        <v>200.090909090909</v>
      </c>
      <c r="H17" s="43"/>
      <c r="M17" s="49"/>
    </row>
    <row r="18" customHeight="1" spans="1:13">
      <c r="A18" s="37">
        <f t="shared" si="0"/>
        <v>14</v>
      </c>
      <c r="B18" s="38" t="s">
        <v>32</v>
      </c>
      <c r="C18" s="39" t="s">
        <v>320</v>
      </c>
      <c r="D18" s="38">
        <v>2</v>
      </c>
      <c r="E18" s="40">
        <f>SUMIFS(转置表!O:O,转置表!L:L,B18,转置表!J:J,C18,转置表!M:M,D18)/COUNTIFS(转置表!L:L,B18,转置表!J:J,C18,转置表!M:M,D18)</f>
        <v>2775</v>
      </c>
      <c r="F18" s="40">
        <f>SUMIFS(转置表!T:T,转置表!L:L,B18,转置表!J:J,C18,转置表!M:M,D18)/COUNTIFS(转置表!L:L,B18,转置表!J:J,C18,转置表!M:M,D18)</f>
        <v>21</v>
      </c>
      <c r="G18" s="48">
        <f t="shared" si="1"/>
        <v>132.142857142857</v>
      </c>
      <c r="H18" s="43"/>
      <c r="M18" s="49"/>
    </row>
    <row r="19" customHeight="1" spans="1:13">
      <c r="A19" s="37">
        <f t="shared" si="0"/>
        <v>15</v>
      </c>
      <c r="B19" s="38" t="s">
        <v>32</v>
      </c>
      <c r="C19" s="39" t="s">
        <v>321</v>
      </c>
      <c r="D19" s="38">
        <v>2</v>
      </c>
      <c r="E19" s="40">
        <f>SUMIFS(转置表!O:O,转置表!L:L,B19,转置表!J:J,C19,转置表!M:M,D19)/COUNTIFS(转置表!L:L,B19,转置表!J:J,C19,转置表!M:M,D19)</f>
        <v>2648.25</v>
      </c>
      <c r="F19" s="40">
        <f>SUMIFS(转置表!T:T,转置表!L:L,B19,转置表!J:J,C19,转置表!M:M,D19)/COUNTIFS(转置表!L:L,B19,转置表!J:J,C19,转置表!M:M,D19)</f>
        <v>17.75</v>
      </c>
      <c r="G19" s="48">
        <f t="shared" si="1"/>
        <v>149.197183098592</v>
      </c>
      <c r="H19" s="43"/>
      <c r="M19" s="49"/>
    </row>
    <row r="20" customHeight="1" spans="1:13">
      <c r="A20" s="37">
        <f t="shared" si="0"/>
        <v>16</v>
      </c>
      <c r="B20" s="38" t="s">
        <v>38</v>
      </c>
      <c r="C20" s="39" t="s">
        <v>30</v>
      </c>
      <c r="D20" s="38">
        <v>2</v>
      </c>
      <c r="E20" s="40">
        <f>SUMIFS(转置表!O:O,转置表!L:L,B20,转置表!J:J,C20,转置表!M:M,D20)/COUNTIFS(转置表!L:L,B20,转置表!J:J,C20,转置表!M:M,D20)</f>
        <v>2467.375</v>
      </c>
      <c r="F20" s="40">
        <f>SUMIFS(转置表!T:T,转置表!L:L,B20,转置表!J:J,C20,转置表!M:M,D20)/COUNTIFS(转置表!L:L,B20,转置表!J:J,C20,转置表!M:M,D20)</f>
        <v>15.4765625000127</v>
      </c>
      <c r="G20" s="48">
        <f t="shared" si="1"/>
        <v>159.426552246209</v>
      </c>
      <c r="H20" s="43"/>
      <c r="M20" s="49"/>
    </row>
    <row r="21" customHeight="1" spans="1:13">
      <c r="A21" s="37">
        <f t="shared" ref="A21:A26" si="2">ROW()-4</f>
        <v>17</v>
      </c>
      <c r="B21" s="38" t="s">
        <v>38</v>
      </c>
      <c r="C21" s="39" t="s">
        <v>322</v>
      </c>
      <c r="D21" s="38">
        <v>2</v>
      </c>
      <c r="E21" s="40">
        <f>SUMIFS(转置表!O:O,转置表!L:L,B21,转置表!J:J,C21,转置表!M:M,D21)/COUNTIFS(转置表!L:L,B21,转置表!J:J,C21,转置表!M:M,D21)</f>
        <v>4804</v>
      </c>
      <c r="F21" s="40">
        <f>SUMIFS(转置表!T:T,转置表!L:L,B21,转置表!J:J,C21,转置表!M:M,D21)/COUNTIFS(转置表!L:L,B21,转置表!J:J,C21,转置表!M:M,D21)</f>
        <v>38.9166666667006</v>
      </c>
      <c r="G21" s="48">
        <f t="shared" si="1"/>
        <v>123.44325481788</v>
      </c>
      <c r="H21" s="44" t="s">
        <v>474</v>
      </c>
      <c r="M21" s="49"/>
    </row>
    <row r="22" customHeight="1" spans="1:13">
      <c r="A22" s="37">
        <f t="shared" si="2"/>
        <v>18</v>
      </c>
      <c r="B22" s="38" t="s">
        <v>38</v>
      </c>
      <c r="C22" s="39" t="s">
        <v>323</v>
      </c>
      <c r="D22" s="38">
        <v>2</v>
      </c>
      <c r="E22" s="40">
        <f>SUMIFS(转置表!O:O,转置表!L:L,B22,转置表!J:J,C22,转置表!M:M,D22)/COUNTIFS(转置表!L:L,B22,转置表!J:J,C22,转置表!M:M,D22)</f>
        <v>6191.33333333333</v>
      </c>
      <c r="F22" s="40">
        <f>SUMIFS(转置表!T:T,转置表!L:L,B22,转置表!J:J,C22,转置表!M:M,D22)/COUNTIFS(转置表!L:L,B22,转置表!J:J,C22,转置表!M:M,D22)</f>
        <v>33.5081018519001</v>
      </c>
      <c r="G22" s="48">
        <f t="shared" si="1"/>
        <v>184.771234153995</v>
      </c>
      <c r="H22" s="43"/>
      <c r="M22" s="49"/>
    </row>
    <row r="23" customHeight="1" spans="1:13">
      <c r="A23" s="37">
        <f t="shared" si="2"/>
        <v>19</v>
      </c>
      <c r="B23" s="38" t="s">
        <v>38</v>
      </c>
      <c r="C23" s="39" t="s">
        <v>321</v>
      </c>
      <c r="D23" s="38">
        <v>2</v>
      </c>
      <c r="E23" s="40">
        <f>SUMIFS(转置表!O:O,转置表!L:L,B23,转置表!J:J,C23,转置表!M:M,D23)/COUNTIFS(转置表!L:L,B23,转置表!J:J,C23,转置表!M:M,D23)</f>
        <v>4000</v>
      </c>
      <c r="F23" s="40">
        <f>SUMIFS(转置表!T:T,转置表!L:L,B23,转置表!J:J,C23,转置表!M:M,D23)/COUNTIFS(转置表!L:L,B23,转置表!J:J,C23,转置表!M:M,D23)</f>
        <v>41.5625</v>
      </c>
      <c r="G23" s="48">
        <f t="shared" si="1"/>
        <v>96.2406015037594</v>
      </c>
      <c r="H23" s="43"/>
      <c r="M23" s="49"/>
    </row>
    <row r="24" customHeight="1" spans="1:13">
      <c r="A24" s="37">
        <f t="shared" si="2"/>
        <v>20</v>
      </c>
      <c r="B24" s="38" t="s">
        <v>32</v>
      </c>
      <c r="C24" s="39" t="s">
        <v>30</v>
      </c>
      <c r="D24" s="38">
        <v>3</v>
      </c>
      <c r="E24" s="40">
        <f>SUMIFS(转置表!O:O,转置表!L:L,B24,转置表!J:J,C24,转置表!M:M,D24)/COUNTIFS(转置表!L:L,B24,转置表!J:J,C24,转置表!M:M,D24)</f>
        <v>3730.6</v>
      </c>
      <c r="F24" s="40">
        <f>SUMIFS(转置表!T:T,转置表!L:L,B24,转置表!J:J,C24,转置表!M:M,D24)/COUNTIFS(转置表!L:L,B24,转置表!J:J,C24,转置表!M:M,D24)</f>
        <v>29.4</v>
      </c>
      <c r="G24" s="48">
        <f t="shared" si="1"/>
        <v>126.891156462585</v>
      </c>
      <c r="H24" s="43"/>
      <c r="M24" s="49"/>
    </row>
    <row r="25" customHeight="1" spans="1:13">
      <c r="A25" s="37">
        <f t="shared" si="2"/>
        <v>21</v>
      </c>
      <c r="B25" s="38" t="s">
        <v>32</v>
      </c>
      <c r="C25" s="39" t="s">
        <v>324</v>
      </c>
      <c r="D25" s="38">
        <v>3</v>
      </c>
      <c r="E25" s="40">
        <f>SUMIFS(转置表!O:O,转置表!L:L,B25,转置表!J:J,C25,转置表!M:M,D25)/COUNTIFS(转置表!L:L,B25,转置表!J:J,C25,转置表!M:M,D25)</f>
        <v>3797</v>
      </c>
      <c r="F25" s="40">
        <f>SUMIFS(转置表!T:T,转置表!L:L,B25,转置表!J:J,C25,转置表!M:M,D25)/COUNTIFS(转置表!L:L,B25,转置表!J:J,C25,转置表!M:M,D25)</f>
        <v>21.46875</v>
      </c>
      <c r="G25" s="48">
        <f t="shared" si="1"/>
        <v>176.861717612809</v>
      </c>
      <c r="H25" s="43"/>
      <c r="M25" s="49"/>
    </row>
    <row r="26" customHeight="1" spans="1:13">
      <c r="A26" s="37">
        <f t="shared" si="2"/>
        <v>22</v>
      </c>
      <c r="B26" s="38" t="s">
        <v>32</v>
      </c>
      <c r="C26" s="39" t="s">
        <v>325</v>
      </c>
      <c r="D26" s="38">
        <v>3</v>
      </c>
      <c r="E26" s="40">
        <f>SUMIFS(转置表!O:O,转置表!L:L,B26,转置表!J:J,C26,转置表!M:M,D26)/COUNTIFS(转置表!L:L,B26,转置表!J:J,C26,转置表!M:M,D26)</f>
        <v>4614.4</v>
      </c>
      <c r="F26" s="40">
        <f>SUMIFS(转置表!T:T,转置表!L:L,B26,转置表!J:J,C26,转置表!M:M,D26)/COUNTIFS(转置表!L:L,B26,转置表!J:J,C26,转置表!M:M,D26)</f>
        <v>30.7583333333198</v>
      </c>
      <c r="G26" s="48">
        <f t="shared" si="1"/>
        <v>150.021132484488</v>
      </c>
      <c r="H26" s="43"/>
      <c r="M26" s="49"/>
    </row>
    <row r="27" customHeight="1" spans="1:13">
      <c r="A27" s="37">
        <f t="shared" ref="A27:A46" si="3">ROW()-4</f>
        <v>23</v>
      </c>
      <c r="B27" s="38" t="s">
        <v>32</v>
      </c>
      <c r="C27" s="39" t="s">
        <v>323</v>
      </c>
      <c r="D27" s="38">
        <v>3</v>
      </c>
      <c r="E27" s="40">
        <f>SUMIFS(转置表!O:O,转置表!L:L,B27,转置表!J:J,C27,转置表!M:M,D27)/COUNTIFS(转置表!L:L,B27,转置表!J:J,C27,转置表!M:M,D27)</f>
        <v>3732</v>
      </c>
      <c r="F27" s="40">
        <f>SUMIFS(转置表!T:T,转置表!L:L,B27,转置表!J:J,C27,转置表!M:M,D27)/COUNTIFS(转置表!L:L,B27,转置表!J:J,C27,转置表!M:M,D27)</f>
        <v>39</v>
      </c>
      <c r="G27" s="48">
        <f t="shared" si="1"/>
        <v>95.6923076923077</v>
      </c>
      <c r="H27" s="43"/>
      <c r="M27" s="49"/>
    </row>
    <row r="28" customHeight="1" spans="1:13">
      <c r="A28" s="37">
        <f t="shared" si="3"/>
        <v>24</v>
      </c>
      <c r="B28" s="38" t="s">
        <v>32</v>
      </c>
      <c r="C28" s="39" t="s">
        <v>310</v>
      </c>
      <c r="D28" s="38">
        <v>3</v>
      </c>
      <c r="E28" s="40">
        <f>SUMIFS(转置表!O:O,转置表!L:L,B28,转置表!J:J,C28,转置表!M:M,D28)/COUNTIFS(转置表!L:L,B28,转置表!J:J,C28,转置表!M:M,D28)</f>
        <v>4213.5</v>
      </c>
      <c r="F28" s="40">
        <f>SUMIFS(转置表!T:T,转置表!L:L,B28,转置表!J:J,C28,转置表!M:M,D28)/COUNTIFS(转置表!L:L,B28,转置表!J:J,C28,转置表!M:M,D28)</f>
        <v>56.5416666667006</v>
      </c>
      <c r="G28" s="48">
        <f t="shared" si="1"/>
        <v>74.5202652910386</v>
      </c>
      <c r="H28" s="43"/>
      <c r="M28" s="49"/>
    </row>
    <row r="29" customHeight="1" spans="1:13">
      <c r="A29" s="37">
        <f t="shared" si="3"/>
        <v>25</v>
      </c>
      <c r="B29" s="38" t="s">
        <v>32</v>
      </c>
      <c r="C29" s="39" t="s">
        <v>326</v>
      </c>
      <c r="D29" s="38">
        <v>3</v>
      </c>
      <c r="E29" s="40">
        <f>SUMIFS(转置表!O:O,转置表!L:L,B29,转置表!J:J,C29,转置表!M:M,D29)/COUNTIFS(转置表!L:L,B29,转置表!J:J,C29,转置表!M:M,D29)</f>
        <v>5157</v>
      </c>
      <c r="F29" s="40">
        <f>SUMIFS(转置表!T:T,转置表!L:L,B29,转置表!J:J,C29,转置表!M:M,D29)/COUNTIFS(转置表!L:L,B29,转置表!J:J,C29,转置表!M:M,D29)</f>
        <v>63</v>
      </c>
      <c r="G29" s="48">
        <f t="shared" si="1"/>
        <v>81.8571428571429</v>
      </c>
      <c r="H29" s="43"/>
      <c r="M29" s="49"/>
    </row>
    <row r="30" customHeight="1" spans="1:13">
      <c r="A30" s="37">
        <f t="shared" si="3"/>
        <v>26</v>
      </c>
      <c r="B30" s="38" t="s">
        <v>32</v>
      </c>
      <c r="C30" s="39" t="s">
        <v>327</v>
      </c>
      <c r="D30" s="38">
        <v>3</v>
      </c>
      <c r="E30" s="40">
        <f>SUMIFS(转置表!O:O,转置表!L:L,B30,转置表!J:J,C30,转置表!M:M,D30)/COUNTIFS(转置表!L:L,B30,转置表!J:J,C30,转置表!M:M,D30)</f>
        <v>4427.85714285714</v>
      </c>
      <c r="F30" s="40">
        <f>SUMIFS(转置表!T:T,转置表!L:L,B30,转置表!J:J,C30,转置表!M:M,D30)/COUNTIFS(转置表!L:L,B30,转置表!J:J,C30,转置表!M:M,D30)</f>
        <v>28.726190476195</v>
      </c>
      <c r="G30" s="48">
        <f t="shared" si="1"/>
        <v>154.140074595915</v>
      </c>
      <c r="H30" s="43"/>
      <c r="M30" s="49"/>
    </row>
    <row r="31" customHeight="1" spans="1:13">
      <c r="A31" s="37">
        <f t="shared" si="3"/>
        <v>27</v>
      </c>
      <c r="B31" s="38" t="s">
        <v>32</v>
      </c>
      <c r="C31" s="39" t="s">
        <v>328</v>
      </c>
      <c r="D31" s="38">
        <v>3</v>
      </c>
      <c r="E31" s="40">
        <f>SUMIFS(转置表!O:O,转置表!L:L,B31,转置表!J:J,C31,转置表!M:M,D31)/COUNTIFS(转置表!L:L,B31,转置表!J:J,C31,转置表!M:M,D31)</f>
        <v>5578.4</v>
      </c>
      <c r="F31" s="40">
        <f>SUMIFS(转置表!T:T,转置表!L:L,B31,转置表!J:J,C31,转置表!M:M,D31)/COUNTIFS(转置表!L:L,B31,转置表!J:J,C31,转置表!M:M,D31)</f>
        <v>44.5791666666395</v>
      </c>
      <c r="G31" s="48">
        <f t="shared" si="1"/>
        <v>125.134685484701</v>
      </c>
      <c r="H31" s="43"/>
      <c r="M31" s="49"/>
    </row>
    <row r="32" customHeight="1" spans="1:13">
      <c r="A32" s="37">
        <f t="shared" si="3"/>
        <v>28</v>
      </c>
      <c r="B32" s="38" t="s">
        <v>32</v>
      </c>
      <c r="C32" s="39" t="s">
        <v>318</v>
      </c>
      <c r="D32" s="38">
        <v>3</v>
      </c>
      <c r="E32" s="40">
        <f>SUMIFS(转置表!O:O,转置表!L:L,B32,转置表!J:J,C32,转置表!M:M,D32)/COUNTIFS(转置表!L:L,B32,转置表!J:J,C32,转置表!M:M,D32)</f>
        <v>5259.25</v>
      </c>
      <c r="F32" s="40">
        <f>SUMIFS(转置表!T:T,转置表!L:L,B32,转置表!J:J,C32,转置表!M:M,D32)/COUNTIFS(转置表!L:L,B32,转置表!J:J,C32,转置表!M:M,D32)</f>
        <v>47.2165625</v>
      </c>
      <c r="G32" s="48">
        <f t="shared" si="1"/>
        <v>111.385702845268</v>
      </c>
      <c r="H32" s="43"/>
      <c r="M32" s="49"/>
    </row>
    <row r="33" customHeight="1" spans="1:13">
      <c r="A33" s="37">
        <f t="shared" si="3"/>
        <v>29</v>
      </c>
      <c r="B33" s="38" t="s">
        <v>38</v>
      </c>
      <c r="C33" s="39" t="s">
        <v>30</v>
      </c>
      <c r="D33" s="38">
        <v>3</v>
      </c>
      <c r="E33" s="40" t="e">
        <f>SUMIFS(转置表!O:O,转置表!L:L,B33,转置表!J:J,C33,转置表!M:M,D33)/COUNTIFS(转置表!L:L,B33,转置表!J:J,C33,转置表!M:M,D33)</f>
        <v>#DIV/0!</v>
      </c>
      <c r="F33" s="40" t="e">
        <f>SUMIFS(转置表!T:T,转置表!L:L,B33,转置表!J:J,C33,转置表!M:M,D33)/COUNTIFS(转置表!L:L,B33,转置表!J:J,C33,转置表!M:M,D33)</f>
        <v>#DIV/0!</v>
      </c>
      <c r="G33" s="48" t="e">
        <f t="shared" si="1"/>
        <v>#DIV/0!</v>
      </c>
      <c r="H33" s="43"/>
      <c r="M33" s="49"/>
    </row>
    <row r="34" customHeight="1" spans="1:13">
      <c r="A34" s="37">
        <f t="shared" si="3"/>
        <v>30</v>
      </c>
      <c r="B34" s="38" t="s">
        <v>38</v>
      </c>
      <c r="C34" s="39" t="s">
        <v>322</v>
      </c>
      <c r="D34" s="38">
        <v>3</v>
      </c>
      <c r="E34" s="40">
        <f>SUMIFS(转置表!O:O,转置表!L:L,B34,转置表!J:J,C34,转置表!M:M,D34)/COUNTIFS(转置表!L:L,B34,转置表!J:J,C34,转置表!M:M,D34)</f>
        <v>4109</v>
      </c>
      <c r="F34" s="40">
        <f>SUMIFS(转置表!T:T,转置表!L:L,B34,转置表!J:J,C34,转置表!M:M,D34)/COUNTIFS(转置表!L:L,B34,转置表!J:J,C34,转置表!M:M,D34)</f>
        <v>31</v>
      </c>
      <c r="G34" s="48">
        <f t="shared" si="1"/>
        <v>132.548387096774</v>
      </c>
      <c r="H34" s="43"/>
      <c r="M34" s="49"/>
    </row>
    <row r="35" customHeight="1" spans="1:13">
      <c r="A35" s="37">
        <f t="shared" si="3"/>
        <v>31</v>
      </c>
      <c r="B35" s="38" t="s">
        <v>38</v>
      </c>
      <c r="C35" s="39" t="s">
        <v>323</v>
      </c>
      <c r="D35" s="38">
        <v>3</v>
      </c>
      <c r="E35" s="40">
        <f>SUMIFS(转置表!O:O,转置表!L:L,B35,转置表!J:J,C35,转置表!M:M,D35)/COUNTIFS(转置表!L:L,B35,转置表!J:J,C35,转置表!M:M,D35)</f>
        <v>6219.28571428571</v>
      </c>
      <c r="F35" s="40">
        <f>SUMIFS(转置表!T:T,转置表!L:L,B35,转置表!J:J,C35,转置表!M:M,D35)/COUNTIFS(转置表!L:L,B35,转置表!J:J,C35,转置表!M:M,D35)</f>
        <v>55.5714285714286</v>
      </c>
      <c r="G35" s="48">
        <f t="shared" si="1"/>
        <v>111.915167095116</v>
      </c>
      <c r="H35" s="44" t="s">
        <v>335</v>
      </c>
      <c r="M35" s="49"/>
    </row>
    <row r="36" customHeight="1" spans="1:13">
      <c r="A36" s="37">
        <f t="shared" si="3"/>
        <v>32</v>
      </c>
      <c r="B36" s="38" t="s">
        <v>38</v>
      </c>
      <c r="C36" s="39" t="s">
        <v>44</v>
      </c>
      <c r="D36" s="38">
        <v>3</v>
      </c>
      <c r="E36" s="40">
        <f>SUMIFS(转置表!O:O,转置表!L:L,B36,转置表!J:J,C36,转置表!M:M,D36)/COUNTIFS(转置表!L:L,B36,转置表!J:J,C36,转置表!M:M,D36)</f>
        <v>5842</v>
      </c>
      <c r="F36" s="40">
        <f>SUMIFS(转置表!T:T,转置表!L:L,B36,转置表!J:J,C36,转置表!M:M,D36)/COUNTIFS(转置表!L:L,B36,转置表!J:J,C36,转置表!M:M,D36)</f>
        <v>46.71</v>
      </c>
      <c r="G36" s="48">
        <f t="shared" si="1"/>
        <v>125.069578248769</v>
      </c>
      <c r="H36" s="43"/>
      <c r="M36" s="49"/>
    </row>
    <row r="37" customHeight="1" spans="1:13">
      <c r="A37" s="37">
        <f t="shared" si="3"/>
        <v>33</v>
      </c>
      <c r="B37" s="38" t="s">
        <v>32</v>
      </c>
      <c r="C37" s="39" t="s">
        <v>30</v>
      </c>
      <c r="D37" s="38">
        <v>4</v>
      </c>
      <c r="E37" s="40">
        <f>SUMIFS(转置表!O:O,转置表!L:L,B37,转置表!J:J,C37,转置表!M:M,D37)/COUNTIFS(转置表!L:L,B37,转置表!J:J,C37,转置表!M:M,D37)</f>
        <v>4824.66666666667</v>
      </c>
      <c r="F37" s="40">
        <f>SUMIFS(转置表!T:T,转置表!L:L,B37,转置表!J:J,C37,转置表!M:M,D37)/COUNTIFS(转置表!L:L,B37,转置表!J:J,C37,转置表!M:M,D37)</f>
        <v>50.9236111111337</v>
      </c>
      <c r="G37" s="48">
        <f t="shared" si="1"/>
        <v>94.743215600667</v>
      </c>
      <c r="H37" s="43"/>
      <c r="M37" s="49"/>
    </row>
    <row r="38" customHeight="1" spans="1:13">
      <c r="B38" s="50" t="s">
        <v>32</v>
      </c>
      <c r="C38" s="50" t="s">
        <v>336</v>
      </c>
      <c r="D38" s="50">
        <v>3</v>
      </c>
      <c r="E38" s="51">
        <v>6082</v>
      </c>
      <c r="F38" s="51">
        <v>52.75</v>
      </c>
      <c r="G38" s="51">
        <f t="shared" si="1"/>
        <v>115.298578199052</v>
      </c>
    </row>
    <row r="39" customHeight="1" spans="1:13">
      <c r="B39" s="50" t="s">
        <v>32</v>
      </c>
      <c r="C39" s="50" t="s">
        <v>337</v>
      </c>
      <c r="D39" s="50">
        <v>3</v>
      </c>
      <c r="E39" s="51">
        <v>5220</v>
      </c>
      <c r="F39" s="51">
        <v>53.5</v>
      </c>
      <c r="G39" s="51">
        <f t="shared" si="1"/>
        <v>97.5700934579439</v>
      </c>
    </row>
    <row r="40" customHeight="1" spans="1:13">
      <c r="B40" s="50" t="s">
        <v>32</v>
      </c>
      <c r="C40" s="50" t="s">
        <v>339</v>
      </c>
      <c r="D40" s="50">
        <v>2</v>
      </c>
      <c r="E40" s="51">
        <v>2327</v>
      </c>
      <c r="F40" s="51">
        <v>14</v>
      </c>
      <c r="G40" s="51">
        <f t="shared" si="1"/>
        <v>166.214285714286</v>
      </c>
    </row>
    <row r="41" customHeight="1" spans="1:13">
      <c r="B41" s="50" t="s">
        <v>32</v>
      </c>
      <c r="C41" s="50" t="s">
        <v>340</v>
      </c>
      <c r="D41" s="50">
        <v>2</v>
      </c>
      <c r="E41" s="51">
        <v>3092</v>
      </c>
      <c r="F41" s="51">
        <v>17</v>
      </c>
      <c r="G41" s="51">
        <f t="shared" si="1"/>
        <v>181.882352941176</v>
      </c>
    </row>
    <row r="42" customHeight="1" spans="1:13">
      <c r="B42" s="50" t="s">
        <v>38</v>
      </c>
      <c r="C42" s="50" t="s">
        <v>341</v>
      </c>
      <c r="D42" s="50">
        <v>3</v>
      </c>
      <c r="E42" s="51">
        <v>2695</v>
      </c>
      <c r="F42" s="51">
        <v>25.5</v>
      </c>
      <c r="G42" s="51">
        <f t="shared" si="1"/>
        <v>105.686274509804</v>
      </c>
    </row>
    <row r="43" customHeight="1" spans="1:13">
      <c r="B43" s="50" t="s">
        <v>38</v>
      </c>
      <c r="C43" s="50" t="s">
        <v>342</v>
      </c>
      <c r="D43" s="50">
        <v>3</v>
      </c>
      <c r="E43" s="51">
        <v>2720</v>
      </c>
      <c r="F43" s="51">
        <v>23.1</v>
      </c>
      <c r="G43" s="51">
        <f t="shared" si="1"/>
        <v>117.748917748918</v>
      </c>
    </row>
    <row r="44" customHeight="1" spans="1:13">
      <c r="B44" s="50" t="s">
        <v>32</v>
      </c>
      <c r="C44" s="50" t="s">
        <v>344</v>
      </c>
      <c r="D44" s="50">
        <v>2</v>
      </c>
      <c r="E44" s="51">
        <v>3092</v>
      </c>
      <c r="F44" s="51">
        <v>18.5</v>
      </c>
      <c r="G44" s="51">
        <f t="shared" si="1"/>
        <v>167.135135135135</v>
      </c>
    </row>
    <row r="45" customHeight="1" spans="1:13">
      <c r="B45" s="50" t="s">
        <v>32</v>
      </c>
      <c r="C45" s="50" t="s">
        <v>345</v>
      </c>
      <c r="D45" s="50">
        <v>3</v>
      </c>
      <c r="E45" s="51">
        <v>4540</v>
      </c>
      <c r="F45" s="51">
        <v>27.5</v>
      </c>
      <c r="G45" s="51">
        <f t="shared" si="1"/>
        <v>165.090909090909</v>
      </c>
    </row>
  </sheetData>
  <sheetProtection formatCells="0" formatColumns="0" formatRows="0" insertRows="0" insertColumns="0" insertHyperlinks="0" deleteColumns="0" deleteRows="0" sort="0" autoFilter="0" pivotTables="0"/>
  <autoFilter xmlns:etc="http://www.wps.cn/officeDocument/2017/etCustomData" ref="A4:XDZ45" etc:filterBottomFollowUsedRange="0">
    <extLst/>
  </autoFilter>
  <mergeCells count="2">
    <mergeCell ref="A2:H2"/>
    <mergeCell ref="G3:H3"/>
  </mergeCells>
  <pageMargins left="0.432638888888889" right="0.156944444444444" top="0.904861111111111" bottom="0.708333333333333" header="0.314583333333333" footer="0.393055555555556"/>
  <pageSetup paperSize="9" fitToHeight="0" orientation="portrait" horizontalDpi="600"/>
  <headerFooter>
    <oddFooter>&amp;C第 &amp;P 页，共 &amp;N 页</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3">
    <pageSetUpPr fitToPage="1"/>
  </sheetPr>
  <dimension ref="A1:K37"/>
  <sheetViews>
    <sheetView workbookViewId="0">
      <pane ySplit="3" topLeftCell="A4" activePane="bottomLeft" state="frozen"/>
      <selection/>
      <selection pane="bottomLeft" activeCell="E6" sqref="E6"/>
    </sheetView>
  </sheetViews>
  <sheetFormatPr defaultColWidth="4.87962962962963" defaultRowHeight="16" customHeight="1"/>
  <cols>
    <col min="1" max="1" width="4.16666666666667" style="19" customWidth="1"/>
    <col min="2" max="2" width="6.46296296296296" style="19" customWidth="1"/>
    <col min="3" max="3" width="25.6296296296296" style="19" customWidth="1"/>
    <col min="4" max="4" width="6.62962962962963" style="20" customWidth="1"/>
    <col min="5" max="6" width="14.6296296296296" style="21" customWidth="1"/>
    <col min="7" max="8" width="15.1296296296296" style="21" customWidth="1"/>
    <col min="9" max="9" width="21.6296296296296" style="22" customWidth="1"/>
    <col min="10" max="10" width="4.87962962962963" style="23"/>
    <col min="11" max="11" width="10.6388888888889" style="24" customWidth="1"/>
    <col min="12" max="12" width="4.87962962962963" style="23"/>
    <col min="13" max="13" width="12.6296296296296" style="23"/>
    <col min="14" max="14" width="4.87962962962963" style="23"/>
    <col min="15" max="15" width="5.37962962962963" style="23"/>
    <col min="16" max="16355" width="4.87962962962963" style="23"/>
  </cols>
  <sheetData>
    <row r="1" s="17" customFormat="1" ht="20.4" spans="1:11">
      <c r="A1" s="25" t="s">
        <v>475</v>
      </c>
      <c r="K1" s="24"/>
    </row>
    <row r="2" s="18" customFormat="1" ht="29.4" spans="1:11">
      <c r="A2" s="26" t="s">
        <v>88</v>
      </c>
      <c r="B2" s="26"/>
      <c r="C2" s="26"/>
      <c r="D2" s="26"/>
      <c r="E2" s="26"/>
      <c r="F2" s="26"/>
      <c r="G2" s="26"/>
      <c r="H2" s="26"/>
      <c r="I2" s="26"/>
      <c r="K2" s="27"/>
    </row>
    <row r="3" s="18" customFormat="1" customHeight="1" spans="1:11">
      <c r="A3" s="28"/>
      <c r="B3" s="28"/>
      <c r="C3" s="29"/>
      <c r="D3" s="29"/>
      <c r="E3" s="30"/>
      <c r="F3" s="30"/>
      <c r="G3" s="30"/>
      <c r="H3" s="30"/>
      <c r="I3" s="31"/>
    </row>
    <row r="4" ht="32" customHeight="1" spans="1:11">
      <c r="A4" s="32" t="s">
        <v>1</v>
      </c>
      <c r="B4" s="33" t="s">
        <v>10</v>
      </c>
      <c r="C4" s="33" t="s">
        <v>8</v>
      </c>
      <c r="D4" s="33" t="s">
        <v>11</v>
      </c>
      <c r="E4" s="34" t="s">
        <v>476</v>
      </c>
      <c r="F4" s="34"/>
      <c r="G4" s="34" t="s">
        <v>477</v>
      </c>
      <c r="H4" s="34" t="s">
        <v>478</v>
      </c>
      <c r="I4" s="35" t="s">
        <v>157</v>
      </c>
      <c r="K4" s="36" t="s">
        <v>397</v>
      </c>
    </row>
    <row r="5" customHeight="1" spans="1:11">
      <c r="A5" s="37">
        <f t="shared" ref="A5:A37" si="0">ROW()-4</f>
        <v>1</v>
      </c>
      <c r="B5" s="38" t="s">
        <v>32</v>
      </c>
      <c r="C5" s="39" t="s">
        <v>307</v>
      </c>
      <c r="D5" s="38">
        <v>2</v>
      </c>
      <c r="E5" s="40"/>
      <c r="F5" s="40"/>
      <c r="G5" s="41"/>
      <c r="H5" s="41"/>
      <c r="I5" s="42"/>
      <c r="K5" s="23">
        <f>COUNTIFS(转置表!L:L,B5,转置表!J:J,C5,转置表!M:M,D5)</f>
        <v>2</v>
      </c>
    </row>
    <row r="6" customHeight="1" spans="1:11">
      <c r="A6" s="37">
        <f t="shared" si="0"/>
        <v>2</v>
      </c>
      <c r="B6" s="38" t="s">
        <v>32</v>
      </c>
      <c r="C6" s="39" t="s">
        <v>308</v>
      </c>
      <c r="D6" s="38">
        <v>2</v>
      </c>
      <c r="E6" s="40">
        <f>SUMIFS(转置表!GC:GC,转置表!L:L,B6,转置表!J:J,C6,转置表!M:M,D6)</f>
        <v>3244615.82712074</v>
      </c>
      <c r="F6" s="40">
        <f>SUMIFS(转置表!FY:FY,转置表!L:L,B6,转置表!J:J,C6,转置表!M:M,D6)</f>
        <v>59347750.0739344</v>
      </c>
      <c r="G6" s="41">
        <f>E6*110%</f>
        <v>3569077.40983281</v>
      </c>
      <c r="H6" s="41">
        <f>E6*120%</f>
        <v>3893538.99254488</v>
      </c>
      <c r="I6" s="42"/>
      <c r="K6" s="23">
        <f>COUNTIFS(转置表!L:L,B6,转置表!J:J,C6,转置表!M:M,D6)</f>
        <v>14</v>
      </c>
    </row>
    <row r="7" customHeight="1" spans="1:11">
      <c r="A7" s="37">
        <f t="shared" si="0"/>
        <v>3</v>
      </c>
      <c r="B7" s="38" t="s">
        <v>32</v>
      </c>
      <c r="C7" s="39" t="s">
        <v>309</v>
      </c>
      <c r="D7" s="38">
        <v>2</v>
      </c>
      <c r="E7" s="40">
        <f>SUMIFS(转置表!GC:GC,转置表!L:L,B7,转置表!J:J,C7,转置表!M:M,D7)</f>
        <v>3090663.78502591</v>
      </c>
      <c r="F7" s="40">
        <f>SUMIFS(转置表!FY:FY,转置表!L:L,B7,转置表!J:J,C7,转置表!M:M,D7)</f>
        <v>37340293</v>
      </c>
      <c r="G7" s="41">
        <f t="shared" ref="G7:G10" si="1">E7*110%</f>
        <v>3399730.1635285</v>
      </c>
      <c r="H7" s="41">
        <f t="shared" ref="H7:H10" si="2">E7*120%</f>
        <v>3708796.54203109</v>
      </c>
      <c r="I7" s="43"/>
      <c r="K7" s="23">
        <f>COUNTIFS(转置表!L:L,B7,转置表!J:J,C7,转置表!M:M,D7)</f>
        <v>6</v>
      </c>
    </row>
    <row r="8" customHeight="1" spans="1:11">
      <c r="A8" s="37">
        <f t="shared" si="0"/>
        <v>4</v>
      </c>
      <c r="B8" s="38" t="s">
        <v>32</v>
      </c>
      <c r="C8" s="39" t="s">
        <v>310</v>
      </c>
      <c r="D8" s="38">
        <v>2</v>
      </c>
      <c r="E8" s="40"/>
      <c r="F8" s="40"/>
      <c r="G8" s="41"/>
      <c r="H8" s="41"/>
      <c r="I8" s="43"/>
      <c r="K8" s="23">
        <f>COUNTIFS(转置表!L:L,B8,转置表!J:J,C8,转置表!M:M,D8)</f>
        <v>2</v>
      </c>
    </row>
    <row r="9" customHeight="1" spans="1:11">
      <c r="A9" s="37">
        <f t="shared" si="0"/>
        <v>5</v>
      </c>
      <c r="B9" s="38" t="s">
        <v>32</v>
      </c>
      <c r="C9" s="39" t="s">
        <v>311</v>
      </c>
      <c r="D9" s="38">
        <v>2</v>
      </c>
      <c r="E9" s="40">
        <f>SUMIFS(转置表!GC:GC,转置表!L:L,B9,转置表!J:J,C9,转置表!M:M,D9)</f>
        <v>2453789.55253333</v>
      </c>
      <c r="F9" s="40">
        <f>SUMIFS(转置表!FY:FY,转置表!L:L,B9,转置表!J:J,C9,转置表!M:M,D9)</f>
        <v>23277479</v>
      </c>
      <c r="G9" s="41">
        <f t="shared" si="1"/>
        <v>2699168.50778667</v>
      </c>
      <c r="H9" s="41">
        <f t="shared" si="2"/>
        <v>2944547.46304</v>
      </c>
      <c r="I9" s="43"/>
      <c r="K9" s="23">
        <f>COUNTIFS(转置表!L:L,B9,转置表!J:J,C9,转置表!M:M,D9)</f>
        <v>8</v>
      </c>
    </row>
    <row r="10" customHeight="1" spans="1:11">
      <c r="A10" s="37">
        <f t="shared" si="0"/>
        <v>6</v>
      </c>
      <c r="B10" s="38" t="s">
        <v>32</v>
      </c>
      <c r="C10" s="39" t="s">
        <v>312</v>
      </c>
      <c r="D10" s="38">
        <v>2</v>
      </c>
      <c r="E10" s="40"/>
      <c r="F10" s="40"/>
      <c r="G10" s="41"/>
      <c r="H10" s="41"/>
      <c r="I10" s="43"/>
      <c r="K10" s="23">
        <f>COUNTIFS(转置表!L:L,B10,转置表!J:J,C10,转置表!M:M,D10)</f>
        <v>2</v>
      </c>
    </row>
    <row r="11" customHeight="1" spans="1:11">
      <c r="A11" s="37">
        <f t="shared" si="0"/>
        <v>7</v>
      </c>
      <c r="B11" s="38" t="s">
        <v>32</v>
      </c>
      <c r="C11" s="39" t="s">
        <v>313</v>
      </c>
      <c r="D11" s="38">
        <v>2</v>
      </c>
      <c r="E11" s="40"/>
      <c r="F11" s="40"/>
      <c r="G11" s="41"/>
      <c r="H11" s="41"/>
      <c r="I11" s="44" t="s">
        <v>479</v>
      </c>
      <c r="K11" s="23">
        <f>COUNTIFS(转置表!L:L,B11,转置表!J:J,C11,转置表!M:M,D11)</f>
        <v>2</v>
      </c>
    </row>
    <row r="12" customHeight="1" spans="1:11">
      <c r="A12" s="37">
        <f t="shared" si="0"/>
        <v>8</v>
      </c>
      <c r="B12" s="38" t="s">
        <v>32</v>
      </c>
      <c r="C12" s="39" t="s">
        <v>314</v>
      </c>
      <c r="D12" s="38">
        <v>2</v>
      </c>
      <c r="E12" s="40"/>
      <c r="F12" s="40"/>
      <c r="G12" s="41"/>
      <c r="H12" s="41"/>
      <c r="I12" s="43"/>
      <c r="K12" s="23">
        <f>COUNTIFS(转置表!L:L,B12,转置表!J:J,C12,转置表!M:M,D12)</f>
        <v>1</v>
      </c>
    </row>
    <row r="13" customHeight="1" spans="1:11">
      <c r="A13" s="37">
        <f t="shared" si="0"/>
        <v>9</v>
      </c>
      <c r="B13" s="38" t="s">
        <v>32</v>
      </c>
      <c r="C13" s="39" t="s">
        <v>315</v>
      </c>
      <c r="D13" s="38">
        <v>2</v>
      </c>
      <c r="E13" s="40"/>
      <c r="F13" s="40"/>
      <c r="G13" s="41"/>
      <c r="H13" s="41"/>
      <c r="I13" s="43"/>
      <c r="K13" s="23">
        <f>COUNTIFS(转置表!L:L,B13,转置表!J:J,C13,转置表!M:M,D13)</f>
        <v>1</v>
      </c>
    </row>
    <row r="14" customHeight="1" spans="1:11">
      <c r="A14" s="37">
        <f t="shared" si="0"/>
        <v>10</v>
      </c>
      <c r="B14" s="38" t="s">
        <v>32</v>
      </c>
      <c r="C14" s="39" t="s">
        <v>316</v>
      </c>
      <c r="D14" s="38">
        <v>2</v>
      </c>
      <c r="E14" s="40">
        <f>SUMIFS(转置表!GC:GC,转置表!L:L,B14,转置表!J:J,C14,转置表!M:M,D14)</f>
        <v>4627576.64278406</v>
      </c>
      <c r="F14" s="40">
        <f>SUMIFS(转置表!FY:FY,转置表!L:L,B14,转置表!J:J,C14,转置表!M:M,D14)</f>
        <v>30068132</v>
      </c>
      <c r="G14" s="41">
        <f>E14*110%</f>
        <v>5090334.30706246</v>
      </c>
      <c r="H14" s="41">
        <f>E14*120%</f>
        <v>5553091.97134087</v>
      </c>
      <c r="I14" s="43"/>
      <c r="K14" s="23">
        <f>COUNTIFS(转置表!L:L,B14,转置表!J:J,C14,转置表!M:M,D14)</f>
        <v>5</v>
      </c>
    </row>
    <row r="15" customHeight="1" spans="1:11">
      <c r="A15" s="37">
        <f t="shared" si="0"/>
        <v>11</v>
      </c>
      <c r="B15" s="38" t="s">
        <v>32</v>
      </c>
      <c r="C15" s="39" t="s">
        <v>317</v>
      </c>
      <c r="D15" s="38">
        <v>2</v>
      </c>
      <c r="E15" s="40"/>
      <c r="F15" s="40"/>
      <c r="G15" s="41"/>
      <c r="H15" s="41"/>
      <c r="I15" s="43"/>
      <c r="K15" s="23">
        <f>COUNTIFS(转置表!L:L,B15,转置表!J:J,C15,转置表!M:M,D15)</f>
        <v>1</v>
      </c>
    </row>
    <row r="16" customHeight="1" spans="1:11">
      <c r="A16" s="37">
        <f t="shared" si="0"/>
        <v>12</v>
      </c>
      <c r="B16" s="38" t="s">
        <v>32</v>
      </c>
      <c r="C16" s="39" t="s">
        <v>318</v>
      </c>
      <c r="D16" s="38">
        <v>2</v>
      </c>
      <c r="E16" s="40"/>
      <c r="F16" s="40"/>
      <c r="G16" s="41"/>
      <c r="H16" s="41"/>
      <c r="I16" s="43"/>
      <c r="K16" s="23">
        <f>COUNTIFS(转置表!L:L,B16,转置表!J:J,C16,转置表!M:M,D16)</f>
        <v>2</v>
      </c>
    </row>
    <row r="17" customHeight="1" spans="1:11">
      <c r="A17" s="37">
        <f t="shared" si="0"/>
        <v>13</v>
      </c>
      <c r="B17" s="38" t="s">
        <v>32</v>
      </c>
      <c r="C17" s="45" t="s">
        <v>319</v>
      </c>
      <c r="D17" s="38">
        <v>2</v>
      </c>
      <c r="E17" s="40"/>
      <c r="F17" s="40"/>
      <c r="G17" s="41"/>
      <c r="H17" s="41"/>
      <c r="I17" s="44" t="s">
        <v>480</v>
      </c>
      <c r="K17" s="23">
        <f>COUNTIFS(转置表!L:L,B17,转置表!J:J,C17,转置表!M:M,D17)</f>
        <v>2</v>
      </c>
    </row>
    <row r="18" customHeight="1" spans="1:11">
      <c r="A18" s="37">
        <f t="shared" si="0"/>
        <v>14</v>
      </c>
      <c r="B18" s="38" t="s">
        <v>32</v>
      </c>
      <c r="C18" s="39" t="s">
        <v>320</v>
      </c>
      <c r="D18" s="38">
        <v>2</v>
      </c>
      <c r="E18" s="40"/>
      <c r="F18" s="40"/>
      <c r="G18" s="41"/>
      <c r="H18" s="41"/>
      <c r="I18" s="43"/>
      <c r="K18" s="23">
        <f>COUNTIFS(转置表!L:L,B18,转置表!J:J,C18,转置表!M:M,D18)</f>
        <v>1</v>
      </c>
    </row>
    <row r="19" customHeight="1" spans="1:11">
      <c r="A19" s="37">
        <f t="shared" si="0"/>
        <v>15</v>
      </c>
      <c r="B19" s="38" t="s">
        <v>32</v>
      </c>
      <c r="C19" s="39" t="s">
        <v>321</v>
      </c>
      <c r="D19" s="38">
        <v>2</v>
      </c>
      <c r="E19" s="40">
        <f>SUMIFS(转置表!GC:GC,转置表!L:L,B19,转置表!J:J,C19,转置表!M:M,D19)</f>
        <v>1578394.17453333</v>
      </c>
      <c r="F19" s="40">
        <f>SUMIFS(转置表!FY:FY,转置表!L:L,B19,转置表!J:J,C19,转置表!M:M,D19)</f>
        <v>17030646</v>
      </c>
      <c r="G19" s="41">
        <f>E19*110%</f>
        <v>1736233.59198667</v>
      </c>
      <c r="H19" s="41">
        <f>E19*120%</f>
        <v>1894073.00944</v>
      </c>
      <c r="I19" s="43"/>
      <c r="K19" s="23">
        <f>COUNTIFS(转置表!L:L,B19,转置表!J:J,C19,转置表!M:M,D19)</f>
        <v>4</v>
      </c>
    </row>
    <row r="20" customHeight="1" spans="1:11">
      <c r="A20" s="37">
        <f t="shared" si="0"/>
        <v>16</v>
      </c>
      <c r="B20" s="38" t="s">
        <v>38</v>
      </c>
      <c r="C20" s="39" t="s">
        <v>30</v>
      </c>
      <c r="D20" s="38">
        <v>2</v>
      </c>
      <c r="E20" s="40">
        <f>SUMIFS(转置表!GC:GC,转置表!L:L,B20,转置表!J:J,C20,转置表!M:M,D20)</f>
        <v>5696073.03517617</v>
      </c>
      <c r="F20" s="40">
        <f>SUMIFS(转置表!FY:FY,转置表!L:L,B20,转置表!J:J,C20,转置表!M:M,D20)</f>
        <v>34064342.6545164</v>
      </c>
      <c r="G20" s="41">
        <f>E20*110%</f>
        <v>6265680.33869379</v>
      </c>
      <c r="H20" s="41">
        <f>E20*120%</f>
        <v>6835287.6422114</v>
      </c>
      <c r="I20" s="43"/>
      <c r="K20" s="23">
        <f>COUNTIFS(转置表!L:L,B20,转置表!J:J,C20,转置表!M:M,D20)</f>
        <v>8</v>
      </c>
    </row>
    <row r="21" customHeight="1" spans="1:11">
      <c r="A21" s="37">
        <f t="shared" si="0"/>
        <v>17</v>
      </c>
      <c r="B21" s="38" t="s">
        <v>38</v>
      </c>
      <c r="C21" s="39" t="s">
        <v>322</v>
      </c>
      <c r="D21" s="38">
        <v>2</v>
      </c>
      <c r="E21" s="40"/>
      <c r="F21" s="40"/>
      <c r="G21" s="41"/>
      <c r="H21" s="41"/>
      <c r="I21" s="44" t="s">
        <v>474</v>
      </c>
      <c r="K21" s="23">
        <f>COUNTIFS(转置表!L:L,B21,转置表!J:J,C21,转置表!M:M,D21)</f>
        <v>1</v>
      </c>
    </row>
    <row r="22" customHeight="1" spans="1:11">
      <c r="A22" s="37">
        <f t="shared" si="0"/>
        <v>18</v>
      </c>
      <c r="B22" s="38" t="s">
        <v>38</v>
      </c>
      <c r="C22" s="39" t="s">
        <v>323</v>
      </c>
      <c r="D22" s="38">
        <v>2</v>
      </c>
      <c r="E22" s="40">
        <f>SUMIFS(转置表!GC:GC,转置表!L:L,B22,转置表!J:J,C22,转置表!M:M,D22)</f>
        <v>-1830656.71067076</v>
      </c>
      <c r="F22" s="40">
        <f>SUMIFS(转置表!FY:FY,转置表!L:L,B22,转置表!J:J,C22,转置表!M:M,D22)</f>
        <v>29004676.9999999</v>
      </c>
      <c r="G22" s="41">
        <f>E22-E22*10%</f>
        <v>-1647591.03960368</v>
      </c>
      <c r="H22" s="41">
        <f>E22-E22*20%</f>
        <v>-1464525.36853661</v>
      </c>
      <c r="I22" s="43"/>
      <c r="K22" s="23">
        <f>COUNTIFS(转置表!L:L,B22,转置表!J:J,C22,转置表!M:M,D22)</f>
        <v>3</v>
      </c>
    </row>
    <row r="23" customHeight="1" spans="1:11">
      <c r="A23" s="37">
        <f t="shared" si="0"/>
        <v>19</v>
      </c>
      <c r="B23" s="38" t="s">
        <v>38</v>
      </c>
      <c r="C23" s="39" t="s">
        <v>321</v>
      </c>
      <c r="D23" s="38">
        <v>2</v>
      </c>
      <c r="E23" s="40"/>
      <c r="F23" s="40"/>
      <c r="G23" s="41"/>
      <c r="H23" s="41"/>
      <c r="I23" s="43"/>
      <c r="K23" s="23">
        <f>COUNTIFS(转置表!L:L,B23,转置表!J:J,C23,转置表!M:M,D23)</f>
        <v>2</v>
      </c>
    </row>
    <row r="24" customHeight="1" spans="1:11">
      <c r="A24" s="37">
        <f t="shared" si="0"/>
        <v>20</v>
      </c>
      <c r="B24" s="38" t="s">
        <v>32</v>
      </c>
      <c r="C24" s="39" t="s">
        <v>30</v>
      </c>
      <c r="D24" s="38">
        <v>3</v>
      </c>
      <c r="E24" s="40">
        <f>SUMIFS(转置表!GC:GC,转置表!L:L,B24,转置表!J:J,C24,转置表!M:M,D24)</f>
        <v>4595113.85538589</v>
      </c>
      <c r="F24" s="40">
        <f>SUMIFS(转置表!FY:FY,转置表!L:L,B24,转置表!J:J,C24,转置表!M:M,D24)</f>
        <v>45996967</v>
      </c>
      <c r="G24" s="41">
        <f t="shared" ref="G24:G26" si="3">E24*110%</f>
        <v>5054625.24092447</v>
      </c>
      <c r="H24" s="41">
        <f t="shared" ref="H24:H26" si="4">E24*120%</f>
        <v>5514136.62646306</v>
      </c>
      <c r="I24" s="43"/>
      <c r="K24" s="23">
        <f>COUNTIFS(转置表!L:L,B24,转置表!J:J,C24,转置表!M:M,D24)</f>
        <v>5</v>
      </c>
    </row>
    <row r="25" customHeight="1" spans="1:11">
      <c r="A25" s="37">
        <f t="shared" si="0"/>
        <v>21</v>
      </c>
      <c r="B25" s="38" t="s">
        <v>32</v>
      </c>
      <c r="C25" s="39" t="s">
        <v>324</v>
      </c>
      <c r="D25" s="38">
        <v>3</v>
      </c>
      <c r="E25" s="40">
        <f>SUMIFS(转置表!GC:GC,转置表!L:L,B25,转置表!J:J,C25,转置表!M:M,D25)</f>
        <v>6280277.57205646</v>
      </c>
      <c r="F25" s="40">
        <f>SUMIFS(转置表!FY:FY,转置表!L:L,B25,转置表!J:J,C25,转置表!M:M,D25)</f>
        <v>18857452.5125</v>
      </c>
      <c r="G25" s="41">
        <f t="shared" si="3"/>
        <v>6908305.32926211</v>
      </c>
      <c r="H25" s="41">
        <f t="shared" si="4"/>
        <v>7536333.08646775</v>
      </c>
      <c r="I25" s="43"/>
      <c r="K25" s="23">
        <f>COUNTIFS(转置表!L:L,B25,转置表!J:J,C25,转置表!M:M,D25)</f>
        <v>2</v>
      </c>
    </row>
    <row r="26" customHeight="1" spans="1:11">
      <c r="A26" s="37">
        <f t="shared" si="0"/>
        <v>22</v>
      </c>
      <c r="B26" s="38" t="s">
        <v>32</v>
      </c>
      <c r="C26" s="39" t="s">
        <v>325</v>
      </c>
      <c r="D26" s="38">
        <v>3</v>
      </c>
      <c r="E26" s="40">
        <f>SUMIFS(转置表!GC:GC,转置表!L:L,B26,转置表!J:J,C26,转置表!M:M,D26)</f>
        <v>34209204.1697425</v>
      </c>
      <c r="F26" s="40">
        <f>SUMIFS(转置表!FY:FY,转置表!L:L,B26,转置表!J:J,C26,转置表!M:M,D26)</f>
        <v>80955952.4526725</v>
      </c>
      <c r="G26" s="41">
        <f t="shared" si="3"/>
        <v>37630124.5867168</v>
      </c>
      <c r="H26" s="41">
        <f t="shared" si="4"/>
        <v>41051045.003691</v>
      </c>
      <c r="I26" s="43"/>
      <c r="K26" s="23">
        <f>COUNTIFS(转置表!L:L,B26,转置表!J:J,C26,转置表!M:M,D26)</f>
        <v>5</v>
      </c>
    </row>
    <row r="27" customHeight="1" spans="1:11">
      <c r="A27" s="37">
        <f t="shared" si="0"/>
        <v>23</v>
      </c>
      <c r="B27" s="38" t="s">
        <v>32</v>
      </c>
      <c r="C27" s="39" t="s">
        <v>323</v>
      </c>
      <c r="D27" s="38">
        <v>3</v>
      </c>
      <c r="E27" s="40"/>
      <c r="F27" s="40"/>
      <c r="G27" s="41"/>
      <c r="H27" s="41"/>
      <c r="I27" s="43"/>
      <c r="K27" s="23">
        <f>COUNTIFS(转置表!L:L,B27,转置表!J:J,C27,转置表!M:M,D27)</f>
        <v>1</v>
      </c>
    </row>
    <row r="28" customHeight="1" spans="1:11">
      <c r="A28" s="37">
        <f t="shared" si="0"/>
        <v>24</v>
      </c>
      <c r="B28" s="38" t="s">
        <v>32</v>
      </c>
      <c r="C28" s="39" t="s">
        <v>310</v>
      </c>
      <c r="D28" s="38">
        <v>3</v>
      </c>
      <c r="E28" s="40"/>
      <c r="F28" s="40"/>
      <c r="G28" s="41"/>
      <c r="H28" s="41"/>
      <c r="I28" s="43"/>
      <c r="K28" s="23">
        <f>COUNTIFS(转置表!L:L,B28,转置表!J:J,C28,转置表!M:M,D28)</f>
        <v>2</v>
      </c>
    </row>
    <row r="29" customHeight="1" spans="1:11">
      <c r="A29" s="37">
        <f t="shared" si="0"/>
        <v>25</v>
      </c>
      <c r="B29" s="38" t="s">
        <v>32</v>
      </c>
      <c r="C29" s="39" t="s">
        <v>326</v>
      </c>
      <c r="D29" s="38">
        <v>3</v>
      </c>
      <c r="E29" s="40"/>
      <c r="F29" s="40"/>
      <c r="G29" s="41"/>
      <c r="H29" s="41"/>
      <c r="I29" s="43"/>
      <c r="K29" s="23">
        <f>COUNTIFS(转置表!L:L,B29,转置表!J:J,C29,转置表!M:M,D29)</f>
        <v>2</v>
      </c>
    </row>
    <row r="30" customHeight="1" spans="1:11">
      <c r="A30" s="37">
        <f t="shared" si="0"/>
        <v>26</v>
      </c>
      <c r="B30" s="38" t="s">
        <v>32</v>
      </c>
      <c r="C30" s="39" t="s">
        <v>327</v>
      </c>
      <c r="D30" s="38">
        <v>3</v>
      </c>
      <c r="E30" s="40">
        <f>SUMIFS(转置表!GC:GC,转置表!L:L,B30,转置表!J:J,C30,转置表!M:M,D30)</f>
        <v>19052481.8970297</v>
      </c>
      <c r="F30" s="40">
        <f>SUMIFS(转置表!FY:FY,转置表!L:L,B30,转置表!J:J,C30,转置表!M:M,D30)</f>
        <v>82042277.9472</v>
      </c>
      <c r="G30" s="41">
        <f>E30-E30*10%</f>
        <v>17147233.7073268</v>
      </c>
      <c r="H30" s="41">
        <f>E30-E30*20%</f>
        <v>15241985.5176238</v>
      </c>
      <c r="I30" s="43"/>
      <c r="K30" s="23">
        <f>COUNTIFS(转置表!L:L,B30,转置表!J:J,C30,转置表!M:M,D30)</f>
        <v>7</v>
      </c>
    </row>
    <row r="31" customHeight="1" spans="1:11">
      <c r="A31" s="37">
        <f t="shared" si="0"/>
        <v>27</v>
      </c>
      <c r="B31" s="38" t="s">
        <v>32</v>
      </c>
      <c r="C31" s="39" t="s">
        <v>328</v>
      </c>
      <c r="D31" s="38">
        <v>3</v>
      </c>
      <c r="E31" s="40">
        <f>SUMIFS(转置表!GC:GC,转置表!L:L,B31,转置表!J:J,C31,转置表!M:M,D31)</f>
        <v>5933178.93422333</v>
      </c>
      <c r="F31" s="40">
        <f>SUMIFS(转置表!FY:FY,转置表!L:L,B31,转置表!J:J,C31,转置表!M:M,D31)</f>
        <v>77953921.8467042</v>
      </c>
      <c r="G31" s="41">
        <f>E31*110%</f>
        <v>6526496.82764566</v>
      </c>
      <c r="H31" s="41">
        <f>E31*120%</f>
        <v>7119814.72106799</v>
      </c>
      <c r="I31" s="43"/>
      <c r="K31" s="23">
        <f>COUNTIFS(转置表!L:L,B31,转置表!J:J,C31,转置表!M:M,D31)</f>
        <v>5</v>
      </c>
    </row>
    <row r="32" customHeight="1" spans="1:11">
      <c r="A32" s="37">
        <f t="shared" si="0"/>
        <v>28</v>
      </c>
      <c r="B32" s="38" t="s">
        <v>32</v>
      </c>
      <c r="C32" s="39" t="s">
        <v>318</v>
      </c>
      <c r="D32" s="38">
        <v>3</v>
      </c>
      <c r="E32" s="40">
        <f>SUMIFS(转置表!GC:GC,转置表!L:L,B32,转置表!J:J,C32,转置表!M:M,D32)</f>
        <v>24342335.3554613</v>
      </c>
      <c r="F32" s="40">
        <f>SUMIFS(转置表!FY:FY,转置表!L:L,B32,转置表!J:J,C32,转置表!M:M,D32)</f>
        <v>157134165.4</v>
      </c>
      <c r="G32" s="41">
        <f>E32*110%</f>
        <v>26776568.8910074</v>
      </c>
      <c r="H32" s="41">
        <f>E32*120%</f>
        <v>29210802.4265536</v>
      </c>
      <c r="I32" s="43"/>
      <c r="K32" s="23">
        <f>COUNTIFS(转置表!L:L,B32,转置表!J:J,C32,转置表!M:M,D32)</f>
        <v>8</v>
      </c>
    </row>
    <row r="33" customHeight="1" spans="1:11">
      <c r="A33" s="37">
        <f t="shared" si="0"/>
        <v>29</v>
      </c>
      <c r="B33" s="38" t="s">
        <v>38</v>
      </c>
      <c r="C33" s="39" t="s">
        <v>30</v>
      </c>
      <c r="D33" s="38">
        <v>3</v>
      </c>
      <c r="E33" s="40"/>
      <c r="F33" s="40"/>
      <c r="G33" s="41"/>
      <c r="H33" s="41"/>
      <c r="I33" s="43"/>
      <c r="K33" s="23">
        <f>COUNTIFS(转置表!L:L,B33,转置表!J:J,C33,转置表!M:M,D33)</f>
        <v>0</v>
      </c>
    </row>
    <row r="34" customHeight="1" spans="1:11">
      <c r="A34" s="37">
        <f t="shared" si="0"/>
        <v>30</v>
      </c>
      <c r="B34" s="38" t="s">
        <v>38</v>
      </c>
      <c r="C34" s="39" t="s">
        <v>322</v>
      </c>
      <c r="D34" s="38">
        <v>3</v>
      </c>
      <c r="E34" s="40"/>
      <c r="F34" s="40"/>
      <c r="G34" s="41"/>
      <c r="H34" s="41"/>
      <c r="I34" s="43"/>
      <c r="K34" s="23">
        <f>COUNTIFS(转置表!L:L,B34,转置表!J:J,C34,转置表!M:M,D34)</f>
        <v>2</v>
      </c>
    </row>
    <row r="35" customHeight="1" spans="1:11">
      <c r="A35" s="37">
        <f t="shared" si="0"/>
        <v>31</v>
      </c>
      <c r="B35" s="38" t="s">
        <v>38</v>
      </c>
      <c r="C35" s="39" t="s">
        <v>323</v>
      </c>
      <c r="D35" s="38">
        <v>3</v>
      </c>
      <c r="E35" s="40">
        <f>SUMIFS(转置表!GC:GC,转置表!L:L,B35,转置表!J:J,C35,转置表!M:M,D35)</f>
        <v>1368516.90180656</v>
      </c>
      <c r="F35" s="40">
        <f>SUMIFS(转置表!FY:FY,转置表!L:L,B35,转置表!J:J,C35,转置表!M:M,D35)</f>
        <v>182709100</v>
      </c>
      <c r="G35" s="41">
        <f>E35*110%</f>
        <v>1505368.59198722</v>
      </c>
      <c r="H35" s="41">
        <f>E35*120%</f>
        <v>1642220.28216788</v>
      </c>
      <c r="I35" s="43"/>
      <c r="K35" s="23">
        <f>COUNTIFS(转置表!L:L,B35,转置表!J:J,C35,转置表!M:M,D35)</f>
        <v>7</v>
      </c>
    </row>
    <row r="36" customHeight="1" spans="1:11">
      <c r="A36" s="37">
        <f t="shared" si="0"/>
        <v>32</v>
      </c>
      <c r="B36" s="38" t="s">
        <v>38</v>
      </c>
      <c r="C36" s="39" t="s">
        <v>44</v>
      </c>
      <c r="D36" s="38">
        <v>3</v>
      </c>
      <c r="E36" s="40"/>
      <c r="F36" s="40"/>
      <c r="G36" s="41"/>
      <c r="H36" s="41"/>
      <c r="I36" s="43"/>
      <c r="K36" s="23">
        <f>COUNTIFS(转置表!L:L,B36,转置表!J:J,C36,转置表!M:M,D36)</f>
        <v>1</v>
      </c>
    </row>
    <row r="37" customHeight="1" spans="1:11">
      <c r="A37" s="37">
        <f t="shared" si="0"/>
        <v>33</v>
      </c>
      <c r="B37" s="38" t="s">
        <v>32</v>
      </c>
      <c r="C37" s="39" t="s">
        <v>30</v>
      </c>
      <c r="D37" s="38">
        <v>4</v>
      </c>
      <c r="E37" s="40">
        <f>SUMIFS(转置表!GC:GC,转置表!L:L,B37,转置表!J:J,C37,转置表!M:M,D37)</f>
        <v>17977484.4518545</v>
      </c>
      <c r="F37" s="40">
        <f>SUMIFS(转置表!FY:FY,转置表!L:L,B37,转置表!J:J,C37,转置表!M:M,D37)</f>
        <v>59828852</v>
      </c>
      <c r="G37" s="41">
        <f>E37*110%</f>
        <v>19775232.89704</v>
      </c>
      <c r="H37" s="41">
        <f>E37*120%</f>
        <v>21572981.3422254</v>
      </c>
      <c r="I37" s="43"/>
      <c r="K37" s="23">
        <f>COUNTIFS(转置表!L:L,B37,转置表!J:J,C37,转置表!M:M,D37)</f>
        <v>3</v>
      </c>
    </row>
  </sheetData>
  <sheetProtection formatCells="0" formatColumns="0" formatRows="0" insertRows="0" insertColumns="0" insertHyperlinks="0" deleteColumns="0" deleteRows="0" sort="0" autoFilter="0" pivotTables="0"/>
  <autoFilter xmlns:etc="http://www.wps.cn/officeDocument/2017/etCustomData" ref="A4:XEA37" etc:filterBottomFollowUsedRange="0">
    <filterColumn colId="4">
      <colorFilter dxfId="0"/>
      <extLst>
        <colorFilter dxfId="0"/>
        <colorFilter dxfId="1"/>
        <dxfs count="2">
          <dxf>
            <fill>
              <patternFill patternType="none"/>
            </fill>
          </dxf>
          <dxf>
            <fill>
              <patternFill patternType="solid">
                <fgColor rgb="FFFFC7CE"/>
                <bgColor rgb="FFFFC7CE"/>
              </patternFill>
            </fill>
          </dxf>
        </dxfs>
      </extLst>
    </filterColumn>
    <extLst/>
  </autoFilter>
  <mergeCells count="1">
    <mergeCell ref="A2:I2"/>
  </mergeCells>
  <pageMargins left="0.432638888888889" right="0.156944444444444" top="0.904861111111111" bottom="0.708333333333333" header="0.314583333333333" footer="0.393055555555556"/>
  <pageSetup paperSize="9" scale="90" fitToHeight="0" orientation="portrait" horizontalDpi="600"/>
  <headerFooter>
    <oddFooter>&amp;C第 &amp;P 页，共 &amp;N 页</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HU134"/>
  <sheetViews>
    <sheetView zoomScale="130" zoomScaleNormal="130" topLeftCell="FK45" workbookViewId="0">
      <selection activeCell="G5" sqref="G5:G37"/>
    </sheetView>
  </sheetViews>
  <sheetFormatPr defaultColWidth="9" defaultRowHeight="14.4"/>
  <cols>
    <col min="1" max="1" width="9" style="1"/>
    <col min="2" max="4" width="9" style="2"/>
    <col min="5" max="5" width="9" style="9"/>
    <col min="6" max="7" width="9" style="2"/>
    <col min="8" max="8" width="21.6296296296296" style="2" customWidth="1"/>
    <col min="9" max="9" width="14.3796296296296" style="2" customWidth="1"/>
    <col min="10" max="10" width="21.5" customWidth="1"/>
    <col min="14" max="14" width="12.6296296296296"/>
    <col min="15" max="15" width="12.6296296296296" style="3"/>
    <col min="16" max="24" width="12.6296296296296" style="4"/>
    <col min="25" max="25" width="17" style="3" customWidth="1"/>
    <col min="26" max="26" width="13.7592592592593"/>
    <col min="27" max="30" width="12.6296296296296"/>
    <col min="31" max="31" width="9.37962962962963"/>
    <col min="32" max="42" width="12.6296296296296"/>
    <col min="43" max="43" width="10.3796296296296"/>
    <col min="44" max="54" width="12.6296296296296"/>
    <col min="55" max="56" width="14" customWidth="1"/>
    <col min="57" max="57" width="9.37962962962963"/>
    <col min="58" max="60" width="12.6296296296296"/>
    <col min="61" max="61" width="11.5"/>
    <col min="62" max="62" width="12.6296296296296"/>
    <col min="63" max="63" width="11.5"/>
    <col min="64" max="65" width="10.3796296296296"/>
    <col min="66" max="69" width="12.6296296296296"/>
    <col min="70" max="70" width="9.37962962962963"/>
    <col min="71" max="71" width="10.3796296296296"/>
    <col min="72" max="72" width="12.6296296296296"/>
    <col min="73" max="73" width="9.37962962962963"/>
    <col min="74" max="74" width="12.6296296296296"/>
    <col min="76" max="76" width="10.3796296296296"/>
    <col min="77" max="77" width="12.6296296296296"/>
    <col min="78" max="79" width="11.5"/>
    <col min="80" max="81" width="10.3796296296296"/>
    <col min="82" max="87" width="12.6296296296296"/>
    <col min="90" max="90" width="9.37962962962963"/>
    <col min="91" max="95" width="12.6296296296296"/>
    <col min="96" max="96" width="9.37962962962963"/>
    <col min="97" max="97" width="16.3796296296296" customWidth="1"/>
    <col min="98" max="98" width="10.3796296296296"/>
    <col min="102" max="104" width="12.6296296296296"/>
    <col min="106" max="107" width="12.6296296296296"/>
    <col min="108" max="108" width="9.37962962962963"/>
    <col min="109" max="109" width="10.3796296296296"/>
    <col min="110" max="110" width="12.6296296296296"/>
    <col min="112" max="112" width="12.6296296296296" style="3"/>
    <col min="113" max="113" width="11.5"/>
    <col min="114" max="115" width="10.3796296296296"/>
    <col min="117" max="117" width="11.5"/>
    <col min="120" max="120" width="10.3796296296296"/>
    <col min="121" max="121" width="12.6296296296296"/>
    <col min="122" max="124" width="10.3796296296296"/>
    <col min="127" max="127" width="12.6296296296296"/>
    <col min="128" max="128" width="9.37962962962963"/>
    <col min="129" max="130" width="10.3796296296296"/>
    <col min="134" max="134" width="10.3796296296296"/>
    <col min="136" max="136" width="11.5"/>
    <col min="138" max="138" width="11.5"/>
    <col min="139" max="139" width="12.6296296296296"/>
    <col min="141" max="141" width="12.6296296296296"/>
    <col min="142" max="142" width="10.3796296296296"/>
    <col min="143" max="143" width="12.6296296296296"/>
    <col min="144" max="144" width="9.37962962962963"/>
    <col min="145" max="147" width="10.3796296296296"/>
    <col min="148" max="149" width="12.6296296296296"/>
    <col min="150" max="150" width="10.3796296296296"/>
    <col min="151" max="151" width="12.6296296296296"/>
    <col min="152" max="152" width="12.6296296296296" style="4"/>
    <col min="153" max="154" width="12.6296296296296"/>
    <col min="155" max="155" width="12.6296296296296" style="4"/>
    <col min="156" max="157" width="9.37962962962963"/>
    <col min="161" max="161" width="12.6296296296296"/>
    <col min="163" max="163" width="12.6296296296296"/>
    <col min="164" max="164" width="11.5"/>
    <col min="165" max="165" width="12.6296296296296" style="4"/>
    <col min="166" max="166" width="12.6296296296296"/>
    <col min="167" max="167" width="10.3796296296296"/>
    <col min="168" max="168" width="12.6296296296296"/>
    <col min="169" max="169" width="12.6296296296296" style="4"/>
    <col min="170" max="171" width="10.3796296296296"/>
    <col min="172" max="172" width="11.5"/>
    <col min="174" max="178" width="12.6296296296296"/>
    <col min="180" max="180" width="11.5"/>
    <col min="181" max="182" width="12.6296296296296"/>
    <col min="183" max="183" width="13.7592592592593"/>
    <col min="184" max="184" width="12.6296296296296"/>
    <col min="185" max="188" width="13.7592592592593"/>
    <col min="190" max="205" width="12.6296296296296"/>
    <col min="208" max="211" width="12.6296296296296"/>
    <col min="229" max="229" width="10.8796296296296" customWidth="1"/>
    <col min="230" max="230" width="12.6296296296296"/>
  </cols>
  <sheetData>
    <row r="1" spans="1:229">
      <c r="A1" s="1" t="s">
        <v>1</v>
      </c>
      <c r="B1" s="2" t="s">
        <v>2</v>
      </c>
      <c r="C1" s="2" t="s">
        <v>3</v>
      </c>
      <c r="D1" s="2" t="s">
        <v>4</v>
      </c>
      <c r="E1" s="9" t="s">
        <v>5</v>
      </c>
      <c r="F1" s="2" t="s">
        <v>481</v>
      </c>
      <c r="G1" s="2" t="s">
        <v>6</v>
      </c>
      <c r="H1" s="2" t="s">
        <v>482</v>
      </c>
      <c r="I1" s="2" t="s">
        <v>7</v>
      </c>
      <c r="J1" t="s">
        <v>8</v>
      </c>
      <c r="K1" t="s">
        <v>9</v>
      </c>
      <c r="L1" t="s">
        <v>10</v>
      </c>
      <c r="M1" t="s">
        <v>11</v>
      </c>
      <c r="N1" t="s">
        <v>483</v>
      </c>
      <c r="O1" s="3" t="s">
        <v>12</v>
      </c>
      <c r="P1" s="4" t="s">
        <v>13</v>
      </c>
      <c r="Q1" s="4" t="s">
        <v>484</v>
      </c>
      <c r="R1" s="4" t="s">
        <v>485</v>
      </c>
      <c r="S1" s="4" t="s">
        <v>486</v>
      </c>
      <c r="T1" s="4" t="s">
        <v>487</v>
      </c>
      <c r="U1" s="4" t="s">
        <v>488</v>
      </c>
      <c r="V1" s="4" t="s">
        <v>489</v>
      </c>
      <c r="W1" s="4" t="s">
        <v>490</v>
      </c>
      <c r="X1" s="4" t="s">
        <v>491</v>
      </c>
      <c r="Y1" s="3" t="s">
        <v>492</v>
      </c>
      <c r="Z1" t="s">
        <v>493</v>
      </c>
      <c r="AA1" t="s">
        <v>494</v>
      </c>
      <c r="AB1" t="s">
        <v>495</v>
      </c>
      <c r="AC1" t="s">
        <v>496</v>
      </c>
      <c r="AD1" t="s">
        <v>497</v>
      </c>
      <c r="AE1" t="s">
        <v>498</v>
      </c>
      <c r="AF1" t="s">
        <v>499</v>
      </c>
      <c r="AG1" t="s">
        <v>500</v>
      </c>
      <c r="AH1" t="s">
        <v>501</v>
      </c>
      <c r="AI1" t="s">
        <v>502</v>
      </c>
      <c r="AJ1" t="s">
        <v>503</v>
      </c>
      <c r="AK1" t="s">
        <v>504</v>
      </c>
      <c r="AL1" t="s">
        <v>505</v>
      </c>
      <c r="AM1" t="s">
        <v>506</v>
      </c>
      <c r="AN1" t="s">
        <v>507</v>
      </c>
      <c r="AO1" t="s">
        <v>508</v>
      </c>
      <c r="AP1" t="s">
        <v>509</v>
      </c>
      <c r="AQ1" t="s">
        <v>510</v>
      </c>
      <c r="AR1" t="s">
        <v>511</v>
      </c>
      <c r="AS1" t="s">
        <v>512</v>
      </c>
      <c r="AT1" t="s">
        <v>513</v>
      </c>
      <c r="AU1" t="s">
        <v>514</v>
      </c>
      <c r="AV1" t="s">
        <v>515</v>
      </c>
      <c r="AW1" t="s">
        <v>516</v>
      </c>
      <c r="AX1" t="s">
        <v>517</v>
      </c>
      <c r="AY1" t="s">
        <v>518</v>
      </c>
      <c r="AZ1" t="s">
        <v>519</v>
      </c>
      <c r="BA1" t="s">
        <v>520</v>
      </c>
      <c r="BB1" t="s">
        <v>521</v>
      </c>
      <c r="BC1" t="s">
        <v>522</v>
      </c>
      <c r="BD1" t="s">
        <v>523</v>
      </c>
      <c r="BE1" t="s">
        <v>524</v>
      </c>
      <c r="BF1" t="s">
        <v>525</v>
      </c>
      <c r="BG1" t="s">
        <v>526</v>
      </c>
      <c r="BH1" t="s">
        <v>527</v>
      </c>
      <c r="BI1" t="s">
        <v>528</v>
      </c>
      <c r="BJ1" t="s">
        <v>529</v>
      </c>
      <c r="BK1" t="s">
        <v>530</v>
      </c>
      <c r="BL1" t="s">
        <v>531</v>
      </c>
      <c r="BM1" t="s">
        <v>532</v>
      </c>
      <c r="BN1" t="s">
        <v>533</v>
      </c>
      <c r="BO1" t="s">
        <v>534</v>
      </c>
      <c r="BP1" t="s">
        <v>535</v>
      </c>
      <c r="BQ1" t="s">
        <v>536</v>
      </c>
      <c r="BR1" t="s">
        <v>537</v>
      </c>
      <c r="BS1" t="s">
        <v>538</v>
      </c>
      <c r="BT1" t="s">
        <v>539</v>
      </c>
      <c r="BU1" t="s">
        <v>540</v>
      </c>
      <c r="BV1" t="s">
        <v>541</v>
      </c>
      <c r="BW1" t="s">
        <v>542</v>
      </c>
      <c r="BX1" t="s">
        <v>543</v>
      </c>
      <c r="BY1" t="s">
        <v>544</v>
      </c>
      <c r="BZ1" t="s">
        <v>545</v>
      </c>
      <c r="CA1" t="s">
        <v>546</v>
      </c>
      <c r="CB1" t="s">
        <v>547</v>
      </c>
      <c r="CC1" t="s">
        <v>548</v>
      </c>
      <c r="CD1" t="s">
        <v>549</v>
      </c>
      <c r="CE1" t="s">
        <v>550</v>
      </c>
      <c r="CF1" t="s">
        <v>551</v>
      </c>
      <c r="CG1" t="s">
        <v>552</v>
      </c>
      <c r="CH1" t="s">
        <v>553</v>
      </c>
      <c r="CI1" t="s">
        <v>554</v>
      </c>
      <c r="CJ1" t="s">
        <v>555</v>
      </c>
      <c r="CK1" t="s">
        <v>556</v>
      </c>
      <c r="CL1" t="s">
        <v>557</v>
      </c>
      <c r="CM1" t="s">
        <v>558</v>
      </c>
      <c r="CN1" t="s">
        <v>559</v>
      </c>
      <c r="CO1" t="s">
        <v>560</v>
      </c>
      <c r="CP1" t="s">
        <v>561</v>
      </c>
      <c r="CQ1" t="s">
        <v>562</v>
      </c>
      <c r="CR1" t="s">
        <v>563</v>
      </c>
      <c r="CS1" t="s">
        <v>564</v>
      </c>
      <c r="CT1" t="s">
        <v>565</v>
      </c>
      <c r="CU1" t="s">
        <v>566</v>
      </c>
      <c r="CV1" t="s">
        <v>567</v>
      </c>
      <c r="CW1" t="s">
        <v>568</v>
      </c>
      <c r="CX1" t="s">
        <v>569</v>
      </c>
      <c r="CY1" t="s">
        <v>570</v>
      </c>
      <c r="CZ1" t="s">
        <v>571</v>
      </c>
      <c r="DA1" t="s">
        <v>572</v>
      </c>
      <c r="DB1" t="s">
        <v>573</v>
      </c>
      <c r="DC1" t="s">
        <v>574</v>
      </c>
      <c r="DD1" t="s">
        <v>575</v>
      </c>
      <c r="DE1" t="s">
        <v>576</v>
      </c>
      <c r="DF1" t="s">
        <v>577</v>
      </c>
      <c r="DG1" t="s">
        <v>578</v>
      </c>
      <c r="DH1" s="3" t="s">
        <v>579</v>
      </c>
      <c r="DI1" t="s">
        <v>580</v>
      </c>
      <c r="DJ1" t="s">
        <v>581</v>
      </c>
      <c r="DK1" t="s">
        <v>582</v>
      </c>
      <c r="DL1" t="s">
        <v>583</v>
      </c>
      <c r="DM1" t="s">
        <v>584</v>
      </c>
      <c r="DN1" t="s">
        <v>585</v>
      </c>
      <c r="DO1" t="s">
        <v>586</v>
      </c>
      <c r="DP1" t="s">
        <v>587</v>
      </c>
      <c r="DQ1" t="s">
        <v>588</v>
      </c>
      <c r="DR1" t="s">
        <v>589</v>
      </c>
      <c r="DS1" t="s">
        <v>590</v>
      </c>
      <c r="DT1" t="s">
        <v>591</v>
      </c>
      <c r="DU1" t="s">
        <v>592</v>
      </c>
      <c r="DV1" t="s">
        <v>593</v>
      </c>
      <c r="DW1" t="s">
        <v>594</v>
      </c>
      <c r="DX1" t="s">
        <v>595</v>
      </c>
      <c r="DY1" t="s">
        <v>596</v>
      </c>
      <c r="DZ1" t="s">
        <v>597</v>
      </c>
      <c r="EA1" t="s">
        <v>598</v>
      </c>
      <c r="EB1" t="s">
        <v>599</v>
      </c>
      <c r="EC1" t="s">
        <v>600</v>
      </c>
      <c r="ED1" t="s">
        <v>601</v>
      </c>
      <c r="EE1" t="s">
        <v>602</v>
      </c>
      <c r="EF1" t="s">
        <v>603</v>
      </c>
      <c r="EG1" t="s">
        <v>604</v>
      </c>
      <c r="EH1" t="s">
        <v>605</v>
      </c>
      <c r="EI1" t="s">
        <v>606</v>
      </c>
      <c r="EJ1" t="s">
        <v>607</v>
      </c>
      <c r="EK1" t="s">
        <v>608</v>
      </c>
      <c r="EL1" t="s">
        <v>609</v>
      </c>
      <c r="EM1" t="s">
        <v>610</v>
      </c>
      <c r="EN1" t="s">
        <v>611</v>
      </c>
      <c r="EO1" t="s">
        <v>612</v>
      </c>
      <c r="EP1" t="s">
        <v>613</v>
      </c>
      <c r="EQ1" t="s">
        <v>614</v>
      </c>
      <c r="ER1" t="s">
        <v>615</v>
      </c>
      <c r="ES1" t="s">
        <v>616</v>
      </c>
      <c r="ET1" t="s">
        <v>617</v>
      </c>
      <c r="EU1" t="s">
        <v>618</v>
      </c>
      <c r="EV1" s="4" t="s">
        <v>619</v>
      </c>
      <c r="EW1" t="s">
        <v>620</v>
      </c>
      <c r="EX1" t="s">
        <v>621</v>
      </c>
      <c r="EY1" s="4" t="s">
        <v>622</v>
      </c>
      <c r="EZ1" t="s">
        <v>623</v>
      </c>
      <c r="FA1" t="s">
        <v>624</v>
      </c>
      <c r="FB1" t="s">
        <v>625</v>
      </c>
      <c r="FC1" t="s">
        <v>626</v>
      </c>
      <c r="FD1" t="s">
        <v>627</v>
      </c>
      <c r="FE1" t="s">
        <v>628</v>
      </c>
      <c r="FF1" t="s">
        <v>629</v>
      </c>
      <c r="FG1" t="s">
        <v>630</v>
      </c>
      <c r="FH1" t="s">
        <v>631</v>
      </c>
      <c r="FI1" s="4" t="s">
        <v>632</v>
      </c>
      <c r="FJ1" t="s">
        <v>633</v>
      </c>
      <c r="FK1" t="s">
        <v>634</v>
      </c>
      <c r="FL1" t="s">
        <v>635</v>
      </c>
      <c r="FM1" s="4" t="s">
        <v>636</v>
      </c>
      <c r="FN1" t="s">
        <v>637</v>
      </c>
      <c r="FO1" t="s">
        <v>638</v>
      </c>
      <c r="FP1" t="s">
        <v>639</v>
      </c>
      <c r="FQ1" t="s">
        <v>640</v>
      </c>
      <c r="FR1" t="s">
        <v>641</v>
      </c>
      <c r="FS1" t="s">
        <v>642</v>
      </c>
      <c r="FT1" t="s">
        <v>643</v>
      </c>
      <c r="FU1" t="s">
        <v>644</v>
      </c>
      <c r="FV1" t="s">
        <v>645</v>
      </c>
      <c r="FW1" t="s">
        <v>646</v>
      </c>
      <c r="FX1" t="s">
        <v>647</v>
      </c>
      <c r="FY1" t="s">
        <v>648</v>
      </c>
      <c r="FZ1" t="s">
        <v>494</v>
      </c>
      <c r="GA1" t="s">
        <v>649</v>
      </c>
      <c r="GB1" t="s">
        <v>650</v>
      </c>
      <c r="GC1" t="s">
        <v>651</v>
      </c>
      <c r="GD1" t="s">
        <v>652</v>
      </c>
      <c r="GE1" t="s">
        <v>653</v>
      </c>
      <c r="GF1" t="s">
        <v>654</v>
      </c>
      <c r="GG1" t="s">
        <v>646</v>
      </c>
      <c r="GH1" t="s">
        <v>655</v>
      </c>
      <c r="GI1" t="s">
        <v>656</v>
      </c>
      <c r="GJ1" t="s">
        <v>657</v>
      </c>
      <c r="GK1" t="s">
        <v>658</v>
      </c>
      <c r="GL1" t="s">
        <v>659</v>
      </c>
      <c r="GM1" t="s">
        <v>660</v>
      </c>
      <c r="GN1" t="s">
        <v>661</v>
      </c>
      <c r="GO1" t="s">
        <v>662</v>
      </c>
      <c r="GP1" t="s">
        <v>663</v>
      </c>
      <c r="GQ1" t="s">
        <v>664</v>
      </c>
      <c r="GR1" t="s">
        <v>665</v>
      </c>
      <c r="GS1" t="s">
        <v>666</v>
      </c>
      <c r="GT1" t="s">
        <v>667</v>
      </c>
      <c r="GU1" t="s">
        <v>668</v>
      </c>
      <c r="GV1" t="s">
        <v>669</v>
      </c>
      <c r="GW1" t="s">
        <v>670</v>
      </c>
      <c r="GX1" t="s">
        <v>671</v>
      </c>
      <c r="GY1" t="s">
        <v>672</v>
      </c>
      <c r="GZ1" t="s">
        <v>673</v>
      </c>
      <c r="HA1" t="s">
        <v>674</v>
      </c>
      <c r="HB1" t="s">
        <v>675</v>
      </c>
      <c r="HC1" t="s">
        <v>646</v>
      </c>
      <c r="HD1" t="s">
        <v>676</v>
      </c>
      <c r="HE1" t="s">
        <v>677</v>
      </c>
      <c r="HF1" t="s">
        <v>678</v>
      </c>
      <c r="HG1" t="s">
        <v>679</v>
      </c>
      <c r="HH1" t="s">
        <v>680</v>
      </c>
      <c r="HI1" t="s">
        <v>646</v>
      </c>
      <c r="HJ1" t="s">
        <v>681</v>
      </c>
      <c r="HK1" t="s">
        <v>682</v>
      </c>
      <c r="HL1" t="s">
        <v>683</v>
      </c>
      <c r="HM1" t="s">
        <v>684</v>
      </c>
      <c r="HN1" t="s">
        <v>685</v>
      </c>
      <c r="HO1" t="s">
        <v>686</v>
      </c>
      <c r="HP1" t="s">
        <v>687</v>
      </c>
      <c r="HQ1" t="s">
        <v>688</v>
      </c>
      <c r="HR1" t="s">
        <v>689</v>
      </c>
      <c r="HU1" s="10" t="s">
        <v>690</v>
      </c>
    </row>
    <row r="2" spans="1:229">
      <c r="A2" s="1">
        <f>ROW()-1</f>
        <v>1</v>
      </c>
      <c r="B2" s="2">
        <v>2024</v>
      </c>
      <c r="C2" s="2" t="s">
        <v>35</v>
      </c>
      <c r="D2" s="2" t="s">
        <v>27</v>
      </c>
      <c r="E2" s="9">
        <v>50998</v>
      </c>
      <c r="F2" s="2" t="s">
        <v>691</v>
      </c>
      <c r="G2" s="2" t="s">
        <v>36</v>
      </c>
      <c r="H2" s="2" t="s">
        <v>692</v>
      </c>
      <c r="I2" s="2" t="s">
        <v>693</v>
      </c>
      <c r="J2" t="s">
        <v>30</v>
      </c>
      <c r="K2" t="s">
        <v>31</v>
      </c>
      <c r="L2" t="s">
        <v>32</v>
      </c>
      <c r="M2">
        <v>3</v>
      </c>
      <c r="N2">
        <v>3508</v>
      </c>
      <c r="O2" s="3">
        <v>3521</v>
      </c>
      <c r="P2" s="4">
        <v>5</v>
      </c>
      <c r="Q2" s="4">
        <v>0</v>
      </c>
      <c r="R2" s="4">
        <v>17</v>
      </c>
      <c r="S2" s="4">
        <v>8</v>
      </c>
      <c r="T2" s="4">
        <v>25</v>
      </c>
      <c r="U2" s="4">
        <v>30</v>
      </c>
      <c r="V2" s="4">
        <v>0</v>
      </c>
      <c r="W2" s="4">
        <v>0.833333333333333</v>
      </c>
      <c r="X2" s="4">
        <v>1</v>
      </c>
      <c r="Y2" s="3">
        <v>8344914</v>
      </c>
      <c r="Z2">
        <v>23830.4133238662</v>
      </c>
      <c r="AA2">
        <v>8321083.58667613</v>
      </c>
      <c r="AB2">
        <v>765429.185833333</v>
      </c>
      <c r="AC2">
        <v>325000</v>
      </c>
      <c r="AD2">
        <v>325000</v>
      </c>
      <c r="AE2">
        <v>0</v>
      </c>
      <c r="AF2">
        <v>28620.8816666667</v>
      </c>
      <c r="AG2">
        <v>28620.8816666667</v>
      </c>
      <c r="AH2">
        <v>0</v>
      </c>
      <c r="AI2">
        <v>1808.30416666666</v>
      </c>
      <c r="AJ2">
        <v>1382.05083333333</v>
      </c>
      <c r="AK2">
        <v>426.253333333333</v>
      </c>
      <c r="AL2">
        <v>0</v>
      </c>
      <c r="AM2">
        <v>0</v>
      </c>
      <c r="AN2">
        <v>0</v>
      </c>
      <c r="AO2">
        <v>0</v>
      </c>
      <c r="AP2">
        <v>0</v>
      </c>
      <c r="AQ2">
        <v>0</v>
      </c>
      <c r="AR2">
        <v>0</v>
      </c>
      <c r="AS2">
        <v>0</v>
      </c>
      <c r="AT2">
        <v>0</v>
      </c>
      <c r="AU2">
        <v>0</v>
      </c>
      <c r="AV2">
        <v>0</v>
      </c>
      <c r="AW2">
        <v>0</v>
      </c>
      <c r="AX2">
        <v>0</v>
      </c>
      <c r="AY2">
        <v>410000</v>
      </c>
      <c r="AZ2">
        <v>7555654.4008428</v>
      </c>
      <c r="BA2">
        <v>2502086.3768428</v>
      </c>
      <c r="BB2">
        <v>128997.8676</v>
      </c>
      <c r="BC2">
        <v>128997.8676</v>
      </c>
      <c r="BD2">
        <v>0</v>
      </c>
      <c r="BE2">
        <v>0</v>
      </c>
      <c r="BF2">
        <v>937414</v>
      </c>
      <c r="BG2">
        <v>937414</v>
      </c>
      <c r="BH2">
        <v>0</v>
      </c>
      <c r="BI2">
        <v>0</v>
      </c>
      <c r="BJ2">
        <v>609258</v>
      </c>
      <c r="BK2">
        <v>17227.07</v>
      </c>
      <c r="BL2">
        <v>17227.07</v>
      </c>
      <c r="BM2">
        <v>0</v>
      </c>
      <c r="BN2">
        <v>421336.2592428</v>
      </c>
      <c r="BO2">
        <v>126130.15</v>
      </c>
      <c r="BP2">
        <v>40000</v>
      </c>
      <c r="BQ2">
        <v>0</v>
      </c>
      <c r="BR2">
        <v>0</v>
      </c>
      <c r="BS2">
        <v>86130.15</v>
      </c>
      <c r="BT2">
        <v>261723.03</v>
      </c>
      <c r="BU2">
        <v>221823</v>
      </c>
      <c r="BV2">
        <v>39900.03</v>
      </c>
      <c r="BW2">
        <v>0</v>
      </c>
      <c r="BX2">
        <v>0</v>
      </c>
      <c r="BY2">
        <v>434253.2</v>
      </c>
      <c r="BZ2">
        <v>175146.5</v>
      </c>
      <c r="CA2">
        <v>70253.63</v>
      </c>
      <c r="CB2">
        <v>2956.29</v>
      </c>
      <c r="CC2">
        <v>101936.58</v>
      </c>
      <c r="CD2">
        <v>259106.7</v>
      </c>
      <c r="CE2">
        <v>0</v>
      </c>
      <c r="CF2">
        <v>0</v>
      </c>
      <c r="CG2">
        <v>259106.7</v>
      </c>
      <c r="CH2">
        <v>4619314.824</v>
      </c>
      <c r="CI2">
        <v>291386</v>
      </c>
      <c r="CJ2">
        <v>0</v>
      </c>
      <c r="CK2">
        <v>0</v>
      </c>
      <c r="CL2">
        <v>63577</v>
      </c>
      <c r="CM2">
        <v>64692</v>
      </c>
      <c r="CN2">
        <v>36424</v>
      </c>
      <c r="CO2">
        <v>126693</v>
      </c>
      <c r="CP2">
        <v>405000</v>
      </c>
      <c r="CQ2">
        <v>18866.87</v>
      </c>
      <c r="CR2">
        <v>4264.65</v>
      </c>
      <c r="CS2">
        <v>12952.22</v>
      </c>
      <c r="CT2">
        <v>0</v>
      </c>
      <c r="CU2">
        <v>850</v>
      </c>
      <c r="CV2">
        <v>0</v>
      </c>
      <c r="CW2">
        <v>0</v>
      </c>
      <c r="CX2">
        <v>800</v>
      </c>
      <c r="CY2">
        <v>12086.26</v>
      </c>
      <c r="CZ2">
        <v>6648.33333333333</v>
      </c>
      <c r="DA2">
        <v>0</v>
      </c>
      <c r="DB2">
        <v>583.33</v>
      </c>
      <c r="DC2">
        <v>346.666666666667</v>
      </c>
      <c r="DD2">
        <v>0</v>
      </c>
      <c r="DE2">
        <v>0</v>
      </c>
      <c r="DF2">
        <v>4507.93</v>
      </c>
      <c r="DG2">
        <v>0</v>
      </c>
      <c r="DH2" s="3">
        <v>428960</v>
      </c>
      <c r="DI2">
        <v>88515</v>
      </c>
      <c r="DJ2">
        <v>0</v>
      </c>
      <c r="DK2">
        <v>88515</v>
      </c>
      <c r="DL2">
        <v>0</v>
      </c>
      <c r="DM2">
        <v>0</v>
      </c>
      <c r="DN2">
        <v>0</v>
      </c>
      <c r="DO2">
        <v>0</v>
      </c>
      <c r="DP2">
        <v>0</v>
      </c>
      <c r="DQ2">
        <v>0</v>
      </c>
      <c r="DR2">
        <v>0</v>
      </c>
      <c r="DS2">
        <v>0</v>
      </c>
      <c r="DT2">
        <v>0</v>
      </c>
      <c r="DU2">
        <v>0</v>
      </c>
      <c r="DV2">
        <v>0</v>
      </c>
      <c r="DW2">
        <v>0</v>
      </c>
      <c r="DX2">
        <v>0</v>
      </c>
      <c r="DY2">
        <v>0</v>
      </c>
      <c r="DZ2">
        <v>0</v>
      </c>
      <c r="EA2">
        <v>0</v>
      </c>
      <c r="EB2">
        <v>0</v>
      </c>
      <c r="EC2">
        <v>0</v>
      </c>
      <c r="ED2">
        <v>0</v>
      </c>
      <c r="EE2">
        <v>0</v>
      </c>
      <c r="EF2">
        <v>48654</v>
      </c>
      <c r="EG2">
        <v>0</v>
      </c>
      <c r="EH2">
        <v>9863</v>
      </c>
      <c r="EI2">
        <v>845471.41</v>
      </c>
      <c r="EJ2">
        <v>0</v>
      </c>
      <c r="EK2">
        <v>0</v>
      </c>
      <c r="EL2">
        <v>0</v>
      </c>
      <c r="EM2">
        <v>0</v>
      </c>
      <c r="EN2">
        <v>0</v>
      </c>
      <c r="EO2">
        <v>18012</v>
      </c>
      <c r="EP2">
        <v>0</v>
      </c>
      <c r="EQ2">
        <v>18012</v>
      </c>
      <c r="ER2">
        <v>32400</v>
      </c>
      <c r="ES2">
        <v>0</v>
      </c>
      <c r="ET2">
        <v>0</v>
      </c>
      <c r="EU2">
        <v>0</v>
      </c>
      <c r="EV2" s="4">
        <v>100</v>
      </c>
      <c r="EW2">
        <v>0</v>
      </c>
      <c r="EX2">
        <v>0</v>
      </c>
      <c r="EY2" s="4">
        <v>100</v>
      </c>
      <c r="EZ2">
        <v>0</v>
      </c>
      <c r="FA2">
        <v>0</v>
      </c>
      <c r="FB2">
        <v>0</v>
      </c>
      <c r="FC2">
        <v>0</v>
      </c>
      <c r="FD2">
        <v>0</v>
      </c>
      <c r="FE2">
        <v>0</v>
      </c>
      <c r="FF2">
        <v>0</v>
      </c>
      <c r="FG2">
        <v>0</v>
      </c>
      <c r="FH2">
        <v>0</v>
      </c>
      <c r="FI2" s="4">
        <v>2027903.27</v>
      </c>
      <c r="FJ2">
        <v>123667.65</v>
      </c>
      <c r="FK2">
        <v>123667.65</v>
      </c>
      <c r="FL2">
        <v>0</v>
      </c>
      <c r="FM2" s="4">
        <v>9737.03</v>
      </c>
      <c r="FN2">
        <v>0</v>
      </c>
      <c r="FO2">
        <v>0</v>
      </c>
      <c r="FP2">
        <v>0</v>
      </c>
      <c r="FQ2">
        <v>0</v>
      </c>
      <c r="FR2">
        <v>9737.03</v>
      </c>
      <c r="FS2">
        <v>0</v>
      </c>
      <c r="FT2">
        <v>66759.312</v>
      </c>
      <c r="FU2">
        <v>166898.28</v>
      </c>
      <c r="FV2">
        <v>25034.742</v>
      </c>
      <c r="FY2">
        <v>8344914</v>
      </c>
      <c r="FZ2">
        <v>8321083.58667613</v>
      </c>
      <c r="GA2">
        <v>765429.185833333</v>
      </c>
      <c r="GB2">
        <v>7555654.4008428</v>
      </c>
      <c r="GC2">
        <v>789259.599157199</v>
      </c>
      <c r="GD2">
        <v>0.0945797163586346</v>
      </c>
      <c r="GE2">
        <v>23830.4133238662</v>
      </c>
      <c r="GF2">
        <v>0.00285568111593076</v>
      </c>
      <c r="GJ2">
        <v>45362</v>
      </c>
      <c r="GL2">
        <v>45367</v>
      </c>
      <c r="GO2">
        <v>45370</v>
      </c>
      <c r="GR2">
        <v>45379</v>
      </c>
      <c r="GU2" t="s">
        <v>694</v>
      </c>
      <c r="HA2">
        <v>45384</v>
      </c>
      <c r="HB2">
        <v>45392</v>
      </c>
      <c r="HE2">
        <v>40</v>
      </c>
      <c r="HF2">
        <v>5</v>
      </c>
      <c r="HG2">
        <v>8</v>
      </c>
      <c r="HH2">
        <v>27</v>
      </c>
      <c r="HK2">
        <v>130</v>
      </c>
      <c r="HL2">
        <v>23</v>
      </c>
      <c r="HM2">
        <v>74</v>
      </c>
      <c r="HN2">
        <v>0</v>
      </c>
      <c r="HO2">
        <v>0</v>
      </c>
      <c r="HP2">
        <v>0</v>
      </c>
      <c r="HQ2">
        <v>217</v>
      </c>
      <c r="HR2">
        <v>154</v>
      </c>
      <c r="HU2" s="10"/>
    </row>
    <row r="3" spans="1:229">
      <c r="A3" s="1">
        <f>ROW()-1</f>
        <v>2</v>
      </c>
      <c r="B3" s="2">
        <v>2024</v>
      </c>
      <c r="C3" s="2" t="s">
        <v>695</v>
      </c>
      <c r="D3" s="2" t="s">
        <v>27</v>
      </c>
      <c r="E3" s="9">
        <v>50528</v>
      </c>
      <c r="F3" s="2" t="s">
        <v>696</v>
      </c>
      <c r="G3" s="2" t="s">
        <v>697</v>
      </c>
      <c r="H3" s="2" t="s">
        <v>692</v>
      </c>
      <c r="I3" s="2" t="s">
        <v>698</v>
      </c>
      <c r="J3" t="s">
        <v>308</v>
      </c>
      <c r="K3" t="s">
        <v>31</v>
      </c>
      <c r="L3" t="s">
        <v>32</v>
      </c>
      <c r="M3">
        <v>2</v>
      </c>
      <c r="N3">
        <v>3326</v>
      </c>
      <c r="O3" s="3">
        <v>3335</v>
      </c>
      <c r="P3" s="4">
        <v>11</v>
      </c>
      <c r="Q3" s="4">
        <v>0</v>
      </c>
      <c r="R3" s="4">
        <v>13</v>
      </c>
      <c r="S3" s="4">
        <v>10</v>
      </c>
      <c r="T3" s="4">
        <v>23</v>
      </c>
      <c r="U3" s="4">
        <v>34</v>
      </c>
      <c r="V3" s="4">
        <v>0</v>
      </c>
      <c r="W3" s="4">
        <v>0.766666666666667</v>
      </c>
      <c r="X3" s="4">
        <v>1.13333333333333</v>
      </c>
      <c r="Y3" s="3">
        <v>5102526</v>
      </c>
      <c r="Z3">
        <v>-492703.703399998</v>
      </c>
      <c r="AA3">
        <v>5595229.7034</v>
      </c>
      <c r="AB3">
        <v>913466.995333332</v>
      </c>
      <c r="AC3">
        <v>396666.666666667</v>
      </c>
      <c r="AD3">
        <v>396666.666666667</v>
      </c>
      <c r="AE3">
        <v>0</v>
      </c>
      <c r="AF3">
        <v>38013.0927222223</v>
      </c>
      <c r="AG3">
        <v>38013.0927222223</v>
      </c>
      <c r="AH3">
        <v>0</v>
      </c>
      <c r="AI3">
        <v>14120.5692777778</v>
      </c>
      <c r="AJ3">
        <v>6250.135</v>
      </c>
      <c r="AK3">
        <v>5729.58272222223</v>
      </c>
      <c r="AL3">
        <v>2140.85155555556</v>
      </c>
      <c r="AM3">
        <v>0</v>
      </c>
      <c r="AN3">
        <v>0</v>
      </c>
      <c r="AO3">
        <v>0</v>
      </c>
      <c r="AP3">
        <v>0</v>
      </c>
      <c r="AQ3">
        <v>0</v>
      </c>
      <c r="AR3">
        <v>0</v>
      </c>
      <c r="AS3">
        <v>0</v>
      </c>
      <c r="AT3">
        <v>0</v>
      </c>
      <c r="AU3">
        <v>0</v>
      </c>
      <c r="AV3">
        <v>0</v>
      </c>
      <c r="AW3">
        <v>0</v>
      </c>
      <c r="AX3">
        <v>0</v>
      </c>
      <c r="AY3">
        <v>464666.666666665</v>
      </c>
      <c r="AZ3">
        <v>4681762.70806667</v>
      </c>
      <c r="BA3">
        <v>1524206.2054</v>
      </c>
      <c r="BB3">
        <v>101825.8344</v>
      </c>
      <c r="BC3">
        <v>101825.8344</v>
      </c>
      <c r="BD3">
        <v>0</v>
      </c>
      <c r="BE3">
        <v>0</v>
      </c>
      <c r="BF3">
        <v>377885</v>
      </c>
      <c r="BG3">
        <v>377885</v>
      </c>
      <c r="BH3">
        <v>0</v>
      </c>
      <c r="BI3">
        <v>0</v>
      </c>
      <c r="BJ3">
        <v>573755</v>
      </c>
      <c r="BK3">
        <v>15066.74</v>
      </c>
      <c r="BL3">
        <v>15066.74</v>
      </c>
      <c r="BM3">
        <v>0</v>
      </c>
      <c r="BN3">
        <v>95680.181</v>
      </c>
      <c r="BO3">
        <v>110302.01</v>
      </c>
      <c r="BP3">
        <v>36800</v>
      </c>
      <c r="BQ3">
        <v>0</v>
      </c>
      <c r="BR3">
        <v>0</v>
      </c>
      <c r="BS3">
        <v>73502.01</v>
      </c>
      <c r="BT3">
        <v>249691.44</v>
      </c>
      <c r="BU3">
        <v>210105</v>
      </c>
      <c r="BV3">
        <v>39586.44</v>
      </c>
      <c r="BW3">
        <v>0</v>
      </c>
      <c r="BX3">
        <v>0</v>
      </c>
      <c r="BY3">
        <v>31423.31</v>
      </c>
      <c r="BZ3">
        <v>31423.31</v>
      </c>
      <c r="CA3">
        <v>4701.73</v>
      </c>
      <c r="CB3">
        <v>7349.77</v>
      </c>
      <c r="CC3">
        <v>19371.81</v>
      </c>
      <c r="CD3">
        <v>0</v>
      </c>
      <c r="CE3">
        <v>0</v>
      </c>
      <c r="CF3">
        <v>0</v>
      </c>
      <c r="CG3">
        <v>0</v>
      </c>
      <c r="CH3">
        <v>3126133.19266667</v>
      </c>
      <c r="CI3">
        <v>313011</v>
      </c>
      <c r="CJ3">
        <v>0</v>
      </c>
      <c r="CK3">
        <v>0</v>
      </c>
      <c r="CL3">
        <v>121338</v>
      </c>
      <c r="CM3">
        <v>66985</v>
      </c>
      <c r="CN3">
        <v>28741</v>
      </c>
      <c r="CO3">
        <v>95947</v>
      </c>
      <c r="CP3">
        <v>390999.999999999</v>
      </c>
      <c r="CQ3">
        <v>16892.01</v>
      </c>
      <c r="CR3">
        <v>4619.1</v>
      </c>
      <c r="CS3">
        <v>10884.91</v>
      </c>
      <c r="CT3">
        <v>0</v>
      </c>
      <c r="CU3">
        <v>588</v>
      </c>
      <c r="CV3">
        <v>0</v>
      </c>
      <c r="CW3">
        <v>0</v>
      </c>
      <c r="CX3">
        <v>800</v>
      </c>
      <c r="CY3">
        <v>85925.18</v>
      </c>
      <c r="CZ3">
        <v>1686.25</v>
      </c>
      <c r="DA3">
        <v>0</v>
      </c>
      <c r="DB3">
        <v>400</v>
      </c>
      <c r="DC3">
        <v>36.6666666666667</v>
      </c>
      <c r="DD3">
        <v>0</v>
      </c>
      <c r="DE3">
        <v>81600</v>
      </c>
      <c r="DF3">
        <v>2202.26333333333</v>
      </c>
      <c r="DG3">
        <v>0</v>
      </c>
      <c r="DH3" s="3">
        <v>242147</v>
      </c>
      <c r="DI3">
        <v>108578.4</v>
      </c>
      <c r="DJ3">
        <v>0</v>
      </c>
      <c r="DK3">
        <v>108578.4</v>
      </c>
      <c r="DL3">
        <v>0</v>
      </c>
      <c r="DM3">
        <v>0</v>
      </c>
      <c r="DN3">
        <v>0</v>
      </c>
      <c r="DO3">
        <v>0</v>
      </c>
      <c r="DP3">
        <v>0</v>
      </c>
      <c r="DQ3">
        <v>0</v>
      </c>
      <c r="DR3">
        <v>0</v>
      </c>
      <c r="DS3">
        <v>0</v>
      </c>
      <c r="DT3">
        <v>0</v>
      </c>
      <c r="DU3">
        <v>0</v>
      </c>
      <c r="DV3">
        <v>0</v>
      </c>
      <c r="DW3">
        <v>0</v>
      </c>
      <c r="DX3">
        <v>0</v>
      </c>
      <c r="DY3">
        <v>0</v>
      </c>
      <c r="DZ3">
        <v>0</v>
      </c>
      <c r="EA3">
        <v>0</v>
      </c>
      <c r="EB3">
        <v>0</v>
      </c>
      <c r="EC3">
        <v>0</v>
      </c>
      <c r="ED3">
        <v>0</v>
      </c>
      <c r="EE3">
        <v>0</v>
      </c>
      <c r="EF3">
        <v>30950</v>
      </c>
      <c r="EG3">
        <v>0</v>
      </c>
      <c r="EH3">
        <v>14415</v>
      </c>
      <c r="EI3">
        <v>672590.89</v>
      </c>
      <c r="EJ3">
        <v>0</v>
      </c>
      <c r="EK3">
        <v>0</v>
      </c>
      <c r="EL3">
        <v>0</v>
      </c>
      <c r="EM3">
        <v>0</v>
      </c>
      <c r="EN3">
        <v>0</v>
      </c>
      <c r="EO3">
        <v>14220</v>
      </c>
      <c r="EP3">
        <v>0</v>
      </c>
      <c r="EQ3">
        <v>14220</v>
      </c>
      <c r="ER3">
        <v>33966</v>
      </c>
      <c r="ES3">
        <v>0</v>
      </c>
      <c r="ET3">
        <v>0</v>
      </c>
      <c r="EU3">
        <v>1140</v>
      </c>
      <c r="EV3" s="4">
        <v>113.333333333333</v>
      </c>
      <c r="EW3">
        <v>0</v>
      </c>
      <c r="EX3">
        <v>0</v>
      </c>
      <c r="EY3" s="4">
        <v>113.333333333333</v>
      </c>
      <c r="EZ3">
        <v>0</v>
      </c>
      <c r="FA3">
        <v>0</v>
      </c>
      <c r="FB3">
        <v>0</v>
      </c>
      <c r="FC3">
        <v>0</v>
      </c>
      <c r="FD3">
        <v>0</v>
      </c>
      <c r="FE3">
        <v>0</v>
      </c>
      <c r="FF3">
        <v>0</v>
      </c>
      <c r="FG3">
        <v>0</v>
      </c>
      <c r="FH3">
        <v>0</v>
      </c>
      <c r="FI3" s="4">
        <v>991555.26</v>
      </c>
      <c r="FJ3">
        <v>44270.45</v>
      </c>
      <c r="FK3">
        <v>44270.45</v>
      </c>
      <c r="FL3">
        <v>0</v>
      </c>
      <c r="FM3" s="4">
        <v>7180.36333333333</v>
      </c>
      <c r="FN3">
        <v>0</v>
      </c>
      <c r="FO3">
        <v>0</v>
      </c>
      <c r="FP3">
        <v>0</v>
      </c>
      <c r="FQ3">
        <v>0</v>
      </c>
      <c r="FR3">
        <v>7180.36333333333</v>
      </c>
      <c r="FS3">
        <v>0</v>
      </c>
      <c r="FT3">
        <v>40820.208</v>
      </c>
      <c r="FU3">
        <v>102050.52</v>
      </c>
      <c r="FV3">
        <v>15307.578</v>
      </c>
      <c r="FY3">
        <v>5102526</v>
      </c>
      <c r="FZ3">
        <v>5595229.7034</v>
      </c>
      <c r="GA3">
        <v>913466.995333332</v>
      </c>
      <c r="GB3">
        <v>4681762.70806667</v>
      </c>
      <c r="GC3">
        <v>420763.291933334</v>
      </c>
      <c r="GD3">
        <v>0.0824617634350777</v>
      </c>
      <c r="GE3">
        <v>-492703.703399998</v>
      </c>
      <c r="GF3">
        <v>-0.0965607433259523</v>
      </c>
      <c r="GJ3">
        <v>45576</v>
      </c>
      <c r="GL3">
        <v>45587</v>
      </c>
      <c r="GO3">
        <v>45591</v>
      </c>
      <c r="GR3" t="s">
        <v>694</v>
      </c>
      <c r="GU3" t="s">
        <v>694</v>
      </c>
      <c r="HA3">
        <v>45600</v>
      </c>
      <c r="HB3">
        <v>45610</v>
      </c>
      <c r="HE3">
        <v>37</v>
      </c>
      <c r="HF3">
        <v>3</v>
      </c>
      <c r="HG3">
        <v>11</v>
      </c>
      <c r="HH3">
        <v>23</v>
      </c>
      <c r="HK3">
        <v>158</v>
      </c>
      <c r="HL3">
        <v>45</v>
      </c>
      <c r="HM3">
        <v>19</v>
      </c>
      <c r="HN3">
        <v>9</v>
      </c>
      <c r="HO3">
        <v>0</v>
      </c>
      <c r="HP3">
        <v>13</v>
      </c>
      <c r="HQ3">
        <v>165</v>
      </c>
      <c r="HR3">
        <v>152</v>
      </c>
      <c r="HU3" s="10"/>
    </row>
    <row r="4" spans="1:229">
      <c r="A4" s="1">
        <f>ROW()-1</f>
        <v>3</v>
      </c>
      <c r="B4" s="2">
        <v>2024</v>
      </c>
      <c r="C4" s="2" t="s">
        <v>695</v>
      </c>
      <c r="D4" s="2" t="s">
        <v>27</v>
      </c>
      <c r="E4" s="9">
        <v>70520</v>
      </c>
      <c r="F4" s="2" t="s">
        <v>699</v>
      </c>
      <c r="G4" s="2" t="s">
        <v>28</v>
      </c>
      <c r="H4" s="2" t="s">
        <v>692</v>
      </c>
      <c r="I4" s="2" t="s">
        <v>700</v>
      </c>
      <c r="J4" t="s">
        <v>30</v>
      </c>
      <c r="K4" t="s">
        <v>31</v>
      </c>
      <c r="L4" t="s">
        <v>32</v>
      </c>
      <c r="M4">
        <v>3</v>
      </c>
      <c r="N4">
        <v>3711</v>
      </c>
      <c r="O4" s="3">
        <v>3785</v>
      </c>
      <c r="P4" s="4">
        <v>12</v>
      </c>
      <c r="Q4" s="4">
        <v>0</v>
      </c>
      <c r="R4" s="4">
        <v>20</v>
      </c>
      <c r="S4" s="4">
        <v>6</v>
      </c>
      <c r="T4" s="4">
        <v>26</v>
      </c>
      <c r="U4" s="4">
        <v>38</v>
      </c>
      <c r="V4" s="4">
        <v>0</v>
      </c>
      <c r="W4" s="4">
        <v>0.866666666666667</v>
      </c>
      <c r="X4" s="4">
        <v>1.26666666666667</v>
      </c>
      <c r="Y4" s="3">
        <v>8730383</v>
      </c>
      <c r="Z4">
        <v>-452257.366290482</v>
      </c>
      <c r="AA4">
        <v>9182640.36629048</v>
      </c>
      <c r="AB4">
        <v>1207980.31216667</v>
      </c>
      <c r="AC4">
        <v>633333.333333333</v>
      </c>
      <c r="AD4">
        <v>633333.333333333</v>
      </c>
      <c r="AE4">
        <v>0</v>
      </c>
      <c r="AF4">
        <v>37862.687</v>
      </c>
      <c r="AG4">
        <v>37862.687</v>
      </c>
      <c r="AH4">
        <v>0</v>
      </c>
      <c r="AI4">
        <v>17450.9585</v>
      </c>
      <c r="AJ4">
        <v>12894.0027222222</v>
      </c>
      <c r="AK4">
        <v>4363.90416666667</v>
      </c>
      <c r="AL4">
        <v>193.051611111112</v>
      </c>
      <c r="AM4">
        <v>0</v>
      </c>
      <c r="AN4">
        <v>0</v>
      </c>
      <c r="AO4">
        <v>0</v>
      </c>
      <c r="AP4">
        <v>0</v>
      </c>
      <c r="AQ4">
        <v>0</v>
      </c>
      <c r="AR4">
        <v>0</v>
      </c>
      <c r="AS4">
        <v>0</v>
      </c>
      <c r="AT4">
        <v>0</v>
      </c>
      <c r="AU4">
        <v>0</v>
      </c>
      <c r="AV4">
        <v>0</v>
      </c>
      <c r="AW4">
        <v>0</v>
      </c>
      <c r="AX4">
        <v>0</v>
      </c>
      <c r="AY4">
        <v>519333.333333335</v>
      </c>
      <c r="AZ4">
        <v>7974660.05412381</v>
      </c>
      <c r="BA4">
        <v>2046379.7316</v>
      </c>
      <c r="BB4">
        <v>128997.8676</v>
      </c>
      <c r="BC4">
        <v>128997.8676</v>
      </c>
      <c r="BD4">
        <v>0</v>
      </c>
      <c r="BE4">
        <v>0</v>
      </c>
      <c r="BF4">
        <v>427001</v>
      </c>
      <c r="BG4">
        <v>427001</v>
      </c>
      <c r="BH4">
        <v>0</v>
      </c>
      <c r="BI4">
        <v>23930.424</v>
      </c>
      <c r="BJ4">
        <v>287196</v>
      </c>
      <c r="BK4">
        <v>455442.06</v>
      </c>
      <c r="BL4">
        <v>170842.06</v>
      </c>
      <c r="BM4">
        <v>284600</v>
      </c>
      <c r="BN4">
        <v>313825.45</v>
      </c>
      <c r="BO4">
        <v>124027.19</v>
      </c>
      <c r="BP4">
        <v>41600</v>
      </c>
      <c r="BQ4">
        <v>0</v>
      </c>
      <c r="BR4">
        <v>0</v>
      </c>
      <c r="BS4">
        <v>82427.19</v>
      </c>
      <c r="BT4">
        <v>285959.74</v>
      </c>
      <c r="BU4">
        <v>238455</v>
      </c>
      <c r="BV4">
        <v>47504.74</v>
      </c>
      <c r="BW4">
        <v>0</v>
      </c>
      <c r="BX4">
        <v>0</v>
      </c>
      <c r="BY4">
        <v>580334.64</v>
      </c>
      <c r="BZ4">
        <v>341418.38</v>
      </c>
      <c r="CA4">
        <v>53315.27</v>
      </c>
      <c r="CB4">
        <v>17013.16</v>
      </c>
      <c r="CC4">
        <v>271089.95</v>
      </c>
      <c r="CD4">
        <v>238916.26</v>
      </c>
      <c r="CE4">
        <v>159459.34</v>
      </c>
      <c r="CF4">
        <v>79456.92</v>
      </c>
      <c r="CG4">
        <v>0</v>
      </c>
      <c r="CH4">
        <v>5347945.68252381</v>
      </c>
      <c r="CI4">
        <v>738788</v>
      </c>
      <c r="CJ4">
        <v>0</v>
      </c>
      <c r="CK4">
        <v>0</v>
      </c>
      <c r="CL4">
        <v>554370</v>
      </c>
      <c r="CM4">
        <v>67044</v>
      </c>
      <c r="CN4">
        <v>12199</v>
      </c>
      <c r="CO4">
        <v>105175</v>
      </c>
      <c r="CP4">
        <v>456000.000000001</v>
      </c>
      <c r="CQ4">
        <v>17253.8771428571</v>
      </c>
      <c r="CR4">
        <v>5685.33</v>
      </c>
      <c r="CS4">
        <v>9367.69</v>
      </c>
      <c r="CT4">
        <v>0</v>
      </c>
      <c r="CU4">
        <v>458</v>
      </c>
      <c r="CV4">
        <v>0</v>
      </c>
      <c r="CW4">
        <v>0</v>
      </c>
      <c r="CX4">
        <v>1742.85714285714</v>
      </c>
      <c r="CY4">
        <v>12145.9271428571</v>
      </c>
      <c r="CZ4">
        <v>4873.78571428571</v>
      </c>
      <c r="DA4">
        <v>0</v>
      </c>
      <c r="DB4">
        <v>417.79</v>
      </c>
      <c r="DC4">
        <v>138.571428571429</v>
      </c>
      <c r="DD4">
        <v>0</v>
      </c>
      <c r="DE4">
        <v>0</v>
      </c>
      <c r="DF4">
        <v>6715.78</v>
      </c>
      <c r="DG4">
        <v>0</v>
      </c>
      <c r="DH4" s="3">
        <v>455930</v>
      </c>
      <c r="DI4">
        <v>85109.3</v>
      </c>
      <c r="DJ4">
        <v>0</v>
      </c>
      <c r="DK4">
        <v>85109.3</v>
      </c>
      <c r="DL4">
        <v>0</v>
      </c>
      <c r="DM4">
        <v>0</v>
      </c>
      <c r="DN4">
        <v>0</v>
      </c>
      <c r="DO4">
        <v>0</v>
      </c>
      <c r="DP4">
        <v>0</v>
      </c>
      <c r="DQ4">
        <v>0</v>
      </c>
      <c r="DR4">
        <v>0</v>
      </c>
      <c r="DS4">
        <v>0</v>
      </c>
      <c r="DT4">
        <v>0</v>
      </c>
      <c r="DU4">
        <v>0</v>
      </c>
      <c r="DV4">
        <v>0</v>
      </c>
      <c r="DW4">
        <v>0</v>
      </c>
      <c r="DX4">
        <v>0</v>
      </c>
      <c r="DY4">
        <v>0</v>
      </c>
      <c r="DZ4">
        <v>0</v>
      </c>
      <c r="EA4">
        <v>0</v>
      </c>
      <c r="EB4">
        <v>0</v>
      </c>
      <c r="EC4">
        <v>0</v>
      </c>
      <c r="ED4">
        <v>0</v>
      </c>
      <c r="EE4">
        <v>0</v>
      </c>
      <c r="EF4">
        <v>140307</v>
      </c>
      <c r="EG4">
        <v>0</v>
      </c>
      <c r="EH4">
        <v>12898</v>
      </c>
      <c r="EI4">
        <v>1101813.95</v>
      </c>
      <c r="EJ4">
        <v>0</v>
      </c>
      <c r="EK4">
        <v>0</v>
      </c>
      <c r="EL4">
        <v>0</v>
      </c>
      <c r="EM4">
        <v>0</v>
      </c>
      <c r="EN4">
        <v>0</v>
      </c>
      <c r="EO4">
        <v>13035</v>
      </c>
      <c r="EP4">
        <v>0</v>
      </c>
      <c r="EQ4">
        <v>13035</v>
      </c>
      <c r="ER4">
        <v>45144</v>
      </c>
      <c r="ES4">
        <v>0</v>
      </c>
      <c r="ET4">
        <v>0</v>
      </c>
      <c r="EU4">
        <v>1140</v>
      </c>
      <c r="EV4" s="4">
        <v>126.666666666667</v>
      </c>
      <c r="EW4">
        <v>0</v>
      </c>
      <c r="EX4">
        <v>0</v>
      </c>
      <c r="EY4" s="4">
        <v>126.666666666667</v>
      </c>
      <c r="EZ4">
        <v>0</v>
      </c>
      <c r="FA4">
        <v>0</v>
      </c>
      <c r="FB4">
        <v>0</v>
      </c>
      <c r="FC4">
        <v>0</v>
      </c>
      <c r="FD4">
        <v>0</v>
      </c>
      <c r="FE4">
        <v>0</v>
      </c>
      <c r="FF4">
        <v>0</v>
      </c>
      <c r="FG4">
        <v>0</v>
      </c>
      <c r="FH4">
        <v>0</v>
      </c>
      <c r="FI4" s="4">
        <v>1859140.01</v>
      </c>
      <c r="FJ4">
        <v>123667.65</v>
      </c>
      <c r="FK4">
        <v>123667.65</v>
      </c>
      <c r="FL4">
        <v>0</v>
      </c>
      <c r="FM4" s="4">
        <v>14804.4285714286</v>
      </c>
      <c r="FN4">
        <v>0</v>
      </c>
      <c r="FO4">
        <v>0</v>
      </c>
      <c r="FP4">
        <v>0</v>
      </c>
      <c r="FQ4">
        <v>0</v>
      </c>
      <c r="FR4">
        <v>14804.4285714286</v>
      </c>
      <c r="FS4">
        <v>0</v>
      </c>
      <c r="FT4">
        <v>69843.064</v>
      </c>
      <c r="FU4">
        <v>174607.66</v>
      </c>
      <c r="FV4">
        <v>26191.149</v>
      </c>
      <c r="FY4">
        <v>8730383</v>
      </c>
      <c r="FZ4">
        <v>9182640.36629048</v>
      </c>
      <c r="GA4">
        <v>1207980.31216667</v>
      </c>
      <c r="GB4">
        <v>7974660.05412381</v>
      </c>
      <c r="GC4">
        <v>755722.945876189</v>
      </c>
      <c r="GD4">
        <v>0.086562404636336</v>
      </c>
      <c r="GE4">
        <v>-452257.366290482</v>
      </c>
      <c r="GF4">
        <v>-0.0518026948291366</v>
      </c>
      <c r="GJ4">
        <v>45575</v>
      </c>
      <c r="GL4">
        <v>45587</v>
      </c>
      <c r="GO4">
        <v>45589</v>
      </c>
      <c r="GR4">
        <v>45596</v>
      </c>
      <c r="GU4" t="s">
        <v>694</v>
      </c>
      <c r="HA4">
        <v>45607</v>
      </c>
      <c r="HB4">
        <v>45613</v>
      </c>
      <c r="HE4">
        <v>44</v>
      </c>
      <c r="HF4">
        <v>7</v>
      </c>
      <c r="HG4">
        <v>13</v>
      </c>
      <c r="HH4">
        <v>24</v>
      </c>
      <c r="HK4">
        <v>159</v>
      </c>
      <c r="HL4">
        <v>64</v>
      </c>
      <c r="HM4">
        <v>21</v>
      </c>
      <c r="HN4">
        <v>36</v>
      </c>
      <c r="HO4">
        <v>2</v>
      </c>
      <c r="HP4">
        <v>35</v>
      </c>
      <c r="HQ4">
        <v>236</v>
      </c>
      <c r="HR4">
        <v>70</v>
      </c>
      <c r="HU4" s="10"/>
    </row>
    <row r="5" spans="1:229">
      <c r="A5" s="1">
        <f>ROW()-1</f>
        <v>4</v>
      </c>
      <c r="B5" s="2">
        <v>2024</v>
      </c>
      <c r="C5" s="2" t="s">
        <v>47</v>
      </c>
      <c r="D5" s="2" t="s">
        <v>27</v>
      </c>
      <c r="E5" s="9">
        <v>50998</v>
      </c>
      <c r="F5" s="2" t="s">
        <v>691</v>
      </c>
      <c r="G5" s="2" t="s">
        <v>36</v>
      </c>
      <c r="H5" s="2" t="s">
        <v>692</v>
      </c>
      <c r="I5" s="2" t="s">
        <v>701</v>
      </c>
      <c r="J5" t="s">
        <v>30</v>
      </c>
      <c r="K5" t="s">
        <v>31</v>
      </c>
      <c r="L5" t="s">
        <v>32</v>
      </c>
      <c r="M5">
        <v>3</v>
      </c>
      <c r="N5">
        <v>3476</v>
      </c>
      <c r="O5" s="3">
        <v>3535</v>
      </c>
      <c r="P5" s="4">
        <v>8</v>
      </c>
      <c r="Q5" s="4">
        <v>0</v>
      </c>
      <c r="R5" s="4">
        <v>22</v>
      </c>
      <c r="S5" s="4">
        <v>6</v>
      </c>
      <c r="T5" s="4">
        <v>28</v>
      </c>
      <c r="U5" s="4">
        <v>36</v>
      </c>
      <c r="V5" s="4">
        <v>0</v>
      </c>
      <c r="W5" s="4">
        <v>0.933333333333333</v>
      </c>
      <c r="X5" s="4">
        <v>1.2</v>
      </c>
      <c r="Y5" s="3">
        <v>9292033</v>
      </c>
      <c r="Z5">
        <v>106506.98</v>
      </c>
      <c r="AA5">
        <v>9185526.02</v>
      </c>
      <c r="AB5">
        <v>1068515.023</v>
      </c>
      <c r="AC5">
        <v>540000</v>
      </c>
      <c r="AD5">
        <v>540000</v>
      </c>
      <c r="AE5">
        <v>0</v>
      </c>
      <c r="AF5">
        <v>34345.058</v>
      </c>
      <c r="AG5">
        <v>34345.058</v>
      </c>
      <c r="AH5">
        <v>0</v>
      </c>
      <c r="AI5">
        <v>2169.965</v>
      </c>
      <c r="AJ5">
        <v>1658.461</v>
      </c>
      <c r="AK5">
        <v>511.504</v>
      </c>
      <c r="AL5">
        <v>0</v>
      </c>
      <c r="AM5">
        <v>0</v>
      </c>
      <c r="AN5">
        <v>0</v>
      </c>
      <c r="AO5">
        <v>0</v>
      </c>
      <c r="AP5">
        <v>0</v>
      </c>
      <c r="AQ5">
        <v>0</v>
      </c>
      <c r="AR5">
        <v>0</v>
      </c>
      <c r="AS5">
        <v>0</v>
      </c>
      <c r="AT5">
        <v>0</v>
      </c>
      <c r="AU5">
        <v>0</v>
      </c>
      <c r="AV5">
        <v>0</v>
      </c>
      <c r="AW5">
        <v>0</v>
      </c>
      <c r="AX5">
        <v>0</v>
      </c>
      <c r="AY5">
        <v>492000</v>
      </c>
      <c r="AZ5">
        <v>8117010.997</v>
      </c>
      <c r="BA5">
        <v>1647237.124</v>
      </c>
      <c r="BB5">
        <v>168745.6908</v>
      </c>
      <c r="BC5">
        <v>168745.6908</v>
      </c>
      <c r="BD5">
        <v>0</v>
      </c>
      <c r="BE5">
        <v>0</v>
      </c>
      <c r="BF5">
        <v>492272</v>
      </c>
      <c r="BG5">
        <v>492272</v>
      </c>
      <c r="BH5">
        <v>0</v>
      </c>
      <c r="BI5">
        <v>14414.436</v>
      </c>
      <c r="BJ5">
        <v>0</v>
      </c>
      <c r="BK5">
        <v>365662.62</v>
      </c>
      <c r="BL5">
        <v>208862.62</v>
      </c>
      <c r="BM5">
        <v>156800</v>
      </c>
      <c r="BN5">
        <v>207560.4772</v>
      </c>
      <c r="BO5">
        <v>131287.26</v>
      </c>
      <c r="BP5">
        <v>44800</v>
      </c>
      <c r="BQ5">
        <v>0</v>
      </c>
      <c r="BR5">
        <v>0</v>
      </c>
      <c r="BS5">
        <v>86487.26</v>
      </c>
      <c r="BT5">
        <v>267294.64</v>
      </c>
      <c r="BU5">
        <v>222705</v>
      </c>
      <c r="BV5">
        <v>44589.64</v>
      </c>
      <c r="BW5">
        <v>0</v>
      </c>
      <c r="BX5">
        <v>0</v>
      </c>
      <c r="BY5">
        <v>456770.87</v>
      </c>
      <c r="BZ5">
        <v>386455.01</v>
      </c>
      <c r="CA5">
        <v>261990.63</v>
      </c>
      <c r="CB5">
        <v>55956.75</v>
      </c>
      <c r="CC5">
        <v>68507.63</v>
      </c>
      <c r="CD5">
        <v>70315.86</v>
      </c>
      <c r="CE5">
        <v>0</v>
      </c>
      <c r="CF5">
        <v>70315.86</v>
      </c>
      <c r="CG5">
        <v>0</v>
      </c>
      <c r="CH5">
        <v>6013003.003</v>
      </c>
      <c r="CI5">
        <v>330740</v>
      </c>
      <c r="CJ5">
        <v>0</v>
      </c>
      <c r="CK5">
        <v>0</v>
      </c>
      <c r="CL5">
        <v>57845</v>
      </c>
      <c r="CM5">
        <v>114892</v>
      </c>
      <c r="CN5">
        <v>35864</v>
      </c>
      <c r="CO5">
        <v>122139</v>
      </c>
      <c r="CP5">
        <v>342000</v>
      </c>
      <c r="CQ5">
        <v>21747.03</v>
      </c>
      <c r="CR5">
        <v>6396.98</v>
      </c>
      <c r="CS5">
        <v>13700.05</v>
      </c>
      <c r="CT5">
        <v>0</v>
      </c>
      <c r="CU5">
        <v>850</v>
      </c>
      <c r="CV5">
        <v>0</v>
      </c>
      <c r="CW5">
        <v>0</v>
      </c>
      <c r="CX5">
        <v>800</v>
      </c>
      <c r="CY5">
        <v>112386.26</v>
      </c>
      <c r="CZ5">
        <v>6648.33333333333</v>
      </c>
      <c r="DA5">
        <v>0</v>
      </c>
      <c r="DB5">
        <v>583.33</v>
      </c>
      <c r="DC5">
        <v>346.666666666667</v>
      </c>
      <c r="DD5">
        <v>57900</v>
      </c>
      <c r="DE5">
        <v>42400</v>
      </c>
      <c r="DF5">
        <v>4507.93</v>
      </c>
      <c r="DG5">
        <v>0</v>
      </c>
      <c r="DH5" s="3">
        <v>442527</v>
      </c>
      <c r="DI5">
        <v>78432.7</v>
      </c>
      <c r="DJ5">
        <v>0</v>
      </c>
      <c r="DK5">
        <v>78432.7</v>
      </c>
      <c r="DL5">
        <v>0</v>
      </c>
      <c r="DM5">
        <v>0</v>
      </c>
      <c r="DN5">
        <v>0</v>
      </c>
      <c r="DO5">
        <v>0</v>
      </c>
      <c r="DP5">
        <v>0</v>
      </c>
      <c r="DQ5">
        <v>0</v>
      </c>
      <c r="DR5">
        <v>0</v>
      </c>
      <c r="DS5">
        <v>0</v>
      </c>
      <c r="DT5">
        <v>0</v>
      </c>
      <c r="DU5">
        <v>0</v>
      </c>
      <c r="DV5">
        <v>0</v>
      </c>
      <c r="DW5">
        <v>0</v>
      </c>
      <c r="DX5">
        <v>0</v>
      </c>
      <c r="DY5">
        <v>0</v>
      </c>
      <c r="DZ5">
        <v>0</v>
      </c>
      <c r="EA5">
        <v>0</v>
      </c>
      <c r="EB5">
        <v>0</v>
      </c>
      <c r="EC5">
        <v>0</v>
      </c>
      <c r="ED5">
        <v>0</v>
      </c>
      <c r="EE5">
        <v>0</v>
      </c>
      <c r="EF5">
        <v>140271</v>
      </c>
      <c r="EG5">
        <v>0</v>
      </c>
      <c r="EH5">
        <v>11381</v>
      </c>
      <c r="EI5">
        <v>1116968.83</v>
      </c>
      <c r="EJ5">
        <v>0</v>
      </c>
      <c r="EK5">
        <v>0</v>
      </c>
      <c r="EL5">
        <v>141886</v>
      </c>
      <c r="EM5">
        <v>0</v>
      </c>
      <c r="EN5">
        <v>0</v>
      </c>
      <c r="EO5">
        <v>15721</v>
      </c>
      <c r="EP5">
        <v>0</v>
      </c>
      <c r="EQ5">
        <v>15721</v>
      </c>
      <c r="ER5">
        <v>35964</v>
      </c>
      <c r="ES5">
        <v>0</v>
      </c>
      <c r="ET5">
        <v>0</v>
      </c>
      <c r="EU5">
        <v>0</v>
      </c>
      <c r="EV5" s="4">
        <v>120</v>
      </c>
      <c r="EW5">
        <v>0</v>
      </c>
      <c r="EX5">
        <v>0</v>
      </c>
      <c r="EY5" s="4">
        <v>120</v>
      </c>
      <c r="EZ5">
        <v>0</v>
      </c>
      <c r="FA5">
        <v>0</v>
      </c>
      <c r="FB5">
        <v>0</v>
      </c>
      <c r="FC5">
        <v>0</v>
      </c>
      <c r="FD5">
        <v>0</v>
      </c>
      <c r="FE5">
        <v>0</v>
      </c>
      <c r="FF5">
        <v>0</v>
      </c>
      <c r="FG5">
        <v>0</v>
      </c>
      <c r="FH5">
        <v>0</v>
      </c>
      <c r="FI5" s="4">
        <v>2648891.11</v>
      </c>
      <c r="FJ5">
        <v>276177.02</v>
      </c>
      <c r="FK5">
        <v>276177.02</v>
      </c>
      <c r="FL5">
        <v>0</v>
      </c>
      <c r="FM5" s="4">
        <v>9737.03</v>
      </c>
      <c r="FN5">
        <v>0</v>
      </c>
      <c r="FO5">
        <v>0</v>
      </c>
      <c r="FP5">
        <v>0</v>
      </c>
      <c r="FQ5">
        <v>0</v>
      </c>
      <c r="FR5">
        <v>9737.03</v>
      </c>
      <c r="FS5">
        <v>0</v>
      </c>
      <c r="FT5">
        <v>74336.264</v>
      </c>
      <c r="FU5">
        <v>185840.66</v>
      </c>
      <c r="FV5">
        <v>27876.099</v>
      </c>
      <c r="FY5">
        <v>9292033</v>
      </c>
      <c r="FZ5">
        <v>9185526.02</v>
      </c>
      <c r="GA5">
        <v>1068515.023</v>
      </c>
      <c r="GB5">
        <v>8117010.997</v>
      </c>
      <c r="GC5">
        <v>1175022.003</v>
      </c>
      <c r="GD5">
        <v>0.126454781531663</v>
      </c>
      <c r="GE5">
        <v>106506.98</v>
      </c>
      <c r="GF5">
        <v>0.0114621827107158</v>
      </c>
      <c r="GJ5">
        <v>45468</v>
      </c>
      <c r="GL5">
        <v>45476</v>
      </c>
      <c r="GO5">
        <v>45478</v>
      </c>
      <c r="GR5">
        <v>45489</v>
      </c>
      <c r="GU5" t="s">
        <v>694</v>
      </c>
      <c r="HA5">
        <v>45498</v>
      </c>
      <c r="HB5">
        <v>45504</v>
      </c>
      <c r="HE5">
        <v>37</v>
      </c>
      <c r="HF5">
        <v>6</v>
      </c>
      <c r="HG5">
        <v>12</v>
      </c>
      <c r="HH5">
        <v>19</v>
      </c>
      <c r="HK5">
        <v>152</v>
      </c>
      <c r="HL5">
        <v>79</v>
      </c>
      <c r="HM5">
        <v>69</v>
      </c>
      <c r="HN5">
        <v>18</v>
      </c>
      <c r="HO5">
        <v>0</v>
      </c>
      <c r="HP5">
        <v>37</v>
      </c>
      <c r="HQ5">
        <v>220</v>
      </c>
      <c r="HR5">
        <v>109</v>
      </c>
      <c r="HU5" s="10"/>
    </row>
    <row r="6" spans="1:229">
      <c r="A6" s="1">
        <f t="shared" ref="A6:A69" si="0">ROW()-1</f>
        <v>5</v>
      </c>
      <c r="B6" s="2">
        <v>2024</v>
      </c>
      <c r="C6" s="2" t="s">
        <v>26</v>
      </c>
      <c r="D6" s="2" t="s">
        <v>27</v>
      </c>
      <c r="E6" s="9">
        <v>50998</v>
      </c>
      <c r="F6" s="2" t="s">
        <v>691</v>
      </c>
      <c r="G6" s="2" t="s">
        <v>36</v>
      </c>
      <c r="H6" s="2" t="s">
        <v>692</v>
      </c>
      <c r="I6" s="2" t="s">
        <v>702</v>
      </c>
      <c r="J6" t="s">
        <v>309</v>
      </c>
      <c r="K6" t="s">
        <v>31</v>
      </c>
      <c r="L6" t="s">
        <v>32</v>
      </c>
      <c r="M6">
        <v>2</v>
      </c>
      <c r="N6">
        <v>3650</v>
      </c>
      <c r="O6" s="3">
        <v>3670</v>
      </c>
      <c r="P6" s="4">
        <v>18</v>
      </c>
      <c r="Q6" s="4">
        <v>0</v>
      </c>
      <c r="R6" s="4">
        <v>29</v>
      </c>
      <c r="S6" s="4">
        <v>12</v>
      </c>
      <c r="T6" s="4">
        <v>41</v>
      </c>
      <c r="U6" s="4">
        <v>59</v>
      </c>
      <c r="V6" s="4">
        <v>0</v>
      </c>
      <c r="W6" s="4">
        <v>1.36666666666667</v>
      </c>
      <c r="X6" s="4">
        <v>1.96666666666667</v>
      </c>
      <c r="Y6" s="3">
        <v>6006436</v>
      </c>
      <c r="Z6">
        <v>-2492323.10987223</v>
      </c>
      <c r="AA6">
        <v>8498759.10987223</v>
      </c>
      <c r="AB6">
        <v>1898677.39880556</v>
      </c>
      <c r="AC6">
        <v>1032500</v>
      </c>
      <c r="AD6">
        <v>1032500</v>
      </c>
      <c r="AE6">
        <v>0</v>
      </c>
      <c r="AF6">
        <v>56287.7339444445</v>
      </c>
      <c r="AG6">
        <v>56287.7339444445</v>
      </c>
      <c r="AH6">
        <v>0</v>
      </c>
      <c r="AI6">
        <v>3556.33152777777</v>
      </c>
      <c r="AJ6">
        <v>2718.03330555555</v>
      </c>
      <c r="AK6">
        <v>838.298222222222</v>
      </c>
      <c r="AL6">
        <v>0</v>
      </c>
      <c r="AM6">
        <v>0</v>
      </c>
      <c r="AN6">
        <v>0</v>
      </c>
      <c r="AO6">
        <v>0</v>
      </c>
      <c r="AP6">
        <v>0</v>
      </c>
      <c r="AQ6">
        <v>0</v>
      </c>
      <c r="AR6">
        <v>0</v>
      </c>
      <c r="AS6">
        <v>0</v>
      </c>
      <c r="AT6">
        <v>0</v>
      </c>
      <c r="AU6">
        <v>0</v>
      </c>
      <c r="AV6">
        <v>0</v>
      </c>
      <c r="AW6">
        <v>0</v>
      </c>
      <c r="AX6">
        <v>0</v>
      </c>
      <c r="AY6">
        <v>806333.333333335</v>
      </c>
      <c r="AZ6">
        <v>6600081.71106667</v>
      </c>
      <c r="BA6">
        <v>2208286.4784</v>
      </c>
      <c r="BB6">
        <v>40269.2472</v>
      </c>
      <c r="BC6">
        <v>14336.2872</v>
      </c>
      <c r="BD6">
        <v>25932.96</v>
      </c>
      <c r="BE6">
        <v>0</v>
      </c>
      <c r="BF6">
        <v>422004</v>
      </c>
      <c r="BG6">
        <v>422004</v>
      </c>
      <c r="BH6">
        <v>0</v>
      </c>
      <c r="BI6">
        <v>15405.876</v>
      </c>
      <c r="BJ6">
        <v>1102073</v>
      </c>
      <c r="BK6">
        <v>4820.8</v>
      </c>
      <c r="BL6">
        <v>4820.8</v>
      </c>
      <c r="BM6">
        <v>0</v>
      </c>
      <c r="BN6">
        <v>151923.1452</v>
      </c>
      <c r="BO6">
        <v>148675.18</v>
      </c>
      <c r="BP6">
        <v>65600</v>
      </c>
      <c r="BQ6">
        <v>0</v>
      </c>
      <c r="BR6">
        <v>0</v>
      </c>
      <c r="BS6">
        <v>83075.18</v>
      </c>
      <c r="BT6">
        <v>323115.23</v>
      </c>
      <c r="BU6">
        <v>231210</v>
      </c>
      <c r="BV6">
        <v>91905.23</v>
      </c>
      <c r="BW6">
        <v>0</v>
      </c>
      <c r="BX6">
        <v>0</v>
      </c>
      <c r="BY6">
        <v>200520.74</v>
      </c>
      <c r="BZ6">
        <v>10973.99</v>
      </c>
      <c r="CA6">
        <v>3274.34</v>
      </c>
      <c r="CB6">
        <v>0</v>
      </c>
      <c r="CC6">
        <v>7699.65</v>
      </c>
      <c r="CD6">
        <v>189546.75</v>
      </c>
      <c r="CE6">
        <v>0</v>
      </c>
      <c r="CF6">
        <v>0</v>
      </c>
      <c r="CG6">
        <v>189546.75</v>
      </c>
      <c r="CH6">
        <v>4191274.49266667</v>
      </c>
      <c r="CI6">
        <v>561072</v>
      </c>
      <c r="CJ6">
        <v>0</v>
      </c>
      <c r="CK6">
        <v>0</v>
      </c>
      <c r="CL6">
        <v>270848</v>
      </c>
      <c r="CM6">
        <v>84673</v>
      </c>
      <c r="CN6">
        <v>53027</v>
      </c>
      <c r="CO6">
        <v>152524</v>
      </c>
      <c r="CP6">
        <v>560500.000000001</v>
      </c>
      <c r="CQ6">
        <v>6557.85</v>
      </c>
      <c r="CR6">
        <v>2843.1</v>
      </c>
      <c r="CS6">
        <v>2064.75</v>
      </c>
      <c r="CT6">
        <v>0</v>
      </c>
      <c r="CU6">
        <v>850</v>
      </c>
      <c r="CV6">
        <v>0</v>
      </c>
      <c r="CW6">
        <v>0</v>
      </c>
      <c r="CX6">
        <v>800</v>
      </c>
      <c r="CY6">
        <v>12086.26</v>
      </c>
      <c r="CZ6">
        <v>6648.33333333333</v>
      </c>
      <c r="DA6">
        <v>0</v>
      </c>
      <c r="DB6">
        <v>583.33</v>
      </c>
      <c r="DC6">
        <v>346.666666666667</v>
      </c>
      <c r="DD6">
        <v>0</v>
      </c>
      <c r="DE6">
        <v>0</v>
      </c>
      <c r="DF6">
        <v>4507.93</v>
      </c>
      <c r="DG6">
        <v>0</v>
      </c>
      <c r="DH6" s="3">
        <v>528444</v>
      </c>
      <c r="DI6">
        <v>167462</v>
      </c>
      <c r="DJ6">
        <v>0</v>
      </c>
      <c r="DK6">
        <v>167462</v>
      </c>
      <c r="DL6">
        <v>0</v>
      </c>
      <c r="DM6">
        <v>0</v>
      </c>
      <c r="DN6">
        <v>0</v>
      </c>
      <c r="DO6">
        <v>0</v>
      </c>
      <c r="DP6">
        <v>0</v>
      </c>
      <c r="DQ6">
        <v>75480</v>
      </c>
      <c r="DR6">
        <v>0</v>
      </c>
      <c r="DS6">
        <v>0</v>
      </c>
      <c r="DT6">
        <v>0</v>
      </c>
      <c r="DU6">
        <v>0</v>
      </c>
      <c r="DV6">
        <v>0</v>
      </c>
      <c r="DW6">
        <v>0</v>
      </c>
      <c r="DX6">
        <v>0</v>
      </c>
      <c r="DY6">
        <v>75480</v>
      </c>
      <c r="DZ6">
        <v>0</v>
      </c>
      <c r="EA6">
        <v>0</v>
      </c>
      <c r="EB6">
        <v>0</v>
      </c>
      <c r="EC6">
        <v>0</v>
      </c>
      <c r="ED6">
        <v>0</v>
      </c>
      <c r="EE6">
        <v>0</v>
      </c>
      <c r="EF6">
        <v>38225</v>
      </c>
      <c r="EG6">
        <v>0</v>
      </c>
      <c r="EH6">
        <v>20813</v>
      </c>
      <c r="EI6">
        <v>774421.62</v>
      </c>
      <c r="EJ6">
        <v>0</v>
      </c>
      <c r="EK6">
        <v>0</v>
      </c>
      <c r="EL6">
        <v>0</v>
      </c>
      <c r="EM6">
        <v>0</v>
      </c>
      <c r="EN6">
        <v>0</v>
      </c>
      <c r="EO6">
        <v>22199</v>
      </c>
      <c r="EP6">
        <v>0</v>
      </c>
      <c r="EQ6">
        <v>22199</v>
      </c>
      <c r="ER6">
        <v>63720</v>
      </c>
      <c r="ES6">
        <v>0</v>
      </c>
      <c r="ET6">
        <v>0</v>
      </c>
      <c r="EU6">
        <v>1380</v>
      </c>
      <c r="EV6" s="4">
        <v>196.666666666667</v>
      </c>
      <c r="EW6">
        <v>0</v>
      </c>
      <c r="EX6">
        <v>0</v>
      </c>
      <c r="EY6" s="4">
        <v>196.666666666667</v>
      </c>
      <c r="EZ6">
        <v>0</v>
      </c>
      <c r="FA6">
        <v>0</v>
      </c>
      <c r="FB6">
        <v>0</v>
      </c>
      <c r="FC6">
        <v>0</v>
      </c>
      <c r="FD6">
        <v>0</v>
      </c>
      <c r="FE6">
        <v>0</v>
      </c>
      <c r="FF6">
        <v>0</v>
      </c>
      <c r="FG6">
        <v>0</v>
      </c>
      <c r="FH6">
        <v>0</v>
      </c>
      <c r="FI6" s="4">
        <v>1121568.51</v>
      </c>
      <c r="FJ6">
        <v>41212.04</v>
      </c>
      <c r="FK6">
        <v>41212.04</v>
      </c>
      <c r="FL6">
        <v>0</v>
      </c>
      <c r="FM6" s="4">
        <v>9737.03</v>
      </c>
      <c r="FN6">
        <v>0</v>
      </c>
      <c r="FO6">
        <v>0</v>
      </c>
      <c r="FP6">
        <v>0</v>
      </c>
      <c r="FQ6">
        <v>0</v>
      </c>
      <c r="FR6">
        <v>9737.03</v>
      </c>
      <c r="FS6">
        <v>0</v>
      </c>
      <c r="FT6">
        <v>48051.488</v>
      </c>
      <c r="FU6">
        <v>120128.72</v>
      </c>
      <c r="FV6">
        <v>18019.308</v>
      </c>
      <c r="FY6">
        <v>6006436</v>
      </c>
      <c r="FZ6">
        <v>8498759.10987223</v>
      </c>
      <c r="GA6">
        <v>1898677.39880556</v>
      </c>
      <c r="GB6">
        <v>6600081.71106667</v>
      </c>
      <c r="GC6">
        <v>-593645.711066667</v>
      </c>
      <c r="GD6">
        <v>-0.0988349349042705</v>
      </c>
      <c r="GE6">
        <v>-2492323.10987223</v>
      </c>
      <c r="GF6">
        <v>-0.414942090429704</v>
      </c>
      <c r="GJ6">
        <v>45244</v>
      </c>
      <c r="GL6">
        <v>45262</v>
      </c>
      <c r="GO6">
        <v>45273</v>
      </c>
      <c r="GR6" t="s">
        <v>694</v>
      </c>
      <c r="GU6" t="s">
        <v>694</v>
      </c>
      <c r="HA6">
        <v>45291</v>
      </c>
      <c r="HB6">
        <v>45303</v>
      </c>
      <c r="HE6">
        <v>40</v>
      </c>
      <c r="HF6">
        <v>10</v>
      </c>
      <c r="HG6">
        <v>11</v>
      </c>
      <c r="HH6">
        <v>19</v>
      </c>
      <c r="HK6">
        <v>248</v>
      </c>
      <c r="HL6">
        <v>147</v>
      </c>
      <c r="HM6">
        <v>146</v>
      </c>
      <c r="HN6">
        <v>0</v>
      </c>
      <c r="HO6">
        <v>0</v>
      </c>
      <c r="HP6">
        <v>0</v>
      </c>
      <c r="HQ6">
        <v>127</v>
      </c>
      <c r="HR6">
        <v>168</v>
      </c>
      <c r="HU6" s="10"/>
    </row>
    <row r="7" spans="1:229">
      <c r="A7" s="1">
        <f t="shared" si="0"/>
        <v>6</v>
      </c>
      <c r="B7" s="2">
        <v>2024</v>
      </c>
      <c r="C7" s="2" t="s">
        <v>703</v>
      </c>
      <c r="D7" s="2" t="s">
        <v>27</v>
      </c>
      <c r="E7" s="9">
        <v>50998</v>
      </c>
      <c r="F7" s="2" t="s">
        <v>691</v>
      </c>
      <c r="G7" s="2" t="s">
        <v>36</v>
      </c>
      <c r="H7" s="2" t="s">
        <v>692</v>
      </c>
      <c r="I7" s="2" t="s">
        <v>704</v>
      </c>
      <c r="J7" t="s">
        <v>309</v>
      </c>
      <c r="K7" t="s">
        <v>31</v>
      </c>
      <c r="L7" t="s">
        <v>32</v>
      </c>
      <c r="M7">
        <v>2</v>
      </c>
      <c r="N7">
        <v>3737</v>
      </c>
      <c r="O7" s="3">
        <v>3765</v>
      </c>
      <c r="P7" s="4">
        <v>6</v>
      </c>
      <c r="Q7" s="4">
        <v>0</v>
      </c>
      <c r="R7" s="4">
        <v>26</v>
      </c>
      <c r="S7" s="4">
        <v>7</v>
      </c>
      <c r="T7" s="4">
        <v>33</v>
      </c>
      <c r="U7" s="4">
        <v>39</v>
      </c>
      <c r="V7" s="4">
        <v>0</v>
      </c>
      <c r="W7" s="4">
        <v>1.1</v>
      </c>
      <c r="X7" s="4">
        <v>1.3</v>
      </c>
      <c r="Y7" s="3">
        <v>6691628</v>
      </c>
      <c r="Z7">
        <v>-1955376.49835314</v>
      </c>
      <c r="AA7">
        <v>8647004.49835314</v>
      </c>
      <c r="AB7">
        <v>1255057.94158333</v>
      </c>
      <c r="AC7">
        <v>682500</v>
      </c>
      <c r="AD7">
        <v>682500</v>
      </c>
      <c r="AE7">
        <v>0</v>
      </c>
      <c r="AF7">
        <v>37207.1461666667</v>
      </c>
      <c r="AG7">
        <v>37207.1461666667</v>
      </c>
      <c r="AH7">
        <v>0</v>
      </c>
      <c r="AI7">
        <v>2350.79541666666</v>
      </c>
      <c r="AJ7">
        <v>1796.66608333333</v>
      </c>
      <c r="AK7">
        <v>554.129333333333</v>
      </c>
      <c r="AL7">
        <v>0</v>
      </c>
      <c r="AM7">
        <v>0</v>
      </c>
      <c r="AN7">
        <v>0</v>
      </c>
      <c r="AO7">
        <v>0</v>
      </c>
      <c r="AP7">
        <v>0</v>
      </c>
      <c r="AQ7">
        <v>0</v>
      </c>
      <c r="AR7">
        <v>0</v>
      </c>
      <c r="AS7">
        <v>0</v>
      </c>
      <c r="AT7">
        <v>0</v>
      </c>
      <c r="AU7">
        <v>0</v>
      </c>
      <c r="AV7">
        <v>0</v>
      </c>
      <c r="AW7">
        <v>0</v>
      </c>
      <c r="AX7">
        <v>0</v>
      </c>
      <c r="AY7">
        <v>533000</v>
      </c>
      <c r="AZ7">
        <v>7391946.55676981</v>
      </c>
      <c r="BA7">
        <v>3173170.4216</v>
      </c>
      <c r="BB7">
        <v>53522.1216</v>
      </c>
      <c r="BC7">
        <v>53522.1216</v>
      </c>
      <c r="BD7">
        <v>0</v>
      </c>
      <c r="BE7">
        <v>0</v>
      </c>
      <c r="BF7">
        <v>368435</v>
      </c>
      <c r="BG7">
        <v>368435</v>
      </c>
      <c r="BH7">
        <v>0</v>
      </c>
      <c r="BI7">
        <v>0</v>
      </c>
      <c r="BJ7">
        <v>1156402</v>
      </c>
      <c r="BK7">
        <v>1119818.02</v>
      </c>
      <c r="BL7">
        <v>442918.02</v>
      </c>
      <c r="BM7">
        <v>676900</v>
      </c>
      <c r="BN7">
        <v>36688.96</v>
      </c>
      <c r="BO7">
        <v>128814.15</v>
      </c>
      <c r="BP7">
        <v>52800</v>
      </c>
      <c r="BQ7">
        <v>0</v>
      </c>
      <c r="BR7">
        <v>0</v>
      </c>
      <c r="BS7">
        <v>76014.15</v>
      </c>
      <c r="BT7">
        <v>309490.17</v>
      </c>
      <c r="BU7">
        <v>237195</v>
      </c>
      <c r="BV7">
        <v>62295.17</v>
      </c>
      <c r="BW7">
        <v>0</v>
      </c>
      <c r="BX7">
        <v>10000</v>
      </c>
      <c r="BY7">
        <v>356015.647169811</v>
      </c>
      <c r="BZ7">
        <v>89688.58</v>
      </c>
      <c r="CA7">
        <v>43958.24</v>
      </c>
      <c r="CB7">
        <v>26919.11</v>
      </c>
      <c r="CC7">
        <v>18811.23</v>
      </c>
      <c r="CD7">
        <v>266327.067169811</v>
      </c>
      <c r="CE7">
        <v>0</v>
      </c>
      <c r="CF7">
        <v>62879.52</v>
      </c>
      <c r="CG7">
        <v>203447.547169811</v>
      </c>
      <c r="CH7">
        <v>3862760.488</v>
      </c>
      <c r="CI7">
        <v>228107</v>
      </c>
      <c r="CJ7">
        <v>0</v>
      </c>
      <c r="CK7">
        <v>0</v>
      </c>
      <c r="CL7">
        <v>34905</v>
      </c>
      <c r="CM7">
        <v>46010</v>
      </c>
      <c r="CN7">
        <v>30402</v>
      </c>
      <c r="CO7">
        <v>116790</v>
      </c>
      <c r="CP7">
        <v>370500</v>
      </c>
      <c r="CQ7">
        <v>14598.63</v>
      </c>
      <c r="CR7">
        <v>4975.43</v>
      </c>
      <c r="CS7">
        <v>7973.2</v>
      </c>
      <c r="CT7">
        <v>0</v>
      </c>
      <c r="CU7">
        <v>850</v>
      </c>
      <c r="CV7">
        <v>0</v>
      </c>
      <c r="CW7">
        <v>0</v>
      </c>
      <c r="CX7">
        <v>800</v>
      </c>
      <c r="CY7">
        <v>12086.26</v>
      </c>
      <c r="CZ7">
        <v>6648.33333333333</v>
      </c>
      <c r="DA7">
        <v>0</v>
      </c>
      <c r="DB7">
        <v>583.33</v>
      </c>
      <c r="DC7">
        <v>346.666666666667</v>
      </c>
      <c r="DD7">
        <v>0</v>
      </c>
      <c r="DE7">
        <v>0</v>
      </c>
      <c r="DF7">
        <v>4507.93</v>
      </c>
      <c r="DG7">
        <v>0</v>
      </c>
      <c r="DH7" s="3">
        <v>350036</v>
      </c>
      <c r="DI7">
        <v>268708.3</v>
      </c>
      <c r="DJ7">
        <v>0</v>
      </c>
      <c r="DK7">
        <v>38778</v>
      </c>
      <c r="DL7">
        <v>0</v>
      </c>
      <c r="DM7">
        <v>0</v>
      </c>
      <c r="DN7">
        <v>0</v>
      </c>
      <c r="DO7">
        <v>120000</v>
      </c>
      <c r="DP7">
        <v>109930.3</v>
      </c>
      <c r="DQ7">
        <v>80355.08</v>
      </c>
      <c r="DR7">
        <v>0</v>
      </c>
      <c r="DS7">
        <v>68755.08</v>
      </c>
      <c r="DT7">
        <v>0</v>
      </c>
      <c r="DU7">
        <v>0</v>
      </c>
      <c r="DV7">
        <v>0</v>
      </c>
      <c r="DW7">
        <v>0</v>
      </c>
      <c r="DX7">
        <v>0</v>
      </c>
      <c r="DY7">
        <v>11600</v>
      </c>
      <c r="DZ7">
        <v>0</v>
      </c>
      <c r="EA7">
        <v>0</v>
      </c>
      <c r="EB7">
        <v>0</v>
      </c>
      <c r="EC7">
        <v>0</v>
      </c>
      <c r="ED7">
        <v>0</v>
      </c>
      <c r="EE7">
        <v>0</v>
      </c>
      <c r="EF7">
        <v>37835</v>
      </c>
      <c r="EG7">
        <v>0</v>
      </c>
      <c r="EH7">
        <v>20485</v>
      </c>
      <c r="EI7">
        <v>794571.97</v>
      </c>
      <c r="EJ7">
        <v>0</v>
      </c>
      <c r="EK7">
        <v>0</v>
      </c>
      <c r="EL7">
        <v>0</v>
      </c>
      <c r="EM7">
        <v>0</v>
      </c>
      <c r="EN7">
        <v>0</v>
      </c>
      <c r="EO7">
        <v>18012</v>
      </c>
      <c r="EP7">
        <v>0</v>
      </c>
      <c r="EQ7">
        <v>18012</v>
      </c>
      <c r="ER7">
        <v>42120</v>
      </c>
      <c r="ES7">
        <v>0</v>
      </c>
      <c r="ET7">
        <v>0</v>
      </c>
      <c r="EU7">
        <v>1080</v>
      </c>
      <c r="EV7" s="4">
        <v>130</v>
      </c>
      <c r="EW7">
        <v>0</v>
      </c>
      <c r="EX7">
        <v>0</v>
      </c>
      <c r="EY7" s="4">
        <v>130</v>
      </c>
      <c r="EZ7">
        <v>0</v>
      </c>
      <c r="FA7">
        <v>0</v>
      </c>
      <c r="FB7">
        <v>0</v>
      </c>
      <c r="FC7">
        <v>0</v>
      </c>
      <c r="FD7">
        <v>0</v>
      </c>
      <c r="FE7">
        <v>132635</v>
      </c>
      <c r="FF7">
        <v>0</v>
      </c>
      <c r="FG7">
        <v>132635</v>
      </c>
      <c r="FH7">
        <v>0</v>
      </c>
      <c r="FI7" s="4">
        <v>1233110.71</v>
      </c>
      <c r="FJ7">
        <v>41212.04</v>
      </c>
      <c r="FK7">
        <v>41212.04</v>
      </c>
      <c r="FL7">
        <v>0</v>
      </c>
      <c r="FM7" s="4">
        <v>9737.03</v>
      </c>
      <c r="FN7">
        <v>0</v>
      </c>
      <c r="FO7">
        <v>0</v>
      </c>
      <c r="FP7">
        <v>0</v>
      </c>
      <c r="FQ7">
        <v>0</v>
      </c>
      <c r="FR7">
        <v>9737.03</v>
      </c>
      <c r="FS7">
        <v>0</v>
      </c>
      <c r="FT7">
        <v>53533.024</v>
      </c>
      <c r="FU7">
        <v>133832.56</v>
      </c>
      <c r="FV7">
        <v>20074.884</v>
      </c>
      <c r="FY7">
        <v>6691628</v>
      </c>
      <c r="FZ7">
        <v>8647004.49835314</v>
      </c>
      <c r="GA7">
        <v>1255057.94158333</v>
      </c>
      <c r="GB7">
        <v>7391946.55676981</v>
      </c>
      <c r="GC7">
        <v>-700318.556769812</v>
      </c>
      <c r="GD7">
        <v>-0.104655930779447</v>
      </c>
      <c r="GE7">
        <v>-1955376.49835314</v>
      </c>
      <c r="GF7">
        <v>-0.292212373185291</v>
      </c>
      <c r="GJ7">
        <v>45309</v>
      </c>
      <c r="GL7">
        <v>45315</v>
      </c>
      <c r="GO7">
        <v>45321</v>
      </c>
      <c r="GR7" t="s">
        <v>694</v>
      </c>
      <c r="GU7" t="s">
        <v>694</v>
      </c>
      <c r="HA7">
        <v>45341</v>
      </c>
      <c r="HB7">
        <v>45348</v>
      </c>
      <c r="HE7">
        <v>40</v>
      </c>
      <c r="HF7">
        <v>10</v>
      </c>
      <c r="HG7">
        <v>11</v>
      </c>
      <c r="HH7">
        <v>19</v>
      </c>
      <c r="HK7">
        <v>210</v>
      </c>
      <c r="HL7">
        <v>137</v>
      </c>
      <c r="HM7">
        <v>146</v>
      </c>
      <c r="HN7">
        <v>0</v>
      </c>
      <c r="HO7">
        <v>0</v>
      </c>
      <c r="HP7">
        <v>0</v>
      </c>
      <c r="HQ7">
        <v>182</v>
      </c>
      <c r="HR7">
        <v>110</v>
      </c>
      <c r="HU7" s="10"/>
    </row>
    <row r="8" spans="1:229">
      <c r="A8" s="1">
        <f t="shared" si="0"/>
        <v>7</v>
      </c>
      <c r="B8" s="2">
        <v>2024</v>
      </c>
      <c r="C8" s="2" t="s">
        <v>33</v>
      </c>
      <c r="D8" s="2" t="s">
        <v>27</v>
      </c>
      <c r="E8" s="9" t="s">
        <v>705</v>
      </c>
      <c r="F8" s="2" t="s">
        <v>706</v>
      </c>
      <c r="G8" s="2" t="s">
        <v>28</v>
      </c>
      <c r="H8" s="2" t="s">
        <v>692</v>
      </c>
      <c r="I8" s="2" t="s">
        <v>707</v>
      </c>
      <c r="J8" t="s">
        <v>308</v>
      </c>
      <c r="K8" t="s">
        <v>31</v>
      </c>
      <c r="L8" t="s">
        <v>32</v>
      </c>
      <c r="M8">
        <v>2</v>
      </c>
      <c r="N8">
        <v>3444</v>
      </c>
      <c r="O8" s="3">
        <v>3462</v>
      </c>
      <c r="P8" s="4">
        <v>11</v>
      </c>
      <c r="Q8" s="4">
        <v>0</v>
      </c>
      <c r="R8" s="4">
        <v>13</v>
      </c>
      <c r="S8" s="4">
        <v>6</v>
      </c>
      <c r="T8" s="4">
        <v>19</v>
      </c>
      <c r="U8" s="4">
        <v>30</v>
      </c>
      <c r="V8" s="4">
        <v>0</v>
      </c>
      <c r="W8" s="4">
        <v>0.633333333333333</v>
      </c>
      <c r="X8" s="4">
        <v>1</v>
      </c>
      <c r="Y8" s="3">
        <v>5035639</v>
      </c>
      <c r="Z8">
        <v>-2283630.69995547</v>
      </c>
      <c r="AA8">
        <v>7319269.69995547</v>
      </c>
      <c r="AB8">
        <v>1218910.4545649</v>
      </c>
      <c r="AC8">
        <v>300000</v>
      </c>
      <c r="AD8">
        <v>300000</v>
      </c>
      <c r="AE8">
        <v>0</v>
      </c>
      <c r="AF8">
        <v>238366.604166667</v>
      </c>
      <c r="AG8">
        <v>135489.059166667</v>
      </c>
      <c r="AH8">
        <v>102877.545</v>
      </c>
      <c r="AI8">
        <v>10916.9616666667</v>
      </c>
      <c r="AJ8">
        <v>3246.27833333333</v>
      </c>
      <c r="AK8">
        <v>3228.205</v>
      </c>
      <c r="AL8">
        <v>4442.47833333333</v>
      </c>
      <c r="AM8">
        <v>259626.888731563</v>
      </c>
      <c r="AN8">
        <v>84387.3775811209</v>
      </c>
      <c r="AO8">
        <v>0</v>
      </c>
      <c r="AP8">
        <v>115176.991150442</v>
      </c>
      <c r="AQ8">
        <v>60062.52</v>
      </c>
      <c r="AR8">
        <v>0</v>
      </c>
      <c r="AS8">
        <v>0</v>
      </c>
      <c r="AT8">
        <v>0</v>
      </c>
      <c r="AU8">
        <v>0</v>
      </c>
      <c r="AV8">
        <v>0</v>
      </c>
      <c r="AW8">
        <v>0</v>
      </c>
      <c r="AX8">
        <v>0</v>
      </c>
      <c r="AY8">
        <v>410000</v>
      </c>
      <c r="AZ8">
        <v>6100359.24539057</v>
      </c>
      <c r="BA8">
        <v>2775382.2404</v>
      </c>
      <c r="BB8">
        <v>139616.2872</v>
      </c>
      <c r="BC8">
        <v>139616.2872</v>
      </c>
      <c r="BD8">
        <v>0</v>
      </c>
      <c r="BE8">
        <v>0</v>
      </c>
      <c r="BF8">
        <v>348742</v>
      </c>
      <c r="BG8">
        <v>348742</v>
      </c>
      <c r="BH8">
        <v>0</v>
      </c>
      <c r="BI8">
        <v>11978.064</v>
      </c>
      <c r="BJ8">
        <v>604318</v>
      </c>
      <c r="BK8">
        <v>1227648.91</v>
      </c>
      <c r="BL8">
        <v>435848.91</v>
      </c>
      <c r="BM8">
        <v>791800</v>
      </c>
      <c r="BN8">
        <v>64528.0992</v>
      </c>
      <c r="BO8">
        <v>117609.19</v>
      </c>
      <c r="BP8">
        <v>30400</v>
      </c>
      <c r="BQ8">
        <v>0</v>
      </c>
      <c r="BR8">
        <v>0</v>
      </c>
      <c r="BS8">
        <v>87209.19</v>
      </c>
      <c r="BT8">
        <v>260941.69</v>
      </c>
      <c r="BU8">
        <v>218106</v>
      </c>
      <c r="BV8">
        <v>32835.69</v>
      </c>
      <c r="BW8">
        <v>0</v>
      </c>
      <c r="BX8">
        <v>10000</v>
      </c>
      <c r="BY8">
        <v>126636.25</v>
      </c>
      <c r="BZ8">
        <v>80999.45</v>
      </c>
      <c r="CA8">
        <v>67160.98</v>
      </c>
      <c r="CB8">
        <v>12064.66</v>
      </c>
      <c r="CC8">
        <v>1773.81</v>
      </c>
      <c r="CD8">
        <v>45636.8</v>
      </c>
      <c r="CE8">
        <v>0</v>
      </c>
      <c r="CF8">
        <v>45636.8</v>
      </c>
      <c r="CG8">
        <v>0</v>
      </c>
      <c r="CH8">
        <v>3198340.75499057</v>
      </c>
      <c r="CI8">
        <v>387579</v>
      </c>
      <c r="CJ8">
        <v>0</v>
      </c>
      <c r="CK8">
        <v>0</v>
      </c>
      <c r="CL8">
        <v>205357</v>
      </c>
      <c r="CM8">
        <v>89062</v>
      </c>
      <c r="CN8">
        <v>35678</v>
      </c>
      <c r="CO8">
        <v>57482</v>
      </c>
      <c r="CP8">
        <v>345000</v>
      </c>
      <c r="CQ8">
        <v>17923.91</v>
      </c>
      <c r="CR8">
        <v>3909.27</v>
      </c>
      <c r="CS8">
        <v>11548.14</v>
      </c>
      <c r="CT8">
        <v>0</v>
      </c>
      <c r="CU8">
        <v>1266.5</v>
      </c>
      <c r="CV8">
        <v>0</v>
      </c>
      <c r="CW8">
        <v>0</v>
      </c>
      <c r="CX8">
        <v>1200</v>
      </c>
      <c r="CY8">
        <v>67519.565990566</v>
      </c>
      <c r="CZ8">
        <v>5783.875</v>
      </c>
      <c r="DA8">
        <v>0</v>
      </c>
      <c r="DB8">
        <v>455.1875</v>
      </c>
      <c r="DC8">
        <v>270</v>
      </c>
      <c r="DD8">
        <v>57900</v>
      </c>
      <c r="DE8">
        <v>0</v>
      </c>
      <c r="DF8">
        <v>3110.50349056604</v>
      </c>
      <c r="DG8">
        <v>0</v>
      </c>
      <c r="DH8" s="3">
        <v>204563</v>
      </c>
      <c r="DI8">
        <v>0</v>
      </c>
      <c r="DJ8">
        <v>0</v>
      </c>
      <c r="DK8">
        <v>0</v>
      </c>
      <c r="DL8">
        <v>0</v>
      </c>
      <c r="DM8">
        <v>0</v>
      </c>
      <c r="DN8">
        <v>0</v>
      </c>
      <c r="DO8">
        <v>0</v>
      </c>
      <c r="DP8">
        <v>0</v>
      </c>
      <c r="DQ8">
        <v>182571.6</v>
      </c>
      <c r="DR8">
        <v>0</v>
      </c>
      <c r="DS8">
        <v>0</v>
      </c>
      <c r="DT8">
        <v>0</v>
      </c>
      <c r="DU8">
        <v>0</v>
      </c>
      <c r="DV8">
        <v>0</v>
      </c>
      <c r="DW8">
        <v>0</v>
      </c>
      <c r="DX8">
        <v>0</v>
      </c>
      <c r="DY8">
        <v>182571.6</v>
      </c>
      <c r="DZ8">
        <v>0</v>
      </c>
      <c r="EA8">
        <v>0</v>
      </c>
      <c r="EB8">
        <v>0</v>
      </c>
      <c r="EC8">
        <v>0</v>
      </c>
      <c r="ED8">
        <v>0</v>
      </c>
      <c r="EE8">
        <v>0</v>
      </c>
      <c r="EF8">
        <v>32860</v>
      </c>
      <c r="EG8">
        <v>0</v>
      </c>
      <c r="EH8">
        <v>11381</v>
      </c>
      <c r="EI8">
        <v>619688.75</v>
      </c>
      <c r="EJ8">
        <v>0</v>
      </c>
      <c r="EK8">
        <v>0</v>
      </c>
      <c r="EL8">
        <v>0</v>
      </c>
      <c r="EM8">
        <v>0</v>
      </c>
      <c r="EN8">
        <v>0</v>
      </c>
      <c r="EO8">
        <v>7465.5</v>
      </c>
      <c r="EP8">
        <v>0</v>
      </c>
      <c r="EQ8">
        <v>7465.5</v>
      </c>
      <c r="ER8">
        <v>28350</v>
      </c>
      <c r="ES8">
        <v>0</v>
      </c>
      <c r="ET8">
        <v>0</v>
      </c>
      <c r="EU8">
        <v>5000</v>
      </c>
      <c r="EV8" s="4">
        <v>100</v>
      </c>
      <c r="EW8">
        <v>0</v>
      </c>
      <c r="EX8">
        <v>0</v>
      </c>
      <c r="EY8" s="4">
        <v>100</v>
      </c>
      <c r="EZ8">
        <v>0</v>
      </c>
      <c r="FA8">
        <v>0</v>
      </c>
      <c r="FB8">
        <v>0</v>
      </c>
      <c r="FC8">
        <v>0</v>
      </c>
      <c r="FD8">
        <v>0</v>
      </c>
      <c r="FE8">
        <v>0</v>
      </c>
      <c r="FF8">
        <v>0</v>
      </c>
      <c r="FG8">
        <v>0</v>
      </c>
      <c r="FH8">
        <v>0</v>
      </c>
      <c r="FI8" s="4">
        <v>1079538.17</v>
      </c>
      <c r="FJ8">
        <v>44270.45</v>
      </c>
      <c r="FK8">
        <v>44270.45</v>
      </c>
      <c r="FL8">
        <v>0</v>
      </c>
      <c r="FM8" s="4">
        <v>8425</v>
      </c>
      <c r="FN8">
        <v>0</v>
      </c>
      <c r="FO8">
        <v>0</v>
      </c>
      <c r="FP8">
        <v>0</v>
      </c>
      <c r="FQ8">
        <v>0</v>
      </c>
      <c r="FR8">
        <v>8425</v>
      </c>
      <c r="FS8">
        <v>0</v>
      </c>
      <c r="FT8">
        <v>40285.112</v>
      </c>
      <c r="FU8">
        <v>100712.78</v>
      </c>
      <c r="FV8">
        <v>15106.917</v>
      </c>
      <c r="FY8">
        <v>5035639</v>
      </c>
      <c r="FZ8">
        <v>7319269.69995547</v>
      </c>
      <c r="GA8">
        <v>1218910.4545649</v>
      </c>
      <c r="GB8">
        <v>6100359.24539057</v>
      </c>
      <c r="GC8">
        <v>-1064720.24539057</v>
      </c>
      <c r="GD8">
        <v>-0.211436968652949</v>
      </c>
      <c r="GE8">
        <v>-2283630.69995547</v>
      </c>
      <c r="GF8">
        <v>-0.453493727400925</v>
      </c>
      <c r="GJ8">
        <v>45351</v>
      </c>
      <c r="GL8">
        <v>45362</v>
      </c>
      <c r="GO8">
        <v>45366</v>
      </c>
      <c r="GR8" t="s">
        <v>694</v>
      </c>
      <c r="GU8" t="s">
        <v>694</v>
      </c>
      <c r="HA8">
        <v>45375</v>
      </c>
      <c r="HB8">
        <v>45381</v>
      </c>
      <c r="HE8">
        <v>35</v>
      </c>
      <c r="HF8">
        <v>4</v>
      </c>
      <c r="HG8">
        <v>8</v>
      </c>
      <c r="HH8">
        <v>23</v>
      </c>
      <c r="HK8">
        <v>136</v>
      </c>
      <c r="HL8">
        <v>34</v>
      </c>
      <c r="HM8">
        <v>66</v>
      </c>
      <c r="HN8">
        <v>0</v>
      </c>
      <c r="HO8">
        <v>0</v>
      </c>
      <c r="HP8">
        <v>0</v>
      </c>
      <c r="HQ8">
        <v>167</v>
      </c>
      <c r="HR8">
        <v>47</v>
      </c>
      <c r="HU8" s="10"/>
    </row>
    <row r="9" spans="1:229">
      <c r="A9" s="1">
        <f t="shared" si="0"/>
        <v>8</v>
      </c>
      <c r="B9" s="2">
        <v>2024</v>
      </c>
      <c r="C9" s="2" t="s">
        <v>708</v>
      </c>
      <c r="D9" s="2" t="s">
        <v>27</v>
      </c>
      <c r="E9" s="9">
        <v>70318</v>
      </c>
      <c r="F9" s="2" t="s">
        <v>709</v>
      </c>
      <c r="G9" s="2" t="s">
        <v>28</v>
      </c>
      <c r="H9" s="2" t="s">
        <v>692</v>
      </c>
      <c r="I9" s="2" t="s">
        <v>710</v>
      </c>
      <c r="J9" t="s">
        <v>309</v>
      </c>
      <c r="K9" t="s">
        <v>31</v>
      </c>
      <c r="L9" t="s">
        <v>32</v>
      </c>
      <c r="M9">
        <v>2</v>
      </c>
      <c r="N9">
        <v>3592</v>
      </c>
      <c r="O9" s="3">
        <v>3603</v>
      </c>
      <c r="P9" s="4">
        <v>21</v>
      </c>
      <c r="Q9" s="4">
        <v>0</v>
      </c>
      <c r="R9" s="4">
        <v>16</v>
      </c>
      <c r="S9" s="4">
        <v>8</v>
      </c>
      <c r="T9" s="4">
        <v>24</v>
      </c>
      <c r="U9" s="4">
        <v>45</v>
      </c>
      <c r="V9" s="4">
        <v>0</v>
      </c>
      <c r="W9" s="4">
        <v>0.8</v>
      </c>
      <c r="X9" s="4">
        <v>1.5</v>
      </c>
      <c r="Y9" s="3">
        <v>5533617</v>
      </c>
      <c r="Z9">
        <v>-943771.221771681</v>
      </c>
      <c r="AA9">
        <v>6477388.22177168</v>
      </c>
      <c r="AB9">
        <v>1326634.68637168</v>
      </c>
      <c r="AC9">
        <v>525000</v>
      </c>
      <c r="AD9">
        <v>525000</v>
      </c>
      <c r="AE9">
        <v>0</v>
      </c>
      <c r="AF9">
        <v>56818.4950000001</v>
      </c>
      <c r="AG9">
        <v>56818.4950000001</v>
      </c>
      <c r="AH9">
        <v>0</v>
      </c>
      <c r="AI9">
        <v>3235.125</v>
      </c>
      <c r="AJ9">
        <v>2616.375</v>
      </c>
      <c r="AK9">
        <v>618.75</v>
      </c>
      <c r="AL9">
        <v>0</v>
      </c>
      <c r="AM9">
        <v>126581.066371681</v>
      </c>
      <c r="AN9">
        <v>126581.066371681</v>
      </c>
      <c r="AO9">
        <v>0</v>
      </c>
      <c r="AP9">
        <v>0</v>
      </c>
      <c r="AQ9">
        <v>0</v>
      </c>
      <c r="AR9">
        <v>0</v>
      </c>
      <c r="AS9">
        <v>0</v>
      </c>
      <c r="AT9">
        <v>0</v>
      </c>
      <c r="AU9">
        <v>0</v>
      </c>
      <c r="AV9">
        <v>0</v>
      </c>
      <c r="AW9">
        <v>0</v>
      </c>
      <c r="AX9">
        <v>0</v>
      </c>
      <c r="AY9">
        <v>615000</v>
      </c>
      <c r="AZ9">
        <v>5150753.5354</v>
      </c>
      <c r="BA9">
        <v>1573517.7784</v>
      </c>
      <c r="BB9">
        <v>69521.4144</v>
      </c>
      <c r="BC9">
        <v>69521.4144</v>
      </c>
      <c r="BD9">
        <v>0</v>
      </c>
      <c r="BE9">
        <v>0</v>
      </c>
      <c r="BF9">
        <v>335063</v>
      </c>
      <c r="BG9">
        <v>335063</v>
      </c>
      <c r="BH9">
        <v>0</v>
      </c>
      <c r="BI9">
        <v>5827.464</v>
      </c>
      <c r="BJ9">
        <v>188890</v>
      </c>
      <c r="BK9">
        <v>416323.43</v>
      </c>
      <c r="BL9">
        <v>173723.43</v>
      </c>
      <c r="BM9">
        <v>242600</v>
      </c>
      <c r="BN9">
        <v>172428.24</v>
      </c>
      <c r="BO9">
        <v>116015.85</v>
      </c>
      <c r="BP9">
        <v>38400</v>
      </c>
      <c r="BQ9">
        <v>0</v>
      </c>
      <c r="BR9">
        <v>0</v>
      </c>
      <c r="BS9">
        <v>77615.85</v>
      </c>
      <c r="BT9">
        <v>269448.38</v>
      </c>
      <c r="BU9">
        <v>226989</v>
      </c>
      <c r="BV9">
        <v>42459.38</v>
      </c>
      <c r="BW9">
        <v>0</v>
      </c>
      <c r="BX9">
        <v>0</v>
      </c>
      <c r="BY9">
        <v>47535.65</v>
      </c>
      <c r="BZ9">
        <v>29252.77</v>
      </c>
      <c r="CA9">
        <v>6991.42</v>
      </c>
      <c r="CB9">
        <v>21818.44</v>
      </c>
      <c r="CC9">
        <v>442.91</v>
      </c>
      <c r="CD9">
        <v>18282.88</v>
      </c>
      <c r="CE9">
        <v>0</v>
      </c>
      <c r="CF9">
        <v>18282.88</v>
      </c>
      <c r="CG9">
        <v>0</v>
      </c>
      <c r="CH9">
        <v>3529700.107</v>
      </c>
      <c r="CI9">
        <v>653192</v>
      </c>
      <c r="CJ9">
        <v>0</v>
      </c>
      <c r="CK9">
        <v>0</v>
      </c>
      <c r="CL9">
        <v>424261</v>
      </c>
      <c r="CM9">
        <v>64809</v>
      </c>
      <c r="CN9">
        <v>40241</v>
      </c>
      <c r="CO9">
        <v>123881</v>
      </c>
      <c r="CP9">
        <v>517500</v>
      </c>
      <c r="CQ9">
        <v>20115.83</v>
      </c>
      <c r="CR9">
        <v>4620</v>
      </c>
      <c r="CS9">
        <v>13485.83</v>
      </c>
      <c r="CT9">
        <v>0</v>
      </c>
      <c r="CU9">
        <v>1050</v>
      </c>
      <c r="CV9">
        <v>0</v>
      </c>
      <c r="CW9">
        <v>0</v>
      </c>
      <c r="CX9">
        <v>960</v>
      </c>
      <c r="CY9">
        <v>10305.03</v>
      </c>
      <c r="CZ9">
        <v>3026.7</v>
      </c>
      <c r="DA9">
        <v>0</v>
      </c>
      <c r="DB9">
        <v>633.962</v>
      </c>
      <c r="DC9">
        <v>240</v>
      </c>
      <c r="DD9">
        <v>0</v>
      </c>
      <c r="DE9">
        <v>0</v>
      </c>
      <c r="DF9">
        <v>6404.368</v>
      </c>
      <c r="DG9">
        <v>0</v>
      </c>
      <c r="DH9" s="3">
        <v>282789</v>
      </c>
      <c r="DI9">
        <v>139938</v>
      </c>
      <c r="DJ9">
        <v>0</v>
      </c>
      <c r="DK9">
        <v>139938</v>
      </c>
      <c r="DL9">
        <v>0</v>
      </c>
      <c r="DM9">
        <v>0</v>
      </c>
      <c r="DN9">
        <v>0</v>
      </c>
      <c r="DO9">
        <v>0</v>
      </c>
      <c r="DP9">
        <v>0</v>
      </c>
      <c r="DQ9">
        <v>0</v>
      </c>
      <c r="DR9">
        <v>0</v>
      </c>
      <c r="DS9">
        <v>0</v>
      </c>
      <c r="DT9">
        <v>0</v>
      </c>
      <c r="DU9">
        <v>0</v>
      </c>
      <c r="DV9">
        <v>0</v>
      </c>
      <c r="DW9">
        <v>0</v>
      </c>
      <c r="DX9">
        <v>0</v>
      </c>
      <c r="DY9">
        <v>0</v>
      </c>
      <c r="DZ9">
        <v>0</v>
      </c>
      <c r="EA9">
        <v>0</v>
      </c>
      <c r="EB9">
        <v>0</v>
      </c>
      <c r="EC9">
        <v>0</v>
      </c>
      <c r="ED9">
        <v>0</v>
      </c>
      <c r="EE9">
        <v>0</v>
      </c>
      <c r="EF9">
        <v>125641</v>
      </c>
      <c r="EG9">
        <v>0</v>
      </c>
      <c r="EH9">
        <v>0</v>
      </c>
      <c r="EI9">
        <v>435106.47</v>
      </c>
      <c r="EJ9">
        <v>0</v>
      </c>
      <c r="EK9">
        <v>0</v>
      </c>
      <c r="EL9">
        <v>0</v>
      </c>
      <c r="EM9">
        <v>0</v>
      </c>
      <c r="EN9">
        <v>0</v>
      </c>
      <c r="EO9">
        <v>16037</v>
      </c>
      <c r="EP9">
        <v>0</v>
      </c>
      <c r="EQ9">
        <v>16037</v>
      </c>
      <c r="ER9">
        <v>44955</v>
      </c>
      <c r="ES9">
        <v>0</v>
      </c>
      <c r="ET9">
        <v>0</v>
      </c>
      <c r="EU9">
        <v>540</v>
      </c>
      <c r="EV9" s="4">
        <v>222</v>
      </c>
      <c r="EW9">
        <v>0</v>
      </c>
      <c r="EX9">
        <v>0</v>
      </c>
      <c r="EY9" s="4">
        <v>222</v>
      </c>
      <c r="EZ9">
        <v>0</v>
      </c>
      <c r="FA9">
        <v>0</v>
      </c>
      <c r="FB9">
        <v>0</v>
      </c>
      <c r="FC9">
        <v>0</v>
      </c>
      <c r="FD9">
        <v>0</v>
      </c>
      <c r="FE9">
        <v>45000</v>
      </c>
      <c r="FF9">
        <v>0</v>
      </c>
      <c r="FG9">
        <v>45000</v>
      </c>
      <c r="FH9">
        <v>0</v>
      </c>
      <c r="FI9" s="4">
        <v>991475.2</v>
      </c>
      <c r="FJ9">
        <v>44270.45</v>
      </c>
      <c r="FK9">
        <v>44270.45</v>
      </c>
      <c r="FL9">
        <v>0</v>
      </c>
      <c r="FM9" s="4">
        <v>31071</v>
      </c>
      <c r="FN9">
        <v>0</v>
      </c>
      <c r="FO9">
        <v>0</v>
      </c>
      <c r="FP9">
        <v>0</v>
      </c>
      <c r="FQ9">
        <v>0</v>
      </c>
      <c r="FR9">
        <v>31071</v>
      </c>
      <c r="FS9">
        <v>0</v>
      </c>
      <c r="FT9">
        <v>44268.936</v>
      </c>
      <c r="FU9">
        <v>110672.34</v>
      </c>
      <c r="FV9">
        <v>16600.851</v>
      </c>
      <c r="FY9">
        <v>5533617</v>
      </c>
      <c r="FZ9">
        <v>6477388.22177168</v>
      </c>
      <c r="GA9">
        <v>1326634.68637168</v>
      </c>
      <c r="GB9">
        <v>5150753.5354</v>
      </c>
      <c r="GC9">
        <v>382863.4646</v>
      </c>
      <c r="GD9">
        <v>0.0691886454375139</v>
      </c>
      <c r="GE9">
        <v>-943771.221771681</v>
      </c>
      <c r="GF9">
        <v>-0.170552320800605</v>
      </c>
      <c r="GJ9">
        <v>45587</v>
      </c>
      <c r="GL9">
        <v>45608</v>
      </c>
      <c r="GO9">
        <v>45612</v>
      </c>
      <c r="GR9" t="s">
        <v>694</v>
      </c>
      <c r="GU9" t="s">
        <v>694</v>
      </c>
      <c r="HA9">
        <v>45624</v>
      </c>
      <c r="HB9">
        <v>45632</v>
      </c>
      <c r="HE9">
        <v>37</v>
      </c>
      <c r="HF9">
        <v>3</v>
      </c>
      <c r="HG9">
        <v>11</v>
      </c>
      <c r="HH9">
        <v>23</v>
      </c>
      <c r="HK9">
        <v>195</v>
      </c>
      <c r="HL9">
        <v>30</v>
      </c>
      <c r="HM9">
        <v>19</v>
      </c>
      <c r="HN9">
        <v>26</v>
      </c>
      <c r="HO9">
        <v>0</v>
      </c>
      <c r="HP9">
        <v>8</v>
      </c>
      <c r="HQ9">
        <v>160</v>
      </c>
      <c r="HR9">
        <v>137</v>
      </c>
      <c r="HU9" s="10"/>
    </row>
    <row r="10" spans="1:229">
      <c r="A10" s="1">
        <f t="shared" si="0"/>
        <v>9</v>
      </c>
      <c r="B10" s="2">
        <v>2024</v>
      </c>
      <c r="C10" s="2" t="s">
        <v>708</v>
      </c>
      <c r="D10" s="2" t="s">
        <v>27</v>
      </c>
      <c r="E10" s="9">
        <v>50528</v>
      </c>
      <c r="F10" s="2" t="s">
        <v>696</v>
      </c>
      <c r="G10" s="2" t="s">
        <v>36</v>
      </c>
      <c r="H10" s="2" t="s">
        <v>711</v>
      </c>
      <c r="I10" s="2" t="s">
        <v>712</v>
      </c>
      <c r="J10" t="s">
        <v>309</v>
      </c>
      <c r="K10" t="s">
        <v>41</v>
      </c>
      <c r="L10" t="s">
        <v>32</v>
      </c>
      <c r="M10">
        <v>2</v>
      </c>
      <c r="N10">
        <v>3605</v>
      </c>
      <c r="O10" s="3">
        <v>3560</v>
      </c>
      <c r="P10" s="4">
        <v>8</v>
      </c>
      <c r="Q10" s="4">
        <v>0</v>
      </c>
      <c r="R10" s="4">
        <v>19</v>
      </c>
      <c r="S10" s="4">
        <v>11</v>
      </c>
      <c r="T10" s="4">
        <v>30</v>
      </c>
      <c r="U10" s="4">
        <v>38</v>
      </c>
      <c r="V10" s="4">
        <v>0</v>
      </c>
      <c r="W10" s="4">
        <v>1</v>
      </c>
      <c r="X10" s="4">
        <v>1.26666666666667</v>
      </c>
      <c r="Y10" s="3">
        <v>6133129</v>
      </c>
      <c r="Z10">
        <v>-263420.204066671</v>
      </c>
      <c r="AA10">
        <v>6396549.20406667</v>
      </c>
      <c r="AB10">
        <v>1020933.70066667</v>
      </c>
      <c r="AC10">
        <v>443333.333333333</v>
      </c>
      <c r="AD10">
        <v>443333.333333333</v>
      </c>
      <c r="AE10">
        <v>0</v>
      </c>
      <c r="AF10">
        <v>42485.2212777778</v>
      </c>
      <c r="AG10">
        <v>42485.2212777778</v>
      </c>
      <c r="AH10">
        <v>0</v>
      </c>
      <c r="AI10">
        <v>15781.8127222222</v>
      </c>
      <c r="AJ10">
        <v>6985.445</v>
      </c>
      <c r="AK10">
        <v>6403.65127777778</v>
      </c>
      <c r="AL10">
        <v>2392.71644444445</v>
      </c>
      <c r="AM10">
        <v>0</v>
      </c>
      <c r="AN10">
        <v>0</v>
      </c>
      <c r="AO10">
        <v>0</v>
      </c>
      <c r="AP10">
        <v>0</v>
      </c>
      <c r="AQ10">
        <v>0</v>
      </c>
      <c r="AR10">
        <v>0</v>
      </c>
      <c r="AS10">
        <v>0</v>
      </c>
      <c r="AT10">
        <v>0</v>
      </c>
      <c r="AU10">
        <v>0</v>
      </c>
      <c r="AV10">
        <v>0</v>
      </c>
      <c r="AW10">
        <v>0</v>
      </c>
      <c r="AX10">
        <v>0</v>
      </c>
      <c r="AY10">
        <v>519333.333333335</v>
      </c>
      <c r="AZ10">
        <v>5375615.5034</v>
      </c>
      <c r="BA10">
        <v>1815965.1144</v>
      </c>
      <c r="BB10">
        <v>101825.8344</v>
      </c>
      <c r="BC10">
        <v>101825.8344</v>
      </c>
      <c r="BD10">
        <v>0</v>
      </c>
      <c r="BE10">
        <v>0</v>
      </c>
      <c r="BF10">
        <v>396810</v>
      </c>
      <c r="BG10">
        <v>396810</v>
      </c>
      <c r="BH10">
        <v>0</v>
      </c>
      <c r="BI10">
        <v>0</v>
      </c>
      <c r="BJ10">
        <v>838261</v>
      </c>
      <c r="BK10">
        <v>27062.33</v>
      </c>
      <c r="BL10">
        <v>27062.33</v>
      </c>
      <c r="BM10">
        <v>0</v>
      </c>
      <c r="BN10">
        <v>55694.52</v>
      </c>
      <c r="BO10">
        <v>123828.69</v>
      </c>
      <c r="BP10">
        <v>48000</v>
      </c>
      <c r="BQ10">
        <v>0</v>
      </c>
      <c r="BR10">
        <v>0</v>
      </c>
      <c r="BS10">
        <v>75828.69</v>
      </c>
      <c r="BT10">
        <v>272482.74</v>
      </c>
      <c r="BU10">
        <v>224280</v>
      </c>
      <c r="BV10">
        <v>48202.74</v>
      </c>
      <c r="BW10">
        <v>0</v>
      </c>
      <c r="BX10">
        <v>0</v>
      </c>
      <c r="BY10">
        <v>27695.69</v>
      </c>
      <c r="BZ10">
        <v>27695.69</v>
      </c>
      <c r="CA10">
        <v>3370.68</v>
      </c>
      <c r="CB10">
        <v>12852.97</v>
      </c>
      <c r="CC10">
        <v>11472.04</v>
      </c>
      <c r="CD10">
        <v>0</v>
      </c>
      <c r="CE10">
        <v>0</v>
      </c>
      <c r="CF10">
        <v>0</v>
      </c>
      <c r="CG10">
        <v>0</v>
      </c>
      <c r="CH10">
        <v>3531954.699</v>
      </c>
      <c r="CI10">
        <v>228704</v>
      </c>
      <c r="CJ10">
        <v>0</v>
      </c>
      <c r="CK10">
        <v>0</v>
      </c>
      <c r="CL10">
        <v>109982</v>
      </c>
      <c r="CM10">
        <v>24726</v>
      </c>
      <c r="CN10">
        <v>14964</v>
      </c>
      <c r="CO10">
        <v>79032</v>
      </c>
      <c r="CP10">
        <v>437000.000000001</v>
      </c>
      <c r="CQ10">
        <v>18068.94</v>
      </c>
      <c r="CR10">
        <v>4264.66</v>
      </c>
      <c r="CS10">
        <v>12416.28</v>
      </c>
      <c r="CT10">
        <v>0</v>
      </c>
      <c r="CU10">
        <v>588</v>
      </c>
      <c r="CV10">
        <v>0</v>
      </c>
      <c r="CW10">
        <v>0</v>
      </c>
      <c r="CX10">
        <v>800</v>
      </c>
      <c r="CY10">
        <v>4325.18</v>
      </c>
      <c r="CZ10">
        <v>1686.25</v>
      </c>
      <c r="DA10">
        <v>0</v>
      </c>
      <c r="DB10">
        <v>400</v>
      </c>
      <c r="DC10">
        <v>36.6666666666667</v>
      </c>
      <c r="DD10">
        <v>0</v>
      </c>
      <c r="DE10">
        <v>0</v>
      </c>
      <c r="DF10">
        <v>2202.26333333333</v>
      </c>
      <c r="DG10">
        <v>0</v>
      </c>
      <c r="DH10" s="3">
        <v>370466</v>
      </c>
      <c r="DI10">
        <v>138083.4</v>
      </c>
      <c r="DJ10">
        <v>0</v>
      </c>
      <c r="DK10">
        <v>138083.4</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32410</v>
      </c>
      <c r="EG10">
        <v>0</v>
      </c>
      <c r="EH10">
        <v>0</v>
      </c>
      <c r="EI10">
        <v>808952.86</v>
      </c>
      <c r="EJ10">
        <v>0</v>
      </c>
      <c r="EK10">
        <v>0</v>
      </c>
      <c r="EL10">
        <v>56744</v>
      </c>
      <c r="EM10">
        <v>0</v>
      </c>
      <c r="EN10">
        <v>0</v>
      </c>
      <c r="EO10">
        <v>14694</v>
      </c>
      <c r="EP10">
        <v>0</v>
      </c>
      <c r="EQ10">
        <v>14694</v>
      </c>
      <c r="ER10">
        <v>37962</v>
      </c>
      <c r="ES10">
        <v>0</v>
      </c>
      <c r="ET10">
        <v>0</v>
      </c>
      <c r="EU10">
        <v>0</v>
      </c>
      <c r="EV10" s="4">
        <v>126.666666666667</v>
      </c>
      <c r="EW10">
        <v>0</v>
      </c>
      <c r="EX10">
        <v>0</v>
      </c>
      <c r="EY10" s="4">
        <v>126.666666666667</v>
      </c>
      <c r="EZ10">
        <v>0</v>
      </c>
      <c r="FA10">
        <v>0</v>
      </c>
      <c r="FB10">
        <v>0</v>
      </c>
      <c r="FC10">
        <v>0</v>
      </c>
      <c r="FD10">
        <v>0</v>
      </c>
      <c r="FE10">
        <v>68000</v>
      </c>
      <c r="FF10">
        <v>0</v>
      </c>
      <c r="FG10">
        <v>68000</v>
      </c>
      <c r="FH10">
        <v>0</v>
      </c>
      <c r="FI10" s="4">
        <v>1074839.84</v>
      </c>
      <c r="FJ10">
        <v>44270.45</v>
      </c>
      <c r="FK10">
        <v>44270.45</v>
      </c>
      <c r="FL10">
        <v>0</v>
      </c>
      <c r="FM10" s="4">
        <v>7180.36333333333</v>
      </c>
      <c r="FN10">
        <v>0</v>
      </c>
      <c r="FO10">
        <v>0</v>
      </c>
      <c r="FP10">
        <v>0</v>
      </c>
      <c r="FQ10">
        <v>0</v>
      </c>
      <c r="FR10">
        <v>7180.36333333333</v>
      </c>
      <c r="FS10">
        <v>0</v>
      </c>
      <c r="FT10">
        <v>49065.032</v>
      </c>
      <c r="FU10">
        <v>122662.58</v>
      </c>
      <c r="FV10">
        <v>18399.387</v>
      </c>
      <c r="FY10">
        <v>6133129</v>
      </c>
      <c r="FZ10">
        <v>6396549.20406667</v>
      </c>
      <c r="GA10">
        <v>1020933.70066667</v>
      </c>
      <c r="GB10">
        <v>5375615.5034</v>
      </c>
      <c r="GC10">
        <v>757513.496599998</v>
      </c>
      <c r="GD10">
        <v>0.123511750136023</v>
      </c>
      <c r="GE10">
        <v>-263420.204066671</v>
      </c>
      <c r="GF10">
        <v>-0.0429503772163722</v>
      </c>
      <c r="GJ10">
        <v>45614</v>
      </c>
      <c r="GL10">
        <v>45622</v>
      </c>
      <c r="GO10">
        <v>45626</v>
      </c>
      <c r="GR10" t="s">
        <v>694</v>
      </c>
      <c r="GU10" t="s">
        <v>694</v>
      </c>
      <c r="HA10">
        <v>45641</v>
      </c>
      <c r="HB10">
        <v>45652</v>
      </c>
      <c r="HE10">
        <v>37</v>
      </c>
      <c r="HF10">
        <v>3</v>
      </c>
      <c r="HG10">
        <v>11</v>
      </c>
      <c r="HH10">
        <v>23</v>
      </c>
      <c r="HK10">
        <v>237</v>
      </c>
      <c r="HL10">
        <v>51</v>
      </c>
      <c r="HM10">
        <v>25</v>
      </c>
      <c r="HN10">
        <v>47</v>
      </c>
      <c r="HO10">
        <v>2</v>
      </c>
      <c r="HP10">
        <v>24</v>
      </c>
      <c r="HQ10">
        <v>240</v>
      </c>
      <c r="HR10">
        <v>102</v>
      </c>
      <c r="HU10" s="10"/>
    </row>
    <row r="11" spans="1:229">
      <c r="A11" s="1">
        <f t="shared" si="0"/>
        <v>10</v>
      </c>
      <c r="B11" s="2">
        <v>2024</v>
      </c>
      <c r="C11" s="2" t="s">
        <v>703</v>
      </c>
      <c r="D11" s="2" t="s">
        <v>27</v>
      </c>
      <c r="E11" s="9">
        <v>70520</v>
      </c>
      <c r="F11" s="2" t="s">
        <v>699</v>
      </c>
      <c r="G11" s="2" t="s">
        <v>28</v>
      </c>
      <c r="H11" s="2" t="s">
        <v>692</v>
      </c>
      <c r="I11" s="2" t="s">
        <v>713</v>
      </c>
      <c r="J11" t="s">
        <v>308</v>
      </c>
      <c r="K11" t="s">
        <v>31</v>
      </c>
      <c r="L11" t="s">
        <v>32</v>
      </c>
      <c r="M11">
        <v>2</v>
      </c>
      <c r="N11">
        <v>3390</v>
      </c>
      <c r="O11" s="3">
        <v>3472</v>
      </c>
      <c r="P11" s="4">
        <v>0</v>
      </c>
      <c r="Q11" s="4">
        <v>0</v>
      </c>
      <c r="R11" s="4">
        <v>18</v>
      </c>
      <c r="S11" s="4">
        <v>10</v>
      </c>
      <c r="T11" s="4">
        <v>28</v>
      </c>
      <c r="U11" s="4">
        <v>28</v>
      </c>
      <c r="V11" s="4">
        <v>0</v>
      </c>
      <c r="W11" s="4">
        <v>0.933333333333333</v>
      </c>
      <c r="X11" s="4">
        <v>0.933333333333333</v>
      </c>
      <c r="Y11" s="3">
        <v>5046544</v>
      </c>
      <c r="Z11">
        <v>-1498994.57354048</v>
      </c>
      <c r="AA11">
        <v>6545538.57354048</v>
      </c>
      <c r="AB11">
        <v>876946.77875</v>
      </c>
      <c r="AC11">
        <v>443333.333333333</v>
      </c>
      <c r="AD11">
        <v>443333.333333333</v>
      </c>
      <c r="AE11">
        <v>0</v>
      </c>
      <c r="AF11">
        <v>34873.5275</v>
      </c>
      <c r="AG11">
        <v>34873.5275</v>
      </c>
      <c r="AH11">
        <v>0</v>
      </c>
      <c r="AI11">
        <v>16073.25125</v>
      </c>
      <c r="AJ11">
        <v>11876.0551388889</v>
      </c>
      <c r="AK11">
        <v>4019.38541666667</v>
      </c>
      <c r="AL11">
        <v>177.810694444445</v>
      </c>
      <c r="AM11">
        <v>0</v>
      </c>
      <c r="AN11">
        <v>0</v>
      </c>
      <c r="AO11">
        <v>0</v>
      </c>
      <c r="AP11">
        <v>0</v>
      </c>
      <c r="AQ11">
        <v>0</v>
      </c>
      <c r="AR11">
        <v>0</v>
      </c>
      <c r="AS11">
        <v>0</v>
      </c>
      <c r="AT11">
        <v>0</v>
      </c>
      <c r="AU11">
        <v>0</v>
      </c>
      <c r="AV11">
        <v>0</v>
      </c>
      <c r="AW11">
        <v>0</v>
      </c>
      <c r="AX11">
        <v>0</v>
      </c>
      <c r="AY11">
        <v>382666.666666667</v>
      </c>
      <c r="AZ11">
        <v>5668591.79479048</v>
      </c>
      <c r="BA11">
        <v>2192016.9646</v>
      </c>
      <c r="BB11">
        <v>53522.1216</v>
      </c>
      <c r="BC11">
        <v>53522.1216</v>
      </c>
      <c r="BD11">
        <v>0</v>
      </c>
      <c r="BE11">
        <v>0</v>
      </c>
      <c r="BF11">
        <v>377940</v>
      </c>
      <c r="BG11">
        <v>377940</v>
      </c>
      <c r="BH11">
        <v>0</v>
      </c>
      <c r="BI11">
        <v>12396.672</v>
      </c>
      <c r="BJ11">
        <v>940537</v>
      </c>
      <c r="BK11">
        <v>323233.23</v>
      </c>
      <c r="BL11">
        <v>44033.23</v>
      </c>
      <c r="BM11">
        <v>279200</v>
      </c>
      <c r="BN11">
        <v>92928.381</v>
      </c>
      <c r="BO11">
        <v>121960.63</v>
      </c>
      <c r="BP11">
        <v>44800</v>
      </c>
      <c r="BQ11">
        <v>0</v>
      </c>
      <c r="BR11">
        <v>0</v>
      </c>
      <c r="BS11">
        <v>77160.63</v>
      </c>
      <c r="BT11">
        <v>269498.93</v>
      </c>
      <c r="BU11">
        <v>218736</v>
      </c>
      <c r="BV11">
        <v>50762.93</v>
      </c>
      <c r="BW11">
        <v>0</v>
      </c>
      <c r="BX11">
        <v>0</v>
      </c>
      <c r="BY11">
        <v>264680.27</v>
      </c>
      <c r="BZ11">
        <v>126470.15</v>
      </c>
      <c r="CA11">
        <v>27535.99</v>
      </c>
      <c r="CB11">
        <v>24044.61</v>
      </c>
      <c r="CC11">
        <v>74889.55</v>
      </c>
      <c r="CD11">
        <v>138210.12</v>
      </c>
      <c r="CE11">
        <v>138210.12</v>
      </c>
      <c r="CF11">
        <v>0</v>
      </c>
      <c r="CG11">
        <v>0</v>
      </c>
      <c r="CH11">
        <v>3211894.56019048</v>
      </c>
      <c r="CI11">
        <v>443320</v>
      </c>
      <c r="CJ11">
        <v>0</v>
      </c>
      <c r="CK11">
        <v>0</v>
      </c>
      <c r="CL11">
        <v>188448</v>
      </c>
      <c r="CM11">
        <v>74472</v>
      </c>
      <c r="CN11">
        <v>32063</v>
      </c>
      <c r="CO11">
        <v>148337</v>
      </c>
      <c r="CP11">
        <v>364000</v>
      </c>
      <c r="CQ11">
        <v>13840.7971428571</v>
      </c>
      <c r="CR11">
        <v>1776.94</v>
      </c>
      <c r="CS11">
        <v>9863</v>
      </c>
      <c r="CT11">
        <v>0</v>
      </c>
      <c r="CU11">
        <v>458</v>
      </c>
      <c r="CV11">
        <v>0</v>
      </c>
      <c r="CW11">
        <v>0</v>
      </c>
      <c r="CX11">
        <v>1742.85714285714</v>
      </c>
      <c r="CY11">
        <v>17345.9271428571</v>
      </c>
      <c r="CZ11">
        <v>4873.78571428571</v>
      </c>
      <c r="DA11">
        <v>0</v>
      </c>
      <c r="DB11">
        <v>417.79</v>
      </c>
      <c r="DC11">
        <v>138.571428571429</v>
      </c>
      <c r="DD11">
        <v>0</v>
      </c>
      <c r="DE11">
        <v>5200</v>
      </c>
      <c r="DF11">
        <v>6715.78</v>
      </c>
      <c r="DG11">
        <v>0</v>
      </c>
      <c r="DH11" s="3">
        <v>239024</v>
      </c>
      <c r="DI11">
        <v>117615.4</v>
      </c>
      <c r="DJ11">
        <v>0</v>
      </c>
      <c r="DK11">
        <v>117615.4</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31818</v>
      </c>
      <c r="EG11">
        <v>0</v>
      </c>
      <c r="EH11">
        <v>18209</v>
      </c>
      <c r="EI11">
        <v>408974.6</v>
      </c>
      <c r="EJ11">
        <v>0</v>
      </c>
      <c r="EK11">
        <v>0</v>
      </c>
      <c r="EL11">
        <v>0</v>
      </c>
      <c r="EM11">
        <v>0</v>
      </c>
      <c r="EN11">
        <v>170000</v>
      </c>
      <c r="EO11">
        <v>20737.5</v>
      </c>
      <c r="EP11">
        <v>0</v>
      </c>
      <c r="EQ11">
        <v>20737.5</v>
      </c>
      <c r="ER11">
        <v>34020</v>
      </c>
      <c r="ES11">
        <v>0</v>
      </c>
      <c r="ET11">
        <v>0</v>
      </c>
      <c r="EU11">
        <v>4500</v>
      </c>
      <c r="EV11" s="4">
        <v>93.3333333333333</v>
      </c>
      <c r="EW11">
        <v>0</v>
      </c>
      <c r="EX11">
        <v>0</v>
      </c>
      <c r="EY11" s="4">
        <v>93.3333333333333</v>
      </c>
      <c r="EZ11">
        <v>0</v>
      </c>
      <c r="FA11">
        <v>0</v>
      </c>
      <c r="FB11">
        <v>0</v>
      </c>
      <c r="FC11">
        <v>0</v>
      </c>
      <c r="FD11">
        <v>0</v>
      </c>
      <c r="FE11">
        <v>121304</v>
      </c>
      <c r="FF11">
        <v>0</v>
      </c>
      <c r="FG11">
        <v>121304</v>
      </c>
      <c r="FH11">
        <v>0</v>
      </c>
      <c r="FI11" s="4">
        <v>994632.67</v>
      </c>
      <c r="FJ11">
        <v>41212.04</v>
      </c>
      <c r="FK11">
        <v>41212.04</v>
      </c>
      <c r="FL11">
        <v>0</v>
      </c>
      <c r="FM11" s="4">
        <v>14804.4285714286</v>
      </c>
      <c r="FN11">
        <v>0</v>
      </c>
      <c r="FO11">
        <v>0</v>
      </c>
      <c r="FP11">
        <v>0</v>
      </c>
      <c r="FQ11">
        <v>0</v>
      </c>
      <c r="FR11">
        <v>14804.4285714286</v>
      </c>
      <c r="FS11">
        <v>0</v>
      </c>
      <c r="FT11">
        <v>40372.352</v>
      </c>
      <c r="FU11">
        <v>100930.88</v>
      </c>
      <c r="FV11">
        <v>15139.632</v>
      </c>
      <c r="FY11">
        <v>5046544</v>
      </c>
      <c r="FZ11">
        <v>6545538.57354048</v>
      </c>
      <c r="GA11">
        <v>876946.77875</v>
      </c>
      <c r="GB11">
        <v>5668591.79479048</v>
      </c>
      <c r="GC11">
        <v>-622047.794790477</v>
      </c>
      <c r="GD11">
        <v>-0.123262136382934</v>
      </c>
      <c r="GE11">
        <v>-1498994.57354048</v>
      </c>
      <c r="GF11">
        <v>-0.297033885673141</v>
      </c>
      <c r="GJ11">
        <v>45305</v>
      </c>
      <c r="GL11">
        <v>45312</v>
      </c>
      <c r="GO11">
        <v>45316</v>
      </c>
      <c r="GR11" t="s">
        <v>694</v>
      </c>
      <c r="GU11" t="s">
        <v>694</v>
      </c>
      <c r="HA11">
        <v>45330</v>
      </c>
      <c r="HB11">
        <v>45340</v>
      </c>
      <c r="HE11">
        <v>45</v>
      </c>
      <c r="HF11">
        <v>5</v>
      </c>
      <c r="HG11">
        <v>14</v>
      </c>
      <c r="HH11">
        <v>26</v>
      </c>
      <c r="HK11">
        <v>213</v>
      </c>
      <c r="HL11">
        <v>61</v>
      </c>
      <c r="HM11">
        <v>87</v>
      </c>
      <c r="HN11">
        <v>0</v>
      </c>
      <c r="HO11">
        <v>0</v>
      </c>
      <c r="HP11">
        <v>0</v>
      </c>
      <c r="HQ11">
        <v>163</v>
      </c>
      <c r="HR11">
        <v>137</v>
      </c>
      <c r="HU11" s="10"/>
    </row>
    <row r="12" spans="1:229">
      <c r="A12" s="1">
        <f t="shared" si="0"/>
        <v>11</v>
      </c>
      <c r="B12" s="2">
        <v>2024</v>
      </c>
      <c r="C12" s="2" t="s">
        <v>33</v>
      </c>
      <c r="D12" s="2" t="s">
        <v>27</v>
      </c>
      <c r="E12" s="9">
        <v>50528</v>
      </c>
      <c r="F12" s="2" t="s">
        <v>696</v>
      </c>
      <c r="G12" s="2" t="s">
        <v>36</v>
      </c>
      <c r="H12" s="2" t="s">
        <v>692</v>
      </c>
      <c r="I12" s="2" t="s">
        <v>714</v>
      </c>
      <c r="J12" t="s">
        <v>309</v>
      </c>
      <c r="K12" t="s">
        <v>31</v>
      </c>
      <c r="L12" t="s">
        <v>32</v>
      </c>
      <c r="M12">
        <v>2</v>
      </c>
      <c r="N12">
        <v>3722</v>
      </c>
      <c r="O12" s="3">
        <v>3737</v>
      </c>
      <c r="P12" s="4">
        <v>6</v>
      </c>
      <c r="Q12" s="4">
        <v>0</v>
      </c>
      <c r="R12" s="4">
        <v>24</v>
      </c>
      <c r="S12" s="4">
        <v>6</v>
      </c>
      <c r="T12" s="4">
        <v>30</v>
      </c>
      <c r="U12" s="4">
        <v>36</v>
      </c>
      <c r="V12" s="4">
        <v>0</v>
      </c>
      <c r="W12" s="4">
        <v>1</v>
      </c>
      <c r="X12" s="4">
        <v>1.2</v>
      </c>
      <c r="Y12" s="3">
        <v>7938979</v>
      </c>
      <c r="Z12">
        <v>1252145.44086667</v>
      </c>
      <c r="AA12">
        <v>6686833.55913333</v>
      </c>
      <c r="AB12">
        <v>967200.348</v>
      </c>
      <c r="AC12">
        <v>420000</v>
      </c>
      <c r="AD12">
        <v>420000</v>
      </c>
      <c r="AE12">
        <v>0</v>
      </c>
      <c r="AF12">
        <v>40249.157</v>
      </c>
      <c r="AG12">
        <v>40249.157</v>
      </c>
      <c r="AH12">
        <v>0</v>
      </c>
      <c r="AI12">
        <v>14951.191</v>
      </c>
      <c r="AJ12">
        <v>6617.79</v>
      </c>
      <c r="AK12">
        <v>6066.617</v>
      </c>
      <c r="AL12">
        <v>2266.784</v>
      </c>
      <c r="AM12">
        <v>0</v>
      </c>
      <c r="AN12">
        <v>0</v>
      </c>
      <c r="AO12">
        <v>0</v>
      </c>
      <c r="AP12">
        <v>0</v>
      </c>
      <c r="AQ12">
        <v>0</v>
      </c>
      <c r="AR12">
        <v>0</v>
      </c>
      <c r="AS12">
        <v>0</v>
      </c>
      <c r="AT12">
        <v>0</v>
      </c>
      <c r="AU12">
        <v>0</v>
      </c>
      <c r="AV12">
        <v>0</v>
      </c>
      <c r="AW12">
        <v>0</v>
      </c>
      <c r="AX12">
        <v>0</v>
      </c>
      <c r="AY12">
        <v>492000</v>
      </c>
      <c r="AZ12">
        <v>5719633.21113333</v>
      </c>
      <c r="BA12">
        <v>1720797.1288</v>
      </c>
      <c r="BB12">
        <v>146436.9948</v>
      </c>
      <c r="BC12">
        <v>146436.9948</v>
      </c>
      <c r="BD12">
        <v>0</v>
      </c>
      <c r="BE12">
        <v>0</v>
      </c>
      <c r="BF12">
        <v>322170</v>
      </c>
      <c r="BG12">
        <v>322170</v>
      </c>
      <c r="BH12">
        <v>0</v>
      </c>
      <c r="BI12">
        <v>33225.984</v>
      </c>
      <c r="BJ12">
        <v>400582</v>
      </c>
      <c r="BK12">
        <v>343090.51</v>
      </c>
      <c r="BL12">
        <v>120480.1</v>
      </c>
      <c r="BM12">
        <v>222610.41</v>
      </c>
      <c r="BN12">
        <v>73766.46</v>
      </c>
      <c r="BO12">
        <v>124047.87</v>
      </c>
      <c r="BP12">
        <v>48000</v>
      </c>
      <c r="BQ12">
        <v>0</v>
      </c>
      <c r="BR12">
        <v>0</v>
      </c>
      <c r="BS12">
        <v>76047.87</v>
      </c>
      <c r="BT12">
        <v>277477.31</v>
      </c>
      <c r="BU12">
        <v>235431</v>
      </c>
      <c r="BV12">
        <v>42046.31</v>
      </c>
      <c r="BW12">
        <v>0</v>
      </c>
      <c r="BX12">
        <v>0</v>
      </c>
      <c r="BY12">
        <v>322831.32</v>
      </c>
      <c r="BZ12">
        <v>313750.25</v>
      </c>
      <c r="CA12">
        <v>261405.9</v>
      </c>
      <c r="CB12">
        <v>25670.06</v>
      </c>
      <c r="CC12">
        <v>26674.29</v>
      </c>
      <c r="CD12">
        <v>9081.07</v>
      </c>
      <c r="CE12">
        <v>0</v>
      </c>
      <c r="CF12">
        <v>9081.07</v>
      </c>
      <c r="CG12">
        <v>0</v>
      </c>
      <c r="CH12">
        <v>3676004.76233333</v>
      </c>
      <c r="CI12">
        <v>355549</v>
      </c>
      <c r="CJ12">
        <v>0</v>
      </c>
      <c r="CK12">
        <v>0</v>
      </c>
      <c r="CL12">
        <v>174499</v>
      </c>
      <c r="CM12">
        <v>77828</v>
      </c>
      <c r="CN12">
        <v>28976</v>
      </c>
      <c r="CO12">
        <v>74246</v>
      </c>
      <c r="CP12">
        <v>414000</v>
      </c>
      <c r="CQ12">
        <v>20545.76</v>
      </c>
      <c r="CR12">
        <v>4264.66</v>
      </c>
      <c r="CS12">
        <v>14893.1</v>
      </c>
      <c r="CT12">
        <v>0</v>
      </c>
      <c r="CU12">
        <v>588</v>
      </c>
      <c r="CV12">
        <v>0</v>
      </c>
      <c r="CW12">
        <v>0</v>
      </c>
      <c r="CX12">
        <v>800</v>
      </c>
      <c r="CY12">
        <v>25625.18</v>
      </c>
      <c r="CZ12">
        <v>1686.25</v>
      </c>
      <c r="DA12">
        <v>0</v>
      </c>
      <c r="DB12">
        <v>400</v>
      </c>
      <c r="DC12">
        <v>36.6666666666667</v>
      </c>
      <c r="DD12">
        <v>0</v>
      </c>
      <c r="DE12">
        <v>21300</v>
      </c>
      <c r="DF12">
        <v>2202.26333333333</v>
      </c>
      <c r="DG12">
        <v>0</v>
      </c>
      <c r="DH12" s="3">
        <v>202152</v>
      </c>
      <c r="DI12">
        <v>113535.2</v>
      </c>
      <c r="DJ12">
        <v>0</v>
      </c>
      <c r="DK12">
        <v>113535.2</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37272</v>
      </c>
      <c r="EG12">
        <v>0</v>
      </c>
      <c r="EH12">
        <v>0</v>
      </c>
      <c r="EI12">
        <v>712484.7</v>
      </c>
      <c r="EJ12">
        <v>0</v>
      </c>
      <c r="EK12">
        <v>0</v>
      </c>
      <c r="EL12">
        <v>0</v>
      </c>
      <c r="EM12">
        <v>0</v>
      </c>
      <c r="EN12">
        <v>75180</v>
      </c>
      <c r="EO12">
        <v>14141</v>
      </c>
      <c r="EP12">
        <v>0</v>
      </c>
      <c r="EQ12">
        <v>14141</v>
      </c>
      <c r="ER12">
        <v>35964</v>
      </c>
      <c r="ES12">
        <v>0</v>
      </c>
      <c r="ET12">
        <v>0</v>
      </c>
      <c r="EU12">
        <v>0</v>
      </c>
      <c r="EV12" s="4">
        <v>120</v>
      </c>
      <c r="EW12">
        <v>0</v>
      </c>
      <c r="EX12">
        <v>0</v>
      </c>
      <c r="EY12" s="4">
        <v>120</v>
      </c>
      <c r="EZ12">
        <v>0</v>
      </c>
      <c r="FA12">
        <v>0</v>
      </c>
      <c r="FB12">
        <v>0</v>
      </c>
      <c r="FC12">
        <v>0</v>
      </c>
      <c r="FD12">
        <v>0</v>
      </c>
      <c r="FE12">
        <v>151587</v>
      </c>
      <c r="FF12">
        <v>0</v>
      </c>
      <c r="FG12">
        <v>151587</v>
      </c>
      <c r="FH12">
        <v>0</v>
      </c>
      <c r="FI12" s="4">
        <v>1220289.76</v>
      </c>
      <c r="FJ12">
        <v>44270.45</v>
      </c>
      <c r="FK12">
        <v>44270.45</v>
      </c>
      <c r="FL12">
        <v>0</v>
      </c>
      <c r="FM12" s="4">
        <v>7180.36333333333</v>
      </c>
      <c r="FN12">
        <v>0</v>
      </c>
      <c r="FO12">
        <v>0</v>
      </c>
      <c r="FP12">
        <v>0</v>
      </c>
      <c r="FQ12">
        <v>0</v>
      </c>
      <c r="FR12">
        <v>7180.36333333333</v>
      </c>
      <c r="FS12">
        <v>0</v>
      </c>
      <c r="FT12">
        <v>63511.832</v>
      </c>
      <c r="FU12">
        <v>158779.58</v>
      </c>
      <c r="FV12">
        <v>23816.937</v>
      </c>
      <c r="FY12">
        <v>7938979</v>
      </c>
      <c r="FZ12">
        <v>6686833.55913333</v>
      </c>
      <c r="GA12">
        <v>967200.348</v>
      </c>
      <c r="GB12">
        <v>5719633.21113333</v>
      </c>
      <c r="GC12">
        <v>2219345.78886667</v>
      </c>
      <c r="GD12">
        <v>0.279550530221414</v>
      </c>
      <c r="GE12">
        <v>1252145.44086667</v>
      </c>
      <c r="GF12">
        <v>0.157721218416961</v>
      </c>
      <c r="GJ12">
        <v>45344</v>
      </c>
      <c r="GL12">
        <v>45350</v>
      </c>
      <c r="GO12">
        <v>45363</v>
      </c>
      <c r="GR12" t="s">
        <v>694</v>
      </c>
      <c r="GU12" t="s">
        <v>694</v>
      </c>
      <c r="HA12">
        <v>45374</v>
      </c>
      <c r="HB12">
        <v>45380</v>
      </c>
      <c r="HE12">
        <v>37</v>
      </c>
      <c r="HF12">
        <v>2</v>
      </c>
      <c r="HG12">
        <v>12</v>
      </c>
      <c r="HH12">
        <v>23</v>
      </c>
      <c r="HK12">
        <v>154</v>
      </c>
      <c r="HL12">
        <v>70</v>
      </c>
      <c r="HM12">
        <v>79</v>
      </c>
      <c r="HN12">
        <v>0</v>
      </c>
      <c r="HO12">
        <v>0</v>
      </c>
      <c r="HP12">
        <v>0</v>
      </c>
      <c r="HQ12">
        <v>152</v>
      </c>
      <c r="HR12">
        <v>54</v>
      </c>
      <c r="HU12" s="10"/>
    </row>
    <row r="13" spans="1:229">
      <c r="A13" s="1">
        <f t="shared" si="0"/>
        <v>12</v>
      </c>
      <c r="B13" s="2">
        <v>2024</v>
      </c>
      <c r="C13" s="2" t="s">
        <v>703</v>
      </c>
      <c r="D13" s="2" t="s">
        <v>27</v>
      </c>
      <c r="E13" s="9" t="s">
        <v>705</v>
      </c>
      <c r="F13" s="2" t="s">
        <v>706</v>
      </c>
      <c r="G13" s="2" t="s">
        <v>28</v>
      </c>
      <c r="H13" s="2" t="s">
        <v>692</v>
      </c>
      <c r="I13" s="2" t="s">
        <v>715</v>
      </c>
      <c r="J13" t="s">
        <v>30</v>
      </c>
      <c r="K13" t="s">
        <v>31</v>
      </c>
      <c r="L13" t="s">
        <v>32</v>
      </c>
      <c r="M13">
        <v>3</v>
      </c>
      <c r="N13">
        <v>3818</v>
      </c>
      <c r="O13" s="3">
        <v>3894</v>
      </c>
      <c r="P13" s="4">
        <v>13</v>
      </c>
      <c r="Q13" s="4">
        <v>0</v>
      </c>
      <c r="R13" s="4">
        <v>21</v>
      </c>
      <c r="S13" s="4">
        <v>8</v>
      </c>
      <c r="T13" s="4">
        <v>29</v>
      </c>
      <c r="U13" s="4">
        <v>42</v>
      </c>
      <c r="V13" s="4">
        <v>0</v>
      </c>
      <c r="W13" s="4">
        <v>0.966666666666667</v>
      </c>
      <c r="X13" s="4">
        <v>1.4</v>
      </c>
      <c r="Y13" s="3">
        <v>10245520</v>
      </c>
      <c r="Z13">
        <v>54155.5210291948</v>
      </c>
      <c r="AA13">
        <v>10191364.4789708</v>
      </c>
      <c r="AB13">
        <v>1496139.32078024</v>
      </c>
      <c r="AC13">
        <v>455000</v>
      </c>
      <c r="AD13">
        <v>455000</v>
      </c>
      <c r="AE13">
        <v>0</v>
      </c>
      <c r="AF13">
        <v>333713.245833334</v>
      </c>
      <c r="AG13">
        <v>189684.682833334</v>
      </c>
      <c r="AH13">
        <v>144028.563</v>
      </c>
      <c r="AI13">
        <v>15283.7463333333</v>
      </c>
      <c r="AJ13">
        <v>4544.78966666666</v>
      </c>
      <c r="AK13">
        <v>4519.487</v>
      </c>
      <c r="AL13">
        <v>6219.46966666666</v>
      </c>
      <c r="AM13">
        <v>118142.328613569</v>
      </c>
      <c r="AN13">
        <v>118142.328613569</v>
      </c>
      <c r="AO13">
        <v>0</v>
      </c>
      <c r="AP13">
        <v>0</v>
      </c>
      <c r="AQ13">
        <v>0</v>
      </c>
      <c r="AR13">
        <v>0</v>
      </c>
      <c r="AS13">
        <v>0</v>
      </c>
      <c r="AT13">
        <v>0</v>
      </c>
      <c r="AU13">
        <v>0</v>
      </c>
      <c r="AV13">
        <v>0</v>
      </c>
      <c r="AW13">
        <v>0</v>
      </c>
      <c r="AX13">
        <v>0</v>
      </c>
      <c r="AY13">
        <v>574000</v>
      </c>
      <c r="AZ13">
        <v>8695225.15819057</v>
      </c>
      <c r="BA13">
        <v>2949997.1922</v>
      </c>
      <c r="BB13">
        <v>248572.0332</v>
      </c>
      <c r="BC13">
        <v>248572.0332</v>
      </c>
      <c r="BD13">
        <v>0</v>
      </c>
      <c r="BE13">
        <v>0</v>
      </c>
      <c r="BF13">
        <v>535472</v>
      </c>
      <c r="BG13">
        <v>535472</v>
      </c>
      <c r="BH13">
        <v>0</v>
      </c>
      <c r="BI13">
        <v>68189.04</v>
      </c>
      <c r="BJ13">
        <v>1050608</v>
      </c>
      <c r="BK13">
        <v>34426.69</v>
      </c>
      <c r="BL13">
        <v>34426.69</v>
      </c>
      <c r="BM13">
        <v>0</v>
      </c>
      <c r="BN13">
        <v>579252.249</v>
      </c>
      <c r="BO13">
        <v>139904.39</v>
      </c>
      <c r="BP13">
        <v>46400</v>
      </c>
      <c r="BQ13">
        <v>0</v>
      </c>
      <c r="BR13">
        <v>0</v>
      </c>
      <c r="BS13">
        <v>93504.39</v>
      </c>
      <c r="BT13">
        <v>293572.79</v>
      </c>
      <c r="BU13">
        <v>245322</v>
      </c>
      <c r="BV13">
        <v>48250.79</v>
      </c>
      <c r="BW13">
        <v>0</v>
      </c>
      <c r="BX13">
        <v>0</v>
      </c>
      <c r="BY13">
        <v>576998.75</v>
      </c>
      <c r="BZ13">
        <v>576998.75</v>
      </c>
      <c r="CA13">
        <v>67115.56</v>
      </c>
      <c r="CB13">
        <v>335715.55</v>
      </c>
      <c r="CC13">
        <v>174167.64</v>
      </c>
      <c r="CD13">
        <v>0</v>
      </c>
      <c r="CE13">
        <v>0</v>
      </c>
      <c r="CF13">
        <v>0</v>
      </c>
      <c r="CG13">
        <v>0</v>
      </c>
      <c r="CH13">
        <v>5168229.21599057</v>
      </c>
      <c r="CI13">
        <v>631611</v>
      </c>
      <c r="CJ13">
        <v>0</v>
      </c>
      <c r="CK13">
        <v>0</v>
      </c>
      <c r="CL13">
        <v>225142</v>
      </c>
      <c r="CM13">
        <v>230954</v>
      </c>
      <c r="CN13">
        <v>37052</v>
      </c>
      <c r="CO13">
        <v>138463</v>
      </c>
      <c r="CP13">
        <v>504000</v>
      </c>
      <c r="CQ13">
        <v>14827.25</v>
      </c>
      <c r="CR13">
        <v>3553.88</v>
      </c>
      <c r="CS13">
        <v>8806.87</v>
      </c>
      <c r="CT13">
        <v>0</v>
      </c>
      <c r="CU13">
        <v>1266.5</v>
      </c>
      <c r="CV13">
        <v>0</v>
      </c>
      <c r="CW13">
        <v>0</v>
      </c>
      <c r="CX13">
        <v>1200</v>
      </c>
      <c r="CY13">
        <v>9619.56599056604</v>
      </c>
      <c r="CZ13">
        <v>5783.875</v>
      </c>
      <c r="DA13">
        <v>0</v>
      </c>
      <c r="DB13">
        <v>455.1875</v>
      </c>
      <c r="DC13">
        <v>270</v>
      </c>
      <c r="DD13">
        <v>0</v>
      </c>
      <c r="DE13">
        <v>0</v>
      </c>
      <c r="DF13">
        <v>3110.50349056604</v>
      </c>
      <c r="DG13">
        <v>0</v>
      </c>
      <c r="DH13" s="3">
        <v>299718</v>
      </c>
      <c r="DI13">
        <v>104127.4</v>
      </c>
      <c r="DJ13">
        <v>0</v>
      </c>
      <c r="DK13">
        <v>104127.4</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51209</v>
      </c>
      <c r="EG13">
        <v>0</v>
      </c>
      <c r="EH13">
        <v>12139</v>
      </c>
      <c r="EI13">
        <v>738660.43</v>
      </c>
      <c r="EJ13">
        <v>0</v>
      </c>
      <c r="EK13">
        <v>0</v>
      </c>
      <c r="EL13">
        <v>0</v>
      </c>
      <c r="EM13">
        <v>0</v>
      </c>
      <c r="EN13">
        <v>160000</v>
      </c>
      <c r="EO13">
        <v>18723</v>
      </c>
      <c r="EP13">
        <v>0</v>
      </c>
      <c r="EQ13">
        <v>18723</v>
      </c>
      <c r="ER13">
        <v>41958</v>
      </c>
      <c r="ES13">
        <v>0</v>
      </c>
      <c r="ET13">
        <v>0</v>
      </c>
      <c r="EU13">
        <v>3600</v>
      </c>
      <c r="EV13" s="4">
        <v>140</v>
      </c>
      <c r="EW13">
        <v>0</v>
      </c>
      <c r="EX13">
        <v>0</v>
      </c>
      <c r="EY13" s="4">
        <v>140</v>
      </c>
      <c r="EZ13">
        <v>0</v>
      </c>
      <c r="FA13">
        <v>0</v>
      </c>
      <c r="FB13">
        <v>0</v>
      </c>
      <c r="FC13">
        <v>0</v>
      </c>
      <c r="FD13">
        <v>0</v>
      </c>
      <c r="FE13">
        <v>118708</v>
      </c>
      <c r="FF13">
        <v>0</v>
      </c>
      <c r="FG13">
        <v>118708</v>
      </c>
      <c r="FH13">
        <v>0</v>
      </c>
      <c r="FI13" s="4">
        <v>1995653.16</v>
      </c>
      <c r="FJ13">
        <v>137499.29</v>
      </c>
      <c r="FK13">
        <v>137499.29</v>
      </c>
      <c r="FL13">
        <v>0</v>
      </c>
      <c r="FM13" s="4">
        <v>8425</v>
      </c>
      <c r="FN13">
        <v>0</v>
      </c>
      <c r="FO13">
        <v>0</v>
      </c>
      <c r="FP13">
        <v>0</v>
      </c>
      <c r="FQ13">
        <v>0</v>
      </c>
      <c r="FR13">
        <v>8425</v>
      </c>
      <c r="FS13">
        <v>0</v>
      </c>
      <c r="FT13">
        <v>81964.16</v>
      </c>
      <c r="FU13">
        <v>204910.4</v>
      </c>
      <c r="FV13">
        <v>30736.56</v>
      </c>
      <c r="FY13">
        <v>10245520</v>
      </c>
      <c r="FZ13">
        <v>10191364.4789708</v>
      </c>
      <c r="GA13">
        <v>1496139.32078024</v>
      </c>
      <c r="GB13">
        <v>8695225.15819057</v>
      </c>
      <c r="GC13">
        <v>1550294.84180943</v>
      </c>
      <c r="GD13">
        <v>0.151314412719846</v>
      </c>
      <c r="GE13">
        <v>54155.5210291948</v>
      </c>
      <c r="GF13">
        <v>0.00528577573702407</v>
      </c>
      <c r="GJ13">
        <v>45304</v>
      </c>
      <c r="GL13">
        <v>45317</v>
      </c>
      <c r="GO13">
        <v>45321</v>
      </c>
      <c r="GR13">
        <v>45330</v>
      </c>
      <c r="GU13" t="s">
        <v>694</v>
      </c>
      <c r="HA13">
        <v>45338</v>
      </c>
      <c r="HB13">
        <v>45346</v>
      </c>
      <c r="HE13">
        <v>37</v>
      </c>
      <c r="HF13">
        <v>5</v>
      </c>
      <c r="HG13">
        <v>8</v>
      </c>
      <c r="HH13">
        <v>24</v>
      </c>
      <c r="HK13">
        <v>185</v>
      </c>
      <c r="HL13">
        <v>34</v>
      </c>
      <c r="HM13">
        <v>76</v>
      </c>
      <c r="HN13">
        <v>0</v>
      </c>
      <c r="HO13">
        <v>0</v>
      </c>
      <c r="HP13">
        <v>0</v>
      </c>
      <c r="HQ13">
        <v>279</v>
      </c>
      <c r="HR13">
        <v>121</v>
      </c>
      <c r="HU13" s="10"/>
    </row>
    <row r="14" spans="1:229">
      <c r="A14" s="1">
        <f t="shared" si="0"/>
        <v>13</v>
      </c>
      <c r="B14" s="2">
        <v>2024</v>
      </c>
      <c r="C14" s="2" t="s">
        <v>26</v>
      </c>
      <c r="D14" s="2" t="s">
        <v>27</v>
      </c>
      <c r="E14" s="9">
        <v>50528</v>
      </c>
      <c r="F14" s="2" t="s">
        <v>696</v>
      </c>
      <c r="G14" s="2" t="s">
        <v>36</v>
      </c>
      <c r="H14" s="2" t="s">
        <v>692</v>
      </c>
      <c r="I14" s="2" t="s">
        <v>716</v>
      </c>
      <c r="J14" t="s">
        <v>30</v>
      </c>
      <c r="K14" t="s">
        <v>31</v>
      </c>
      <c r="L14" t="s">
        <v>32</v>
      </c>
      <c r="M14">
        <v>3</v>
      </c>
      <c r="N14">
        <v>3853</v>
      </c>
      <c r="O14" s="3">
        <v>3918</v>
      </c>
      <c r="P14" s="4">
        <v>9</v>
      </c>
      <c r="Q14" s="4">
        <v>0</v>
      </c>
      <c r="R14" s="4">
        <v>32</v>
      </c>
      <c r="S14" s="4">
        <v>7</v>
      </c>
      <c r="T14" s="4">
        <v>39</v>
      </c>
      <c r="U14" s="4">
        <v>48</v>
      </c>
      <c r="V14" s="4">
        <v>0</v>
      </c>
      <c r="W14" s="4">
        <v>1.3</v>
      </c>
      <c r="X14" s="4">
        <v>1.6</v>
      </c>
      <c r="Y14" s="3">
        <v>9384117</v>
      </c>
      <c r="Z14">
        <v>-964785.998456933</v>
      </c>
      <c r="AA14">
        <v>10348902.9984569</v>
      </c>
      <c r="AB14">
        <v>1289600.464</v>
      </c>
      <c r="AC14">
        <v>560000</v>
      </c>
      <c r="AD14">
        <v>560000</v>
      </c>
      <c r="AE14">
        <v>0</v>
      </c>
      <c r="AF14">
        <v>53665.5426666667</v>
      </c>
      <c r="AG14">
        <v>53665.5426666667</v>
      </c>
      <c r="AH14">
        <v>0</v>
      </c>
      <c r="AI14">
        <v>19934.9213333333</v>
      </c>
      <c r="AJ14">
        <v>8823.72</v>
      </c>
      <c r="AK14">
        <v>8088.82266666667</v>
      </c>
      <c r="AL14">
        <v>3022.37866666667</v>
      </c>
      <c r="AM14">
        <v>0</v>
      </c>
      <c r="AN14">
        <v>0</v>
      </c>
      <c r="AO14">
        <v>0</v>
      </c>
      <c r="AP14">
        <v>0</v>
      </c>
      <c r="AQ14">
        <v>0</v>
      </c>
      <c r="AR14">
        <v>0</v>
      </c>
      <c r="AS14">
        <v>0</v>
      </c>
      <c r="AT14">
        <v>0</v>
      </c>
      <c r="AU14">
        <v>0</v>
      </c>
      <c r="AV14">
        <v>0</v>
      </c>
      <c r="AW14">
        <v>0</v>
      </c>
      <c r="AX14">
        <v>0</v>
      </c>
      <c r="AY14">
        <v>656000</v>
      </c>
      <c r="AZ14">
        <v>9059302.53445693</v>
      </c>
      <c r="BA14">
        <v>3277016.1341236</v>
      </c>
      <c r="BB14">
        <v>148955.638</v>
      </c>
      <c r="BC14">
        <v>120969.558</v>
      </c>
      <c r="BD14">
        <v>27986.08</v>
      </c>
      <c r="BE14">
        <v>0</v>
      </c>
      <c r="BF14">
        <v>601477</v>
      </c>
      <c r="BG14">
        <v>601477</v>
      </c>
      <c r="BH14">
        <v>0</v>
      </c>
      <c r="BI14">
        <v>15499.512</v>
      </c>
      <c r="BJ14">
        <v>1444721</v>
      </c>
      <c r="BK14">
        <v>41678.4</v>
      </c>
      <c r="BL14">
        <v>41678.4</v>
      </c>
      <c r="BM14">
        <v>0</v>
      </c>
      <c r="BN14">
        <v>541923.5541236</v>
      </c>
      <c r="BO14">
        <v>161066.78</v>
      </c>
      <c r="BP14">
        <v>62400</v>
      </c>
      <c r="BQ14">
        <v>0</v>
      </c>
      <c r="BR14">
        <v>0</v>
      </c>
      <c r="BS14">
        <v>98666.78</v>
      </c>
      <c r="BT14">
        <v>321694.25</v>
      </c>
      <c r="BU14">
        <v>246834</v>
      </c>
      <c r="BV14">
        <v>74860.25</v>
      </c>
      <c r="BW14">
        <v>0</v>
      </c>
      <c r="BX14">
        <v>0</v>
      </c>
      <c r="BY14">
        <v>217211.76</v>
      </c>
      <c r="BZ14">
        <v>217211.76</v>
      </c>
      <c r="CA14">
        <v>33515.93</v>
      </c>
      <c r="CB14">
        <v>16924.72</v>
      </c>
      <c r="CC14">
        <v>166771.11</v>
      </c>
      <c r="CD14">
        <v>0</v>
      </c>
      <c r="CE14">
        <v>0</v>
      </c>
      <c r="CF14">
        <v>0</v>
      </c>
      <c r="CG14">
        <v>0</v>
      </c>
      <c r="CH14">
        <v>5565074.64033333</v>
      </c>
      <c r="CI14">
        <v>558931</v>
      </c>
      <c r="CJ14">
        <v>0</v>
      </c>
      <c r="CK14">
        <v>0</v>
      </c>
      <c r="CL14">
        <v>124328</v>
      </c>
      <c r="CM14">
        <v>204557</v>
      </c>
      <c r="CN14">
        <v>61277</v>
      </c>
      <c r="CO14">
        <v>168769</v>
      </c>
      <c r="CP14">
        <v>576000</v>
      </c>
      <c r="CQ14">
        <v>14657.85</v>
      </c>
      <c r="CR14">
        <v>4264.66</v>
      </c>
      <c r="CS14">
        <v>9005.19</v>
      </c>
      <c r="CT14">
        <v>0</v>
      </c>
      <c r="CU14">
        <v>588</v>
      </c>
      <c r="CV14">
        <v>0</v>
      </c>
      <c r="CW14">
        <v>0</v>
      </c>
      <c r="CX14">
        <v>800</v>
      </c>
      <c r="CY14">
        <v>36225.18</v>
      </c>
      <c r="CZ14">
        <v>1686.25</v>
      </c>
      <c r="DA14">
        <v>0</v>
      </c>
      <c r="DB14">
        <v>400</v>
      </c>
      <c r="DC14">
        <v>36.6666666666667</v>
      </c>
      <c r="DD14">
        <v>0</v>
      </c>
      <c r="DE14">
        <v>31900</v>
      </c>
      <c r="DF14">
        <v>2202.26333333333</v>
      </c>
      <c r="DG14">
        <v>0</v>
      </c>
      <c r="DH14" s="3">
        <v>709601</v>
      </c>
      <c r="DI14">
        <v>166522.9</v>
      </c>
      <c r="DJ14">
        <v>0</v>
      </c>
      <c r="DK14">
        <v>0</v>
      </c>
      <c r="DL14">
        <v>0</v>
      </c>
      <c r="DM14">
        <v>0</v>
      </c>
      <c r="DN14">
        <v>0</v>
      </c>
      <c r="DO14">
        <v>120000</v>
      </c>
      <c r="DP14">
        <v>46522.9</v>
      </c>
      <c r="DQ14">
        <v>0</v>
      </c>
      <c r="DR14">
        <v>0</v>
      </c>
      <c r="DS14">
        <v>0</v>
      </c>
      <c r="DT14">
        <v>0</v>
      </c>
      <c r="DU14">
        <v>0</v>
      </c>
      <c r="DV14">
        <v>0</v>
      </c>
      <c r="DW14">
        <v>0</v>
      </c>
      <c r="DX14">
        <v>0</v>
      </c>
      <c r="DY14">
        <v>0</v>
      </c>
      <c r="DZ14">
        <v>0</v>
      </c>
      <c r="EA14">
        <v>0</v>
      </c>
      <c r="EB14">
        <v>0</v>
      </c>
      <c r="EC14">
        <v>0</v>
      </c>
      <c r="ED14">
        <v>0</v>
      </c>
      <c r="EE14">
        <v>0</v>
      </c>
      <c r="EF14">
        <v>55525</v>
      </c>
      <c r="EG14">
        <v>0</v>
      </c>
      <c r="EH14">
        <v>19148</v>
      </c>
      <c r="EI14">
        <v>924179.35</v>
      </c>
      <c r="EJ14">
        <v>0</v>
      </c>
      <c r="EK14">
        <v>0</v>
      </c>
      <c r="EL14">
        <v>80110</v>
      </c>
      <c r="EM14">
        <v>0</v>
      </c>
      <c r="EN14">
        <v>0</v>
      </c>
      <c r="EO14">
        <v>14141</v>
      </c>
      <c r="EP14">
        <v>0</v>
      </c>
      <c r="EQ14">
        <v>14141</v>
      </c>
      <c r="ER14">
        <v>49248</v>
      </c>
      <c r="ES14">
        <v>0</v>
      </c>
      <c r="ET14">
        <v>0</v>
      </c>
      <c r="EU14">
        <v>0</v>
      </c>
      <c r="EV14" s="4">
        <v>160</v>
      </c>
      <c r="EW14">
        <v>0</v>
      </c>
      <c r="EX14">
        <v>0</v>
      </c>
      <c r="EY14" s="4">
        <v>160</v>
      </c>
      <c r="EZ14">
        <v>0</v>
      </c>
      <c r="FA14">
        <v>0</v>
      </c>
      <c r="FB14">
        <v>0</v>
      </c>
      <c r="FC14">
        <v>0</v>
      </c>
      <c r="FD14">
        <v>0</v>
      </c>
      <c r="FE14">
        <v>0</v>
      </c>
      <c r="FF14">
        <v>0</v>
      </c>
      <c r="FG14">
        <v>0</v>
      </c>
      <c r="FH14">
        <v>0</v>
      </c>
      <c r="FI14" s="4">
        <v>1938869.72</v>
      </c>
      <c r="FJ14">
        <v>123667.65</v>
      </c>
      <c r="FK14">
        <v>123667.65</v>
      </c>
      <c r="FL14">
        <v>0</v>
      </c>
      <c r="FM14" s="4">
        <v>7180.36333333333</v>
      </c>
      <c r="FN14">
        <v>0</v>
      </c>
      <c r="FO14">
        <v>0</v>
      </c>
      <c r="FP14">
        <v>0</v>
      </c>
      <c r="FQ14">
        <v>0</v>
      </c>
      <c r="FR14">
        <v>7180.36333333333</v>
      </c>
      <c r="FS14">
        <v>0</v>
      </c>
      <c r="FT14">
        <v>75072.936</v>
      </c>
      <c r="FU14">
        <v>187682.34</v>
      </c>
      <c r="FV14">
        <v>28152.351</v>
      </c>
      <c r="FY14">
        <v>9384117</v>
      </c>
      <c r="FZ14">
        <v>10348902.9984569</v>
      </c>
      <c r="GA14">
        <v>1289600.464</v>
      </c>
      <c r="GB14">
        <v>9059302.53445693</v>
      </c>
      <c r="GC14">
        <v>324814.465543067</v>
      </c>
      <c r="GD14">
        <v>0.0346132156646243</v>
      </c>
      <c r="GE14">
        <v>-964785.998456933</v>
      </c>
      <c r="GF14">
        <v>-0.102810525322407</v>
      </c>
      <c r="GJ14">
        <v>45264</v>
      </c>
      <c r="GL14">
        <v>45273</v>
      </c>
      <c r="GO14">
        <v>45277</v>
      </c>
      <c r="GR14">
        <v>45289</v>
      </c>
      <c r="GU14" t="s">
        <v>694</v>
      </c>
      <c r="HA14">
        <v>45305</v>
      </c>
      <c r="HB14">
        <v>45312</v>
      </c>
      <c r="HE14">
        <v>38</v>
      </c>
      <c r="HF14">
        <v>2</v>
      </c>
      <c r="HG14">
        <v>12</v>
      </c>
      <c r="HH14">
        <v>24</v>
      </c>
      <c r="HK14">
        <v>200</v>
      </c>
      <c r="HL14">
        <v>71</v>
      </c>
      <c r="HM14">
        <v>261</v>
      </c>
      <c r="HN14">
        <v>0</v>
      </c>
      <c r="HO14">
        <v>0</v>
      </c>
      <c r="HP14">
        <v>0</v>
      </c>
      <c r="HQ14">
        <v>293</v>
      </c>
      <c r="HR14">
        <v>118</v>
      </c>
      <c r="HU14" s="10"/>
    </row>
    <row r="15" spans="1:229">
      <c r="A15" s="1">
        <f t="shared" si="0"/>
        <v>14</v>
      </c>
      <c r="B15" s="2">
        <v>2024</v>
      </c>
      <c r="C15" s="2" t="s">
        <v>717</v>
      </c>
      <c r="D15" s="2" t="s">
        <v>27</v>
      </c>
      <c r="E15" s="9">
        <v>50528</v>
      </c>
      <c r="F15" s="2" t="s">
        <v>696</v>
      </c>
      <c r="G15" s="2" t="s">
        <v>36</v>
      </c>
      <c r="H15" s="2" t="s">
        <v>692</v>
      </c>
      <c r="I15" s="2" t="s">
        <v>718</v>
      </c>
      <c r="J15" t="s">
        <v>307</v>
      </c>
      <c r="K15" t="s">
        <v>41</v>
      </c>
      <c r="L15" t="s">
        <v>32</v>
      </c>
      <c r="M15">
        <v>2</v>
      </c>
      <c r="N15">
        <v>2043</v>
      </c>
      <c r="O15" s="3">
        <v>2110</v>
      </c>
      <c r="P15" s="4">
        <v>11</v>
      </c>
      <c r="Q15" s="4">
        <v>0</v>
      </c>
      <c r="R15" s="4">
        <v>8</v>
      </c>
      <c r="S15" s="4">
        <v>8</v>
      </c>
      <c r="T15" s="4">
        <v>16</v>
      </c>
      <c r="U15" s="4">
        <v>27</v>
      </c>
      <c r="V15" s="4">
        <v>0</v>
      </c>
      <c r="W15" s="4">
        <v>0.533333333333333</v>
      </c>
      <c r="X15" s="4">
        <v>0.9</v>
      </c>
      <c r="Y15" s="3">
        <v>3100000</v>
      </c>
      <c r="Z15">
        <v>-1677172.47166573</v>
      </c>
      <c r="AA15">
        <v>4777172.47166573</v>
      </c>
      <c r="AB15">
        <v>725400.261</v>
      </c>
      <c r="AC15">
        <v>315000</v>
      </c>
      <c r="AD15">
        <v>315000</v>
      </c>
      <c r="AE15">
        <v>0</v>
      </c>
      <c r="AF15">
        <v>30186.86775</v>
      </c>
      <c r="AG15">
        <v>30186.86775</v>
      </c>
      <c r="AH15">
        <v>0</v>
      </c>
      <c r="AI15">
        <v>11213.39325</v>
      </c>
      <c r="AJ15">
        <v>4963.3425</v>
      </c>
      <c r="AK15">
        <v>4549.96275</v>
      </c>
      <c r="AL15">
        <v>1700.088</v>
      </c>
      <c r="AM15">
        <v>0</v>
      </c>
      <c r="AN15">
        <v>0</v>
      </c>
      <c r="AO15">
        <v>0</v>
      </c>
      <c r="AP15">
        <v>0</v>
      </c>
      <c r="AQ15">
        <v>0</v>
      </c>
      <c r="AR15">
        <v>0</v>
      </c>
      <c r="AS15">
        <v>0</v>
      </c>
      <c r="AT15">
        <v>0</v>
      </c>
      <c r="AU15">
        <v>0</v>
      </c>
      <c r="AV15">
        <v>0</v>
      </c>
      <c r="AW15">
        <v>0</v>
      </c>
      <c r="AX15">
        <v>0</v>
      </c>
      <c r="AY15">
        <v>369000</v>
      </c>
      <c r="AZ15">
        <v>4051772.21066573</v>
      </c>
      <c r="BA15">
        <v>1631870.2473324</v>
      </c>
      <c r="BB15">
        <v>126579.8232</v>
      </c>
      <c r="BC15">
        <v>126579.8232</v>
      </c>
      <c r="BD15">
        <v>0</v>
      </c>
      <c r="BE15">
        <v>0</v>
      </c>
      <c r="BF15">
        <v>243749</v>
      </c>
      <c r="BG15">
        <v>243749</v>
      </c>
      <c r="BH15">
        <v>0</v>
      </c>
      <c r="BI15">
        <v>15479.4537</v>
      </c>
      <c r="BJ15">
        <v>350216</v>
      </c>
      <c r="BK15">
        <v>10516.85</v>
      </c>
      <c r="BL15">
        <v>10516.85</v>
      </c>
      <c r="BM15">
        <v>0</v>
      </c>
      <c r="BN15">
        <v>637455.1904324</v>
      </c>
      <c r="BO15">
        <v>115017.85</v>
      </c>
      <c r="BP15">
        <v>25600</v>
      </c>
      <c r="BQ15">
        <v>0</v>
      </c>
      <c r="BR15">
        <v>0</v>
      </c>
      <c r="BS15">
        <v>89417.85</v>
      </c>
      <c r="BT15">
        <v>132856.08</v>
      </c>
      <c r="BU15">
        <v>113940</v>
      </c>
      <c r="BV15">
        <v>18916.08</v>
      </c>
      <c r="BW15">
        <v>0</v>
      </c>
      <c r="BX15">
        <v>0</v>
      </c>
      <c r="BY15">
        <v>310386</v>
      </c>
      <c r="BZ15">
        <v>310386</v>
      </c>
      <c r="CA15">
        <v>226578.49</v>
      </c>
      <c r="CB15">
        <v>55096.46</v>
      </c>
      <c r="CC15">
        <v>28711.05</v>
      </c>
      <c r="CD15">
        <v>0</v>
      </c>
      <c r="CE15">
        <v>0</v>
      </c>
      <c r="CF15">
        <v>0</v>
      </c>
      <c r="CG15">
        <v>0</v>
      </c>
      <c r="CH15">
        <v>2109515.96333333</v>
      </c>
      <c r="CI15">
        <v>254299</v>
      </c>
      <c r="CJ15">
        <v>0</v>
      </c>
      <c r="CK15">
        <v>0</v>
      </c>
      <c r="CL15">
        <v>102640</v>
      </c>
      <c r="CM15">
        <v>76701</v>
      </c>
      <c r="CN15">
        <v>29453</v>
      </c>
      <c r="CO15">
        <v>45505</v>
      </c>
      <c r="CP15">
        <v>310500</v>
      </c>
      <c r="CQ15">
        <v>9650.94</v>
      </c>
      <c r="CR15">
        <v>3553.88</v>
      </c>
      <c r="CS15">
        <v>4709.06</v>
      </c>
      <c r="CT15">
        <v>0</v>
      </c>
      <c r="CU15">
        <v>588</v>
      </c>
      <c r="CV15">
        <v>0</v>
      </c>
      <c r="CW15">
        <v>0</v>
      </c>
      <c r="CX15">
        <v>800</v>
      </c>
      <c r="CY15">
        <v>4325.18</v>
      </c>
      <c r="CZ15">
        <v>1686.25</v>
      </c>
      <c r="DA15">
        <v>0</v>
      </c>
      <c r="DB15">
        <v>400</v>
      </c>
      <c r="DC15">
        <v>36.6666666666667</v>
      </c>
      <c r="DD15">
        <v>0</v>
      </c>
      <c r="DE15">
        <v>0</v>
      </c>
      <c r="DF15">
        <v>2202.26333333333</v>
      </c>
      <c r="DG15">
        <v>0</v>
      </c>
      <c r="DH15" s="3">
        <v>354680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20070</v>
      </c>
      <c r="EG15">
        <v>0</v>
      </c>
      <c r="EH15">
        <v>9104</v>
      </c>
      <c r="EI15">
        <v>327911.04</v>
      </c>
      <c r="EJ15">
        <v>0</v>
      </c>
      <c r="EK15">
        <v>0</v>
      </c>
      <c r="EL15">
        <v>0</v>
      </c>
      <c r="EM15">
        <v>52318</v>
      </c>
      <c r="EN15">
        <v>0</v>
      </c>
      <c r="EO15">
        <v>8887.5</v>
      </c>
      <c r="EP15">
        <v>0</v>
      </c>
      <c r="EQ15">
        <v>8887.5</v>
      </c>
      <c r="ER15">
        <v>26973</v>
      </c>
      <c r="ES15">
        <v>0</v>
      </c>
      <c r="ET15">
        <v>0</v>
      </c>
      <c r="EU15">
        <v>0</v>
      </c>
      <c r="EV15" s="4">
        <v>90</v>
      </c>
      <c r="EW15">
        <v>0</v>
      </c>
      <c r="EX15">
        <v>0</v>
      </c>
      <c r="EY15" s="4">
        <v>90</v>
      </c>
      <c r="EZ15">
        <v>0</v>
      </c>
      <c r="FA15">
        <v>0</v>
      </c>
      <c r="FB15">
        <v>0</v>
      </c>
      <c r="FC15">
        <v>0</v>
      </c>
      <c r="FD15">
        <v>0</v>
      </c>
      <c r="FE15">
        <v>0</v>
      </c>
      <c r="FF15">
        <v>0</v>
      </c>
      <c r="FG15">
        <v>0</v>
      </c>
      <c r="FH15">
        <v>0</v>
      </c>
      <c r="FI15" s="4">
        <v>583156.49</v>
      </c>
      <c r="FJ15">
        <v>44270.45</v>
      </c>
      <c r="FK15">
        <v>44270.45</v>
      </c>
      <c r="FL15">
        <v>0</v>
      </c>
      <c r="FM15" s="4">
        <v>7180.36333333333</v>
      </c>
      <c r="FN15">
        <v>0</v>
      </c>
      <c r="FO15">
        <v>0</v>
      </c>
      <c r="FP15">
        <v>0</v>
      </c>
      <c r="FQ15">
        <v>0</v>
      </c>
      <c r="FR15">
        <v>7180.36333333333</v>
      </c>
      <c r="FS15">
        <v>0</v>
      </c>
      <c r="FT15">
        <v>24800</v>
      </c>
      <c r="FU15">
        <v>62000</v>
      </c>
      <c r="FV15">
        <v>9300</v>
      </c>
      <c r="FY15">
        <v>3100000</v>
      </c>
      <c r="FZ15">
        <v>4777172.47166573</v>
      </c>
      <c r="GA15">
        <v>725400.261</v>
      </c>
      <c r="GB15">
        <v>4051772.21066573</v>
      </c>
      <c r="GC15">
        <v>-951772.210665733</v>
      </c>
      <c r="GD15">
        <v>-0.30702329376314</v>
      </c>
      <c r="GE15">
        <v>-1677172.47166573</v>
      </c>
      <c r="GF15">
        <v>-0.541023377956688</v>
      </c>
      <c r="GJ15">
        <v>45538</v>
      </c>
      <c r="GL15">
        <v>45549</v>
      </c>
      <c r="GO15">
        <v>45552</v>
      </c>
      <c r="GR15" t="s">
        <v>694</v>
      </c>
      <c r="GU15" t="s">
        <v>694</v>
      </c>
      <c r="HA15">
        <v>45557</v>
      </c>
      <c r="HB15">
        <v>45565</v>
      </c>
      <c r="HE15">
        <v>37</v>
      </c>
      <c r="HF15">
        <v>2</v>
      </c>
      <c r="HG15">
        <v>12</v>
      </c>
      <c r="HH15">
        <v>23</v>
      </c>
      <c r="HK15">
        <v>74</v>
      </c>
      <c r="HL15">
        <v>26</v>
      </c>
      <c r="HM15">
        <v>12</v>
      </c>
      <c r="HN15">
        <v>8</v>
      </c>
      <c r="HO15">
        <v>2</v>
      </c>
      <c r="HP15">
        <v>24</v>
      </c>
      <c r="HQ15">
        <v>128</v>
      </c>
      <c r="HR15">
        <v>109</v>
      </c>
      <c r="HU15" s="10"/>
    </row>
    <row r="16" spans="1:229">
      <c r="A16" s="1">
        <f t="shared" si="0"/>
        <v>15</v>
      </c>
      <c r="B16" s="2">
        <v>2024</v>
      </c>
      <c r="C16" s="2" t="s">
        <v>703</v>
      </c>
      <c r="D16" s="2" t="s">
        <v>27</v>
      </c>
      <c r="E16" s="9">
        <v>50528</v>
      </c>
      <c r="F16" s="2" t="s">
        <v>696</v>
      </c>
      <c r="G16" s="2" t="s">
        <v>36</v>
      </c>
      <c r="H16" s="2" t="s">
        <v>692</v>
      </c>
      <c r="I16" s="2" t="s">
        <v>719</v>
      </c>
      <c r="J16" t="s">
        <v>30</v>
      </c>
      <c r="K16" t="s">
        <v>31</v>
      </c>
      <c r="L16" t="s">
        <v>38</v>
      </c>
      <c r="M16">
        <v>2</v>
      </c>
      <c r="N16">
        <v>2216</v>
      </c>
      <c r="O16" s="3">
        <v>2270</v>
      </c>
      <c r="P16" s="4">
        <v>5</v>
      </c>
      <c r="Q16" s="4">
        <v>0</v>
      </c>
      <c r="R16" s="4">
        <v>9</v>
      </c>
      <c r="S16" s="4">
        <v>4</v>
      </c>
      <c r="T16" s="4">
        <v>13</v>
      </c>
      <c r="U16" s="4">
        <v>18</v>
      </c>
      <c r="V16" s="4">
        <v>0</v>
      </c>
      <c r="W16" s="4">
        <v>0.433333333333333</v>
      </c>
      <c r="X16" s="4">
        <v>0.6</v>
      </c>
      <c r="Y16" s="3">
        <v>3780959</v>
      </c>
      <c r="Z16">
        <v>-77578.3543333332</v>
      </c>
      <c r="AA16">
        <v>3858537.35433333</v>
      </c>
      <c r="AB16">
        <v>483600.174</v>
      </c>
      <c r="AC16">
        <v>210000</v>
      </c>
      <c r="AD16">
        <v>210000</v>
      </c>
      <c r="AE16">
        <v>0</v>
      </c>
      <c r="AF16">
        <v>20124.5785</v>
      </c>
      <c r="AG16">
        <v>20124.5785</v>
      </c>
      <c r="AH16">
        <v>0</v>
      </c>
      <c r="AI16">
        <v>7475.5955</v>
      </c>
      <c r="AJ16">
        <v>3308.895</v>
      </c>
      <c r="AK16">
        <v>3033.3085</v>
      </c>
      <c r="AL16">
        <v>1133.392</v>
      </c>
      <c r="AM16">
        <v>0</v>
      </c>
      <c r="AN16">
        <v>0</v>
      </c>
      <c r="AO16">
        <v>0</v>
      </c>
      <c r="AP16">
        <v>0</v>
      </c>
      <c r="AQ16">
        <v>0</v>
      </c>
      <c r="AR16">
        <v>0</v>
      </c>
      <c r="AS16">
        <v>0</v>
      </c>
      <c r="AT16">
        <v>0</v>
      </c>
      <c r="AU16">
        <v>0</v>
      </c>
      <c r="AV16">
        <v>0</v>
      </c>
      <c r="AW16">
        <v>0</v>
      </c>
      <c r="AX16">
        <v>0</v>
      </c>
      <c r="AY16">
        <v>246000</v>
      </c>
      <c r="AZ16">
        <v>3374937.18033333</v>
      </c>
      <c r="BA16">
        <v>1406987.148</v>
      </c>
      <c r="BB16">
        <v>57153.978</v>
      </c>
      <c r="BC16">
        <v>57153.978</v>
      </c>
      <c r="BD16">
        <v>0</v>
      </c>
      <c r="BE16">
        <v>0</v>
      </c>
      <c r="BF16">
        <v>667275</v>
      </c>
      <c r="BG16">
        <v>667275</v>
      </c>
      <c r="BH16">
        <v>0</v>
      </c>
      <c r="BI16">
        <v>0</v>
      </c>
      <c r="BJ16">
        <v>380042</v>
      </c>
      <c r="BK16">
        <v>18407.96</v>
      </c>
      <c r="BL16">
        <v>18407.96</v>
      </c>
      <c r="BM16">
        <v>0</v>
      </c>
      <c r="BN16">
        <v>25698.44</v>
      </c>
      <c r="BO16">
        <v>99663.49</v>
      </c>
      <c r="BP16">
        <v>20800</v>
      </c>
      <c r="BQ16">
        <v>0</v>
      </c>
      <c r="BR16">
        <v>0</v>
      </c>
      <c r="BS16">
        <v>78863.49</v>
      </c>
      <c r="BT16">
        <v>158746.28</v>
      </c>
      <c r="BU16">
        <v>143010</v>
      </c>
      <c r="BV16">
        <v>15736.28</v>
      </c>
      <c r="BW16">
        <v>0</v>
      </c>
      <c r="BX16">
        <v>0</v>
      </c>
      <c r="BY16">
        <v>73652.15</v>
      </c>
      <c r="BZ16">
        <v>73652.15</v>
      </c>
      <c r="CA16">
        <v>49698.49</v>
      </c>
      <c r="CB16">
        <v>17874.05</v>
      </c>
      <c r="CC16">
        <v>6079.61</v>
      </c>
      <c r="CD16">
        <v>0</v>
      </c>
      <c r="CE16">
        <v>0</v>
      </c>
      <c r="CF16">
        <v>0</v>
      </c>
      <c r="CG16">
        <v>0</v>
      </c>
      <c r="CH16">
        <v>1894297.88233333</v>
      </c>
      <c r="CI16">
        <v>188734</v>
      </c>
      <c r="CJ16">
        <v>0</v>
      </c>
      <c r="CK16">
        <v>0</v>
      </c>
      <c r="CL16">
        <v>95797</v>
      </c>
      <c r="CM16">
        <v>54703</v>
      </c>
      <c r="CN16">
        <v>2614</v>
      </c>
      <c r="CO16">
        <v>35620</v>
      </c>
      <c r="CP16">
        <v>207000</v>
      </c>
      <c r="CQ16">
        <v>10638.18</v>
      </c>
      <c r="CR16">
        <v>3553.88</v>
      </c>
      <c r="CS16">
        <v>5694.3</v>
      </c>
      <c r="CT16">
        <v>0</v>
      </c>
      <c r="CU16">
        <v>590</v>
      </c>
      <c r="CV16">
        <v>0</v>
      </c>
      <c r="CW16">
        <v>0</v>
      </c>
      <c r="CX16">
        <v>800</v>
      </c>
      <c r="CY16">
        <v>4325.18</v>
      </c>
      <c r="CZ16">
        <v>1686.25</v>
      </c>
      <c r="DA16">
        <v>0</v>
      </c>
      <c r="DB16">
        <v>400</v>
      </c>
      <c r="DC16">
        <v>36.6666666666667</v>
      </c>
      <c r="DD16">
        <v>0</v>
      </c>
      <c r="DE16">
        <v>0</v>
      </c>
      <c r="DF16">
        <v>2202.26333333333</v>
      </c>
      <c r="DG16">
        <v>0</v>
      </c>
      <c r="DH16" s="3">
        <v>274073</v>
      </c>
      <c r="DI16">
        <v>82738.34</v>
      </c>
      <c r="DJ16">
        <v>0</v>
      </c>
      <c r="DK16">
        <v>48287.04</v>
      </c>
      <c r="DL16">
        <v>0</v>
      </c>
      <c r="DM16">
        <v>0</v>
      </c>
      <c r="DN16">
        <v>0</v>
      </c>
      <c r="DO16">
        <v>0</v>
      </c>
      <c r="DP16">
        <v>34451.3</v>
      </c>
      <c r="DQ16">
        <v>0</v>
      </c>
      <c r="DR16">
        <v>0</v>
      </c>
      <c r="DS16">
        <v>0</v>
      </c>
      <c r="DT16">
        <v>0</v>
      </c>
      <c r="DU16">
        <v>0</v>
      </c>
      <c r="DV16">
        <v>0</v>
      </c>
      <c r="DW16">
        <v>0</v>
      </c>
      <c r="DX16">
        <v>0</v>
      </c>
      <c r="DY16">
        <v>0</v>
      </c>
      <c r="DZ16">
        <v>0</v>
      </c>
      <c r="EA16">
        <v>0</v>
      </c>
      <c r="EB16">
        <v>0</v>
      </c>
      <c r="EC16">
        <v>0</v>
      </c>
      <c r="ED16">
        <v>0</v>
      </c>
      <c r="EE16">
        <v>0</v>
      </c>
      <c r="EF16">
        <v>20933</v>
      </c>
      <c r="EG16">
        <v>0</v>
      </c>
      <c r="EH16">
        <v>7587</v>
      </c>
      <c r="EI16">
        <v>239325.83</v>
      </c>
      <c r="EJ16">
        <v>0</v>
      </c>
      <c r="EK16">
        <v>0</v>
      </c>
      <c r="EL16">
        <v>0</v>
      </c>
      <c r="EM16">
        <v>52318</v>
      </c>
      <c r="EN16">
        <v>0</v>
      </c>
      <c r="EO16">
        <v>6636</v>
      </c>
      <c r="EP16">
        <v>0</v>
      </c>
      <c r="EQ16">
        <v>6636</v>
      </c>
      <c r="ER16">
        <v>17982</v>
      </c>
      <c r="ES16">
        <v>0</v>
      </c>
      <c r="ET16">
        <v>0</v>
      </c>
      <c r="EU16">
        <v>0</v>
      </c>
      <c r="EV16" s="4">
        <v>60</v>
      </c>
      <c r="EW16">
        <v>0</v>
      </c>
      <c r="EX16">
        <v>0</v>
      </c>
      <c r="EY16" s="4">
        <v>60</v>
      </c>
      <c r="EZ16">
        <v>0</v>
      </c>
      <c r="FA16">
        <v>0</v>
      </c>
      <c r="FB16">
        <v>0</v>
      </c>
      <c r="FC16">
        <v>0</v>
      </c>
      <c r="FD16">
        <v>0</v>
      </c>
      <c r="FE16">
        <v>0</v>
      </c>
      <c r="FF16">
        <v>0</v>
      </c>
      <c r="FG16">
        <v>0</v>
      </c>
      <c r="FH16">
        <v>0</v>
      </c>
      <c r="FI16" s="4">
        <v>613286.81</v>
      </c>
      <c r="FJ16">
        <v>44270.45</v>
      </c>
      <c r="FK16">
        <v>44270.45</v>
      </c>
      <c r="FL16">
        <v>0</v>
      </c>
      <c r="FM16" s="4">
        <v>7180.36333333333</v>
      </c>
      <c r="FN16">
        <v>0</v>
      </c>
      <c r="FO16">
        <v>0</v>
      </c>
      <c r="FP16">
        <v>0</v>
      </c>
      <c r="FQ16">
        <v>0</v>
      </c>
      <c r="FR16">
        <v>7180.36333333333</v>
      </c>
      <c r="FS16">
        <v>0</v>
      </c>
      <c r="FT16">
        <v>30247.672</v>
      </c>
      <c r="FU16">
        <v>75619.18</v>
      </c>
      <c r="FV16">
        <v>11342.877</v>
      </c>
      <c r="FY16">
        <v>3780959</v>
      </c>
      <c r="FZ16">
        <v>3858537.35433333</v>
      </c>
      <c r="GA16">
        <v>483600.174</v>
      </c>
      <c r="GB16">
        <v>3374937.18033333</v>
      </c>
      <c r="GC16">
        <v>406021.819666667</v>
      </c>
      <c r="GD16">
        <v>0.10738593559641</v>
      </c>
      <c r="GE16">
        <v>-77578.3543333332</v>
      </c>
      <c r="GF16">
        <v>-0.0205181686268836</v>
      </c>
      <c r="GJ16">
        <v>45316</v>
      </c>
      <c r="GL16">
        <v>45321</v>
      </c>
      <c r="GO16">
        <v>45324</v>
      </c>
      <c r="GR16" t="s">
        <v>694</v>
      </c>
      <c r="GU16" t="s">
        <v>694</v>
      </c>
      <c r="HA16">
        <v>45330</v>
      </c>
      <c r="HB16">
        <v>45334</v>
      </c>
      <c r="HE16">
        <v>37</v>
      </c>
      <c r="HF16">
        <v>2</v>
      </c>
      <c r="HG16">
        <v>12</v>
      </c>
      <c r="HH16">
        <v>23</v>
      </c>
      <c r="HK16">
        <v>71</v>
      </c>
      <c r="HL16">
        <v>32</v>
      </c>
      <c r="HM16">
        <v>61</v>
      </c>
      <c r="HN16">
        <v>0</v>
      </c>
      <c r="HO16">
        <v>0</v>
      </c>
      <c r="HP16">
        <v>0</v>
      </c>
      <c r="HQ16">
        <v>117</v>
      </c>
      <c r="HR16">
        <v>14</v>
      </c>
      <c r="HU16" s="10"/>
    </row>
    <row r="17" spans="1:229">
      <c r="A17" s="1">
        <f t="shared" si="0"/>
        <v>16</v>
      </c>
      <c r="B17" s="2">
        <v>2024</v>
      </c>
      <c r="C17" s="2" t="s">
        <v>33</v>
      </c>
      <c r="D17" s="2" t="s">
        <v>27</v>
      </c>
      <c r="E17" s="9">
        <v>70520</v>
      </c>
      <c r="F17" s="2" t="s">
        <v>699</v>
      </c>
      <c r="G17" s="2" t="s">
        <v>28</v>
      </c>
      <c r="H17" s="2" t="s">
        <v>692</v>
      </c>
      <c r="I17" s="2" t="s">
        <v>720</v>
      </c>
      <c r="J17" t="s">
        <v>307</v>
      </c>
      <c r="K17" t="s">
        <v>31</v>
      </c>
      <c r="L17" t="s">
        <v>32</v>
      </c>
      <c r="M17">
        <v>2</v>
      </c>
      <c r="N17">
        <v>1833</v>
      </c>
      <c r="O17" s="3">
        <v>1847</v>
      </c>
      <c r="P17" s="4">
        <v>5</v>
      </c>
      <c r="Q17" s="4">
        <v>0</v>
      </c>
      <c r="R17" s="4">
        <v>5</v>
      </c>
      <c r="S17" s="4">
        <v>4</v>
      </c>
      <c r="T17" s="4">
        <v>9</v>
      </c>
      <c r="U17" s="4">
        <v>14</v>
      </c>
      <c r="V17" s="4">
        <v>0</v>
      </c>
      <c r="W17" s="4">
        <v>0.3</v>
      </c>
      <c r="X17" s="4">
        <v>0.466666666666667</v>
      </c>
      <c r="Y17" s="3">
        <v>2338602</v>
      </c>
      <c r="Z17">
        <v>-1219054.75756375</v>
      </c>
      <c r="AA17">
        <v>3557656.75756375</v>
      </c>
      <c r="AB17">
        <v>474755.112679941</v>
      </c>
      <c r="AC17">
        <v>221666.666666667</v>
      </c>
      <c r="AD17">
        <v>221666.666666667</v>
      </c>
      <c r="AE17">
        <v>0</v>
      </c>
      <c r="AF17">
        <v>13949.411</v>
      </c>
      <c r="AG17">
        <v>13949.411</v>
      </c>
      <c r="AH17">
        <v>0</v>
      </c>
      <c r="AI17">
        <v>6429.30049999999</v>
      </c>
      <c r="AJ17">
        <v>4750.42205555554</v>
      </c>
      <c r="AK17">
        <v>1607.75416666667</v>
      </c>
      <c r="AL17">
        <v>71.1242777777779</v>
      </c>
      <c r="AM17">
        <v>41376.401179941</v>
      </c>
      <c r="AN17">
        <v>0</v>
      </c>
      <c r="AO17">
        <v>0</v>
      </c>
      <c r="AP17">
        <v>0</v>
      </c>
      <c r="AQ17">
        <v>41376.401179941</v>
      </c>
      <c r="AR17">
        <v>0</v>
      </c>
      <c r="AS17">
        <v>0</v>
      </c>
      <c r="AT17">
        <v>0</v>
      </c>
      <c r="AU17">
        <v>0</v>
      </c>
      <c r="AV17">
        <v>0</v>
      </c>
      <c r="AW17">
        <v>0</v>
      </c>
      <c r="AX17">
        <v>0</v>
      </c>
      <c r="AY17">
        <v>191333.333333333</v>
      </c>
      <c r="AZ17">
        <v>3082901.64488381</v>
      </c>
      <c r="BA17">
        <v>1115555.51336</v>
      </c>
      <c r="BB17">
        <v>58721.4144</v>
      </c>
      <c r="BC17">
        <v>58721.4144</v>
      </c>
      <c r="BD17">
        <v>0</v>
      </c>
      <c r="BE17">
        <v>0</v>
      </c>
      <c r="BF17">
        <v>237317</v>
      </c>
      <c r="BG17">
        <v>237317</v>
      </c>
      <c r="BH17">
        <v>0</v>
      </c>
      <c r="BI17">
        <v>33462.936</v>
      </c>
      <c r="BJ17">
        <v>311389</v>
      </c>
      <c r="BK17">
        <v>21485.22</v>
      </c>
      <c r="BL17">
        <v>21485.22</v>
      </c>
      <c r="BM17">
        <v>0</v>
      </c>
      <c r="BN17">
        <v>257176.01296</v>
      </c>
      <c r="BO17">
        <v>87992.73</v>
      </c>
      <c r="BP17">
        <v>14400</v>
      </c>
      <c r="BQ17">
        <v>0</v>
      </c>
      <c r="BR17">
        <v>0</v>
      </c>
      <c r="BS17">
        <v>73592.73</v>
      </c>
      <c r="BT17">
        <v>108011.2</v>
      </c>
      <c r="BU17">
        <v>99738</v>
      </c>
      <c r="BV17">
        <v>8273.2</v>
      </c>
      <c r="BW17">
        <v>0</v>
      </c>
      <c r="BX17">
        <v>0</v>
      </c>
      <c r="BY17">
        <v>500928.72</v>
      </c>
      <c r="BZ17">
        <v>65804.25</v>
      </c>
      <c r="CA17">
        <v>18595.49</v>
      </c>
      <c r="CB17">
        <v>4982.29</v>
      </c>
      <c r="CC17">
        <v>42226.47</v>
      </c>
      <c r="CD17">
        <v>435124.47</v>
      </c>
      <c r="CE17">
        <v>435124.47</v>
      </c>
      <c r="CF17">
        <v>0</v>
      </c>
      <c r="CG17">
        <v>0</v>
      </c>
      <c r="CH17">
        <v>1466417.41152381</v>
      </c>
      <c r="CI17">
        <v>337726</v>
      </c>
      <c r="CJ17">
        <v>0</v>
      </c>
      <c r="CK17">
        <v>0</v>
      </c>
      <c r="CL17">
        <v>188448</v>
      </c>
      <c r="CM17">
        <v>76516</v>
      </c>
      <c r="CN17">
        <v>29689</v>
      </c>
      <c r="CO17">
        <v>43073</v>
      </c>
      <c r="CP17">
        <v>182000</v>
      </c>
      <c r="CQ17">
        <v>16552.0671428571</v>
      </c>
      <c r="CR17">
        <v>1421.55</v>
      </c>
      <c r="CS17">
        <v>12929.66</v>
      </c>
      <c r="CT17">
        <v>0</v>
      </c>
      <c r="CU17">
        <v>458</v>
      </c>
      <c r="CV17">
        <v>0</v>
      </c>
      <c r="CW17">
        <v>0</v>
      </c>
      <c r="CX17">
        <v>1742.85714285714</v>
      </c>
      <c r="CY17">
        <v>31145.9271428571</v>
      </c>
      <c r="CZ17">
        <v>4873.78571428571</v>
      </c>
      <c r="DA17">
        <v>0</v>
      </c>
      <c r="DB17">
        <v>417.79</v>
      </c>
      <c r="DC17">
        <v>138.571428571429</v>
      </c>
      <c r="DD17">
        <v>0</v>
      </c>
      <c r="DE17">
        <v>19000</v>
      </c>
      <c r="DF17">
        <v>6715.78</v>
      </c>
      <c r="DG17">
        <v>0</v>
      </c>
      <c r="DH17" s="3">
        <v>107517</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17563</v>
      </c>
      <c r="EG17">
        <v>0</v>
      </c>
      <c r="EH17">
        <v>5311</v>
      </c>
      <c r="EI17">
        <v>175677.92</v>
      </c>
      <c r="EJ17">
        <v>0</v>
      </c>
      <c r="EK17">
        <v>0</v>
      </c>
      <c r="EL17">
        <v>0</v>
      </c>
      <c r="EM17">
        <v>0</v>
      </c>
      <c r="EN17">
        <v>0</v>
      </c>
      <c r="EO17">
        <v>9717</v>
      </c>
      <c r="EP17">
        <v>0</v>
      </c>
      <c r="EQ17">
        <v>9717</v>
      </c>
      <c r="ER17">
        <v>17010</v>
      </c>
      <c r="ES17">
        <v>0</v>
      </c>
      <c r="ET17">
        <v>0</v>
      </c>
      <c r="EU17">
        <v>0</v>
      </c>
      <c r="EV17" s="4">
        <v>46.6666666666667</v>
      </c>
      <c r="EW17">
        <v>0</v>
      </c>
      <c r="EX17">
        <v>0</v>
      </c>
      <c r="EY17" s="4">
        <v>46.6666666666667</v>
      </c>
      <c r="EZ17">
        <v>0</v>
      </c>
      <c r="FA17">
        <v>0</v>
      </c>
      <c r="FB17">
        <v>0</v>
      </c>
      <c r="FC17">
        <v>0</v>
      </c>
      <c r="FD17">
        <v>0</v>
      </c>
      <c r="FE17">
        <v>0</v>
      </c>
      <c r="FF17">
        <v>0</v>
      </c>
      <c r="FG17">
        <v>0</v>
      </c>
      <c r="FH17">
        <v>0</v>
      </c>
      <c r="FI17" s="4">
        <v>437637.7</v>
      </c>
      <c r="FJ17">
        <v>41212.04</v>
      </c>
      <c r="FK17">
        <v>41212.04</v>
      </c>
      <c r="FL17">
        <v>0</v>
      </c>
      <c r="FM17" s="4">
        <v>14804.4285714286</v>
      </c>
      <c r="FN17">
        <v>0</v>
      </c>
      <c r="FO17">
        <v>0</v>
      </c>
      <c r="FP17">
        <v>0</v>
      </c>
      <c r="FQ17">
        <v>0</v>
      </c>
      <c r="FR17">
        <v>14804.4285714286</v>
      </c>
      <c r="FS17">
        <v>0</v>
      </c>
      <c r="FT17">
        <v>18708.816</v>
      </c>
      <c r="FU17">
        <v>46772.04</v>
      </c>
      <c r="FV17">
        <v>7015.806</v>
      </c>
      <c r="FY17">
        <v>2338602</v>
      </c>
      <c r="FZ17">
        <v>3557656.75756375</v>
      </c>
      <c r="GA17">
        <v>474755.112679941</v>
      </c>
      <c r="GB17">
        <v>3082901.64488381</v>
      </c>
      <c r="GC17">
        <v>-744299.64488381</v>
      </c>
      <c r="GD17">
        <v>-0.318266915398092</v>
      </c>
      <c r="GE17">
        <v>-1219054.75756375</v>
      </c>
      <c r="GF17">
        <v>-0.52127500000588</v>
      </c>
      <c r="GJ17">
        <v>45344</v>
      </c>
      <c r="GL17">
        <v>45349</v>
      </c>
      <c r="GO17">
        <v>45351</v>
      </c>
      <c r="GR17" t="s">
        <v>694</v>
      </c>
      <c r="GU17" t="s">
        <v>694</v>
      </c>
      <c r="HA17">
        <v>45354</v>
      </c>
      <c r="HB17">
        <v>45358</v>
      </c>
      <c r="HE17">
        <v>45</v>
      </c>
      <c r="HF17">
        <v>5</v>
      </c>
      <c r="HG17">
        <v>14</v>
      </c>
      <c r="HH17">
        <v>26</v>
      </c>
      <c r="HK17">
        <v>35</v>
      </c>
      <c r="HL17">
        <v>29</v>
      </c>
      <c r="HM17">
        <v>24</v>
      </c>
      <c r="HN17">
        <v>0</v>
      </c>
      <c r="HO17">
        <v>0</v>
      </c>
      <c r="HP17">
        <v>0</v>
      </c>
      <c r="HQ17">
        <v>103</v>
      </c>
      <c r="HR17">
        <v>17</v>
      </c>
      <c r="HU17" s="10"/>
    </row>
    <row r="18" spans="1:229">
      <c r="A18" s="1">
        <f t="shared" si="0"/>
        <v>17</v>
      </c>
      <c r="B18" s="2">
        <v>2024</v>
      </c>
      <c r="C18" s="2" t="s">
        <v>695</v>
      </c>
      <c r="D18" s="2" t="s">
        <v>27</v>
      </c>
      <c r="E18" s="9" t="s">
        <v>705</v>
      </c>
      <c r="F18" s="2" t="s">
        <v>706</v>
      </c>
      <c r="G18" s="2" t="s">
        <v>28</v>
      </c>
      <c r="H18" s="2" t="s">
        <v>711</v>
      </c>
      <c r="I18" s="2" t="s">
        <v>721</v>
      </c>
      <c r="J18" t="s">
        <v>30</v>
      </c>
      <c r="K18" t="s">
        <v>41</v>
      </c>
      <c r="L18" t="s">
        <v>32</v>
      </c>
      <c r="M18">
        <v>4</v>
      </c>
      <c r="N18">
        <v>5265</v>
      </c>
      <c r="O18" s="3">
        <v>5196</v>
      </c>
      <c r="P18" s="4">
        <v>27</v>
      </c>
      <c r="Q18" s="4">
        <v>0</v>
      </c>
      <c r="R18" s="4">
        <v>55</v>
      </c>
      <c r="S18" s="4">
        <v>1</v>
      </c>
      <c r="T18" s="4">
        <v>56</v>
      </c>
      <c r="U18" s="4">
        <v>83</v>
      </c>
      <c r="V18" s="4">
        <v>0</v>
      </c>
      <c r="W18" s="4">
        <v>1.86666666666667</v>
      </c>
      <c r="X18" s="4">
        <v>2.76666666666667</v>
      </c>
      <c r="Y18" s="3">
        <v>18104717</v>
      </c>
      <c r="Z18">
        <v>845170.440589447</v>
      </c>
      <c r="AA18">
        <v>17259546.5594106</v>
      </c>
      <c r="AB18">
        <v>3450698.06635718</v>
      </c>
      <c r="AC18">
        <v>968333.333333333</v>
      </c>
      <c r="AD18">
        <v>968333.333333333</v>
      </c>
      <c r="AE18">
        <v>0</v>
      </c>
      <c r="AF18">
        <v>659480.938194445</v>
      </c>
      <c r="AG18">
        <v>374853.063694445</v>
      </c>
      <c r="AH18">
        <v>284627.8745</v>
      </c>
      <c r="AI18">
        <v>30203.5939444444</v>
      </c>
      <c r="AJ18">
        <v>8981.37005555555</v>
      </c>
      <c r="AK18">
        <v>8931.36716666667</v>
      </c>
      <c r="AL18">
        <v>12290.8567222222</v>
      </c>
      <c r="AM18">
        <v>658346.867551622</v>
      </c>
      <c r="AN18">
        <v>233471.744641101</v>
      </c>
      <c r="AO18">
        <v>0</v>
      </c>
      <c r="AP18">
        <v>424875.122910521</v>
      </c>
      <c r="AQ18">
        <v>0</v>
      </c>
      <c r="AR18">
        <v>0</v>
      </c>
      <c r="AS18">
        <v>0</v>
      </c>
      <c r="AT18">
        <v>0</v>
      </c>
      <c r="AU18">
        <v>0</v>
      </c>
      <c r="AV18">
        <v>0</v>
      </c>
      <c r="AW18">
        <v>0</v>
      </c>
      <c r="AX18">
        <v>0</v>
      </c>
      <c r="AY18">
        <v>1134333.33333333</v>
      </c>
      <c r="AZ18">
        <v>13808848.4930534</v>
      </c>
      <c r="BA18">
        <v>5060870.14339614</v>
      </c>
      <c r="BB18">
        <v>376012.0332</v>
      </c>
      <c r="BC18">
        <v>376012.0332</v>
      </c>
      <c r="BD18">
        <v>0</v>
      </c>
      <c r="BE18">
        <v>0</v>
      </c>
      <c r="BF18">
        <v>1145553</v>
      </c>
      <c r="BG18">
        <v>1145553</v>
      </c>
      <c r="BH18">
        <v>0</v>
      </c>
      <c r="BI18">
        <v>33831.972</v>
      </c>
      <c r="BJ18">
        <v>1825225</v>
      </c>
      <c r="BK18">
        <v>16629.68</v>
      </c>
      <c r="BL18">
        <v>16629.68</v>
      </c>
      <c r="BM18">
        <v>0</v>
      </c>
      <c r="BN18">
        <v>801750.258196139</v>
      </c>
      <c r="BO18">
        <v>217765.72</v>
      </c>
      <c r="BP18">
        <v>89600</v>
      </c>
      <c r="BQ18">
        <v>0</v>
      </c>
      <c r="BR18">
        <v>0</v>
      </c>
      <c r="BS18">
        <v>128165.72</v>
      </c>
      <c r="BT18">
        <v>644102.48</v>
      </c>
      <c r="BU18">
        <v>540384</v>
      </c>
      <c r="BV18">
        <v>103718.48</v>
      </c>
      <c r="BW18">
        <v>0</v>
      </c>
      <c r="BX18">
        <v>0</v>
      </c>
      <c r="BY18">
        <v>273246.21</v>
      </c>
      <c r="BZ18">
        <v>273246.21</v>
      </c>
      <c r="CA18">
        <v>210567.08</v>
      </c>
      <c r="CB18">
        <v>46007.72</v>
      </c>
      <c r="CC18">
        <v>16671.41</v>
      </c>
      <c r="CD18">
        <v>0</v>
      </c>
      <c r="CE18">
        <v>0</v>
      </c>
      <c r="CF18">
        <v>0</v>
      </c>
      <c r="CG18">
        <v>0</v>
      </c>
      <c r="CH18">
        <v>8474732.13965723</v>
      </c>
      <c r="CI18">
        <v>653009</v>
      </c>
      <c r="CJ18">
        <v>0</v>
      </c>
      <c r="CK18">
        <v>0</v>
      </c>
      <c r="CL18">
        <v>220741</v>
      </c>
      <c r="CM18">
        <v>246517</v>
      </c>
      <c r="CN18">
        <v>24466</v>
      </c>
      <c r="CO18">
        <v>161285</v>
      </c>
      <c r="CP18">
        <v>1079000</v>
      </c>
      <c r="CQ18">
        <v>33983.22</v>
      </c>
      <c r="CR18">
        <v>4974.66</v>
      </c>
      <c r="CS18">
        <v>26542.06</v>
      </c>
      <c r="CT18">
        <v>0</v>
      </c>
      <c r="CU18">
        <v>1266.5</v>
      </c>
      <c r="CV18">
        <v>0</v>
      </c>
      <c r="CW18">
        <v>0</v>
      </c>
      <c r="CX18">
        <v>1200</v>
      </c>
      <c r="CY18">
        <v>9619.56599056604</v>
      </c>
      <c r="CZ18">
        <v>5783.875</v>
      </c>
      <c r="DA18">
        <v>0</v>
      </c>
      <c r="DB18">
        <v>455.1875</v>
      </c>
      <c r="DC18">
        <v>270</v>
      </c>
      <c r="DD18">
        <v>0</v>
      </c>
      <c r="DE18">
        <v>0</v>
      </c>
      <c r="DF18">
        <v>3110.50349056604</v>
      </c>
      <c r="DG18">
        <v>0</v>
      </c>
      <c r="DH18" s="3">
        <v>208215</v>
      </c>
      <c r="DI18">
        <v>146626.2</v>
      </c>
      <c r="DJ18">
        <v>0</v>
      </c>
      <c r="DK18">
        <v>146626.2</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104952</v>
      </c>
      <c r="EG18">
        <v>0</v>
      </c>
      <c r="EH18">
        <v>189993.36</v>
      </c>
      <c r="EI18">
        <v>1066810.45</v>
      </c>
      <c r="EJ18">
        <v>0</v>
      </c>
      <c r="EK18">
        <v>0</v>
      </c>
      <c r="EL18">
        <v>0</v>
      </c>
      <c r="EM18">
        <v>0</v>
      </c>
      <c r="EN18">
        <v>0</v>
      </c>
      <c r="EO18">
        <v>29585.5</v>
      </c>
      <c r="EP18">
        <v>0</v>
      </c>
      <c r="EQ18">
        <v>29585.5</v>
      </c>
      <c r="ER18">
        <v>89640</v>
      </c>
      <c r="ES18">
        <v>0</v>
      </c>
      <c r="ET18">
        <v>0</v>
      </c>
      <c r="EU18">
        <v>600</v>
      </c>
      <c r="EV18" s="4">
        <v>276.666666666667</v>
      </c>
      <c r="EW18">
        <v>0</v>
      </c>
      <c r="EX18">
        <v>0</v>
      </c>
      <c r="EY18" s="4">
        <v>276.666666666667</v>
      </c>
      <c r="EZ18">
        <v>0</v>
      </c>
      <c r="FA18">
        <v>0</v>
      </c>
      <c r="FB18">
        <v>0</v>
      </c>
      <c r="FC18">
        <v>0</v>
      </c>
      <c r="FD18">
        <v>0</v>
      </c>
      <c r="FE18">
        <v>0</v>
      </c>
      <c r="FF18">
        <v>0</v>
      </c>
      <c r="FG18">
        <v>0</v>
      </c>
      <c r="FH18">
        <v>0</v>
      </c>
      <c r="FI18" s="4">
        <v>4169970.15</v>
      </c>
      <c r="FJ18">
        <v>122779.8</v>
      </c>
      <c r="FK18">
        <v>122779.8</v>
      </c>
      <c r="FL18">
        <v>0</v>
      </c>
      <c r="FM18" s="4">
        <v>8425</v>
      </c>
      <c r="FN18">
        <v>0</v>
      </c>
      <c r="FO18">
        <v>0</v>
      </c>
      <c r="FP18">
        <v>0</v>
      </c>
      <c r="FQ18">
        <v>0</v>
      </c>
      <c r="FR18">
        <v>8425</v>
      </c>
      <c r="FS18">
        <v>0</v>
      </c>
      <c r="FT18">
        <v>144837.736</v>
      </c>
      <c r="FU18">
        <v>362094.34</v>
      </c>
      <c r="FV18">
        <v>54314.151</v>
      </c>
      <c r="FY18">
        <v>18104717</v>
      </c>
      <c r="FZ18">
        <v>17259546.5594106</v>
      </c>
      <c r="GA18">
        <v>3450698.06635718</v>
      </c>
      <c r="GB18">
        <v>13808848.4930534</v>
      </c>
      <c r="GC18">
        <v>4295868.50694663</v>
      </c>
      <c r="GD18">
        <v>0.237278964755242</v>
      </c>
      <c r="GE18">
        <v>845170.440589447</v>
      </c>
      <c r="GF18">
        <v>0.0466823337028381</v>
      </c>
      <c r="GJ18">
        <v>45522</v>
      </c>
      <c r="GL18">
        <v>45549</v>
      </c>
      <c r="GO18">
        <v>45552</v>
      </c>
      <c r="GR18">
        <v>45564</v>
      </c>
      <c r="GU18">
        <v>45600</v>
      </c>
      <c r="HA18">
        <v>45604</v>
      </c>
      <c r="HB18">
        <v>45605</v>
      </c>
      <c r="HE18">
        <v>40</v>
      </c>
      <c r="HF18">
        <v>4</v>
      </c>
      <c r="HG18">
        <v>10</v>
      </c>
      <c r="HH18">
        <v>26</v>
      </c>
      <c r="HK18">
        <v>348</v>
      </c>
      <c r="HL18">
        <v>141</v>
      </c>
      <c r="HM18">
        <v>37</v>
      </c>
      <c r="HN18">
        <v>67</v>
      </c>
      <c r="HO18">
        <v>3</v>
      </c>
      <c r="HP18">
        <v>94</v>
      </c>
      <c r="HQ18">
        <v>488</v>
      </c>
      <c r="HR18">
        <v>175</v>
      </c>
      <c r="HU18" s="10"/>
    </row>
    <row r="19" spans="1:229">
      <c r="A19" s="1">
        <f t="shared" si="0"/>
        <v>18</v>
      </c>
      <c r="B19" s="2">
        <v>2024</v>
      </c>
      <c r="C19" s="2" t="s">
        <v>45</v>
      </c>
      <c r="D19" s="2" t="s">
        <v>27</v>
      </c>
      <c r="E19" s="9" t="s">
        <v>705</v>
      </c>
      <c r="F19" s="2" t="s">
        <v>706</v>
      </c>
      <c r="G19" s="2" t="s">
        <v>28</v>
      </c>
      <c r="H19" s="2" t="s">
        <v>692</v>
      </c>
      <c r="I19" s="2" t="s">
        <v>722</v>
      </c>
      <c r="J19" t="s">
        <v>30</v>
      </c>
      <c r="K19" t="s">
        <v>31</v>
      </c>
      <c r="L19" t="s">
        <v>32</v>
      </c>
      <c r="M19">
        <v>4</v>
      </c>
      <c r="N19">
        <v>4792</v>
      </c>
      <c r="O19" s="3">
        <v>4688</v>
      </c>
      <c r="P19" s="4">
        <v>11</v>
      </c>
      <c r="Q19" s="4">
        <v>0</v>
      </c>
      <c r="R19" s="4">
        <v>45</v>
      </c>
      <c r="S19" s="4">
        <v>4</v>
      </c>
      <c r="T19" s="4">
        <v>49</v>
      </c>
      <c r="U19" s="4">
        <v>60</v>
      </c>
      <c r="V19" s="4">
        <v>0</v>
      </c>
      <c r="W19" s="4">
        <v>1.63333333333333</v>
      </c>
      <c r="X19" s="4">
        <v>2</v>
      </c>
      <c r="Y19" s="3">
        <v>20757609</v>
      </c>
      <c r="Z19">
        <v>4520529.50351267</v>
      </c>
      <c r="AA19">
        <v>16237079.4964873</v>
      </c>
      <c r="AB19">
        <v>2394480.52989676</v>
      </c>
      <c r="AC19">
        <v>600000</v>
      </c>
      <c r="AD19">
        <v>600000</v>
      </c>
      <c r="AE19">
        <v>0</v>
      </c>
      <c r="AF19">
        <v>476733.208333334</v>
      </c>
      <c r="AG19">
        <v>270978.118333334</v>
      </c>
      <c r="AH19">
        <v>205755.09</v>
      </c>
      <c r="AI19">
        <v>21833.9233333333</v>
      </c>
      <c r="AJ19">
        <v>6492.55666666666</v>
      </c>
      <c r="AK19">
        <v>6456.41</v>
      </c>
      <c r="AL19">
        <v>8884.95666666666</v>
      </c>
      <c r="AM19">
        <v>475913.398230089</v>
      </c>
      <c r="AN19">
        <v>168774.755162242</v>
      </c>
      <c r="AO19">
        <v>0</v>
      </c>
      <c r="AP19">
        <v>307138.643067847</v>
      </c>
      <c r="AQ19">
        <v>0</v>
      </c>
      <c r="AR19">
        <v>0</v>
      </c>
      <c r="AS19">
        <v>0</v>
      </c>
      <c r="AT19">
        <v>0</v>
      </c>
      <c r="AU19">
        <v>0</v>
      </c>
      <c r="AV19">
        <v>0</v>
      </c>
      <c r="AW19">
        <v>0</v>
      </c>
      <c r="AX19">
        <v>0</v>
      </c>
      <c r="AY19">
        <v>820000</v>
      </c>
      <c r="AZ19">
        <v>13842598.9665906</v>
      </c>
      <c r="BA19">
        <v>4123068.6916</v>
      </c>
      <c r="BB19">
        <v>495782.3916</v>
      </c>
      <c r="BC19">
        <v>495782.3916</v>
      </c>
      <c r="BD19">
        <v>0</v>
      </c>
      <c r="BE19">
        <v>0</v>
      </c>
      <c r="BF19">
        <v>1447566</v>
      </c>
      <c r="BG19">
        <v>1447566</v>
      </c>
      <c r="BH19">
        <v>0</v>
      </c>
      <c r="BI19">
        <v>16790.22</v>
      </c>
      <c r="BJ19">
        <v>525642</v>
      </c>
      <c r="BK19">
        <v>411011.54</v>
      </c>
      <c r="BL19">
        <v>411011.54</v>
      </c>
      <c r="BM19">
        <v>0</v>
      </c>
      <c r="BN19">
        <v>325203.85</v>
      </c>
      <c r="BO19">
        <v>313662.28</v>
      </c>
      <c r="BP19">
        <v>78400</v>
      </c>
      <c r="BQ19">
        <v>0</v>
      </c>
      <c r="BR19">
        <v>0</v>
      </c>
      <c r="BS19">
        <v>235262.28</v>
      </c>
      <c r="BT19">
        <v>587410.41</v>
      </c>
      <c r="BU19">
        <v>487552</v>
      </c>
      <c r="BV19">
        <v>99858.41</v>
      </c>
      <c r="BW19">
        <v>0</v>
      </c>
      <c r="BX19">
        <v>0</v>
      </c>
      <c r="BY19">
        <v>289421.02</v>
      </c>
      <c r="BZ19">
        <v>249574.62</v>
      </c>
      <c r="CA19">
        <v>169431.11</v>
      </c>
      <c r="CB19">
        <v>11741.73</v>
      </c>
      <c r="CC19">
        <v>68401.78</v>
      </c>
      <c r="CD19">
        <v>39846.4</v>
      </c>
      <c r="CE19">
        <v>0</v>
      </c>
      <c r="CF19">
        <v>39846.4</v>
      </c>
      <c r="CG19">
        <v>0</v>
      </c>
      <c r="CH19">
        <v>9430109.25499057</v>
      </c>
      <c r="CI19">
        <v>545566</v>
      </c>
      <c r="CJ19">
        <v>0</v>
      </c>
      <c r="CK19">
        <v>0</v>
      </c>
      <c r="CL19">
        <v>275873</v>
      </c>
      <c r="CM19">
        <v>95606</v>
      </c>
      <c r="CN19">
        <v>3089</v>
      </c>
      <c r="CO19">
        <v>170998</v>
      </c>
      <c r="CP19">
        <v>750000</v>
      </c>
      <c r="CQ19">
        <v>33790.36</v>
      </c>
      <c r="CR19">
        <v>9240.09</v>
      </c>
      <c r="CS19">
        <v>22083.77</v>
      </c>
      <c r="CT19">
        <v>0</v>
      </c>
      <c r="CU19">
        <v>1266.5</v>
      </c>
      <c r="CV19">
        <v>0</v>
      </c>
      <c r="CW19">
        <v>0</v>
      </c>
      <c r="CX19">
        <v>1200</v>
      </c>
      <c r="CY19">
        <v>88507.565990566</v>
      </c>
      <c r="CZ19">
        <v>5783.875</v>
      </c>
      <c r="DA19">
        <v>0</v>
      </c>
      <c r="DB19">
        <v>455.1875</v>
      </c>
      <c r="DC19">
        <v>270</v>
      </c>
      <c r="DD19">
        <v>57900</v>
      </c>
      <c r="DE19">
        <v>0</v>
      </c>
      <c r="DF19">
        <v>24098.503490566</v>
      </c>
      <c r="DG19">
        <v>0</v>
      </c>
      <c r="DH19" s="3">
        <v>602224</v>
      </c>
      <c r="DI19">
        <v>84434.9</v>
      </c>
      <c r="DJ19">
        <v>0</v>
      </c>
      <c r="DK19">
        <v>0</v>
      </c>
      <c r="DL19">
        <v>0</v>
      </c>
      <c r="DM19">
        <v>0</v>
      </c>
      <c r="DN19">
        <v>0</v>
      </c>
      <c r="DO19">
        <v>0</v>
      </c>
      <c r="DP19">
        <v>84434.9</v>
      </c>
      <c r="DQ19">
        <v>0</v>
      </c>
      <c r="DR19">
        <v>0</v>
      </c>
      <c r="DS19">
        <v>0</v>
      </c>
      <c r="DT19">
        <v>0</v>
      </c>
      <c r="DU19">
        <v>0</v>
      </c>
      <c r="DV19">
        <v>0</v>
      </c>
      <c r="DW19">
        <v>0</v>
      </c>
      <c r="DX19">
        <v>0</v>
      </c>
      <c r="DY19">
        <v>0</v>
      </c>
      <c r="DZ19">
        <v>0</v>
      </c>
      <c r="EA19">
        <v>0</v>
      </c>
      <c r="EB19">
        <v>0</v>
      </c>
      <c r="EC19">
        <v>0</v>
      </c>
      <c r="ED19">
        <v>0</v>
      </c>
      <c r="EE19">
        <v>0</v>
      </c>
      <c r="EF19">
        <v>58843</v>
      </c>
      <c r="EG19">
        <v>0</v>
      </c>
      <c r="EH19">
        <v>227240.54</v>
      </c>
      <c r="EI19">
        <v>1900722.34</v>
      </c>
      <c r="EJ19">
        <v>0</v>
      </c>
      <c r="EK19">
        <v>0</v>
      </c>
      <c r="EL19">
        <v>0</v>
      </c>
      <c r="EM19">
        <v>0</v>
      </c>
      <c r="EN19">
        <v>0</v>
      </c>
      <c r="EO19">
        <v>26544</v>
      </c>
      <c r="EP19">
        <v>0</v>
      </c>
      <c r="EQ19">
        <v>26544</v>
      </c>
      <c r="ER19">
        <v>59940</v>
      </c>
      <c r="ES19">
        <v>0</v>
      </c>
      <c r="ET19">
        <v>0</v>
      </c>
      <c r="EU19">
        <v>600</v>
      </c>
      <c r="EV19" s="4">
        <v>200</v>
      </c>
      <c r="EW19">
        <v>0</v>
      </c>
      <c r="EX19">
        <v>0</v>
      </c>
      <c r="EY19" s="4">
        <v>200</v>
      </c>
      <c r="EZ19">
        <v>0</v>
      </c>
      <c r="FA19">
        <v>0</v>
      </c>
      <c r="FB19">
        <v>0</v>
      </c>
      <c r="FC19">
        <v>0</v>
      </c>
      <c r="FD19">
        <v>0</v>
      </c>
      <c r="FE19">
        <v>0</v>
      </c>
      <c r="FF19">
        <v>0</v>
      </c>
      <c r="FG19">
        <v>0</v>
      </c>
      <c r="FH19">
        <v>0</v>
      </c>
      <c r="FI19" s="4">
        <v>4120334.95</v>
      </c>
      <c r="FJ19">
        <v>279250.72</v>
      </c>
      <c r="FK19">
        <v>279250.72</v>
      </c>
      <c r="FL19">
        <v>0</v>
      </c>
      <c r="FM19" s="4">
        <v>8425</v>
      </c>
      <c r="FN19">
        <v>0</v>
      </c>
      <c r="FO19">
        <v>0</v>
      </c>
      <c r="FP19">
        <v>0</v>
      </c>
      <c r="FQ19">
        <v>0</v>
      </c>
      <c r="FR19">
        <v>8425</v>
      </c>
      <c r="FS19">
        <v>0</v>
      </c>
      <c r="FT19">
        <v>166060.872</v>
      </c>
      <c r="FU19">
        <v>415152.18</v>
      </c>
      <c r="FV19">
        <v>62272.827</v>
      </c>
      <c r="FY19">
        <v>20757609</v>
      </c>
      <c r="FZ19">
        <v>16237079.4964873</v>
      </c>
      <c r="GA19">
        <v>2394480.52989676</v>
      </c>
      <c r="GB19">
        <v>13842598.9665906</v>
      </c>
      <c r="GC19">
        <v>6915010.03340943</v>
      </c>
      <c r="GD19">
        <v>0.333131336726182</v>
      </c>
      <c r="GE19">
        <v>4520529.50351267</v>
      </c>
      <c r="GF19">
        <v>0.217776984984767</v>
      </c>
      <c r="GJ19">
        <v>45399</v>
      </c>
      <c r="GL19">
        <v>45410</v>
      </c>
      <c r="GO19">
        <v>45413</v>
      </c>
      <c r="GR19">
        <v>45422</v>
      </c>
      <c r="GU19">
        <v>45454</v>
      </c>
      <c r="HA19">
        <v>45455</v>
      </c>
      <c r="HB19">
        <v>45459</v>
      </c>
      <c r="HE19">
        <v>37</v>
      </c>
      <c r="HF19">
        <v>4</v>
      </c>
      <c r="HG19">
        <v>8</v>
      </c>
      <c r="HH19">
        <v>25</v>
      </c>
      <c r="HK19">
        <v>284</v>
      </c>
      <c r="HL19">
        <v>194</v>
      </c>
      <c r="HM19">
        <v>214</v>
      </c>
      <c r="HN19">
        <v>0</v>
      </c>
      <c r="HO19">
        <v>0</v>
      </c>
      <c r="HP19">
        <v>0</v>
      </c>
      <c r="HQ19">
        <v>336</v>
      </c>
      <c r="HR19">
        <v>141</v>
      </c>
      <c r="HU19" s="10"/>
    </row>
    <row r="20" spans="1:229">
      <c r="A20" s="1">
        <f t="shared" si="0"/>
        <v>19</v>
      </c>
      <c r="B20" s="2">
        <v>2024</v>
      </c>
      <c r="C20" s="2" t="s">
        <v>717</v>
      </c>
      <c r="D20" s="2" t="s">
        <v>27</v>
      </c>
      <c r="E20" s="9">
        <v>50639</v>
      </c>
      <c r="F20" s="2" t="s">
        <v>723</v>
      </c>
      <c r="G20" s="2" t="s">
        <v>36</v>
      </c>
      <c r="H20" s="2" t="s">
        <v>711</v>
      </c>
      <c r="I20" s="2" t="s">
        <v>724</v>
      </c>
      <c r="J20" t="s">
        <v>310</v>
      </c>
      <c r="K20" t="s">
        <v>41</v>
      </c>
      <c r="L20" t="s">
        <v>32</v>
      </c>
      <c r="M20">
        <v>3</v>
      </c>
      <c r="N20">
        <v>3184</v>
      </c>
      <c r="O20" s="3">
        <v>3197</v>
      </c>
      <c r="P20" s="4">
        <v>8</v>
      </c>
      <c r="Q20" s="4">
        <v>0</v>
      </c>
      <c r="R20" s="4">
        <v>25</v>
      </c>
      <c r="S20" s="4">
        <v>7</v>
      </c>
      <c r="T20" s="4">
        <v>32</v>
      </c>
      <c r="U20" s="4">
        <v>40</v>
      </c>
      <c r="V20" s="4">
        <v>0</v>
      </c>
      <c r="W20" s="4">
        <v>1.06666666666667</v>
      </c>
      <c r="X20" s="4">
        <v>1.33333333333333</v>
      </c>
      <c r="Y20" s="3">
        <v>9473594</v>
      </c>
      <c r="Z20">
        <v>113827.958696563</v>
      </c>
      <c r="AA20">
        <v>9359766.04130344</v>
      </c>
      <c r="AB20">
        <v>1412579.32555555</v>
      </c>
      <c r="AC20">
        <v>800000</v>
      </c>
      <c r="AD20">
        <v>800000</v>
      </c>
      <c r="AE20">
        <v>0</v>
      </c>
      <c r="AF20">
        <v>49780.8277777777</v>
      </c>
      <c r="AG20">
        <v>49780.8277777777</v>
      </c>
      <c r="AH20">
        <v>0</v>
      </c>
      <c r="AI20">
        <v>16131.8311111111</v>
      </c>
      <c r="AJ20">
        <v>5983.52555555556</v>
      </c>
      <c r="AK20">
        <v>5674.36222222223</v>
      </c>
      <c r="AL20">
        <v>4473.94333333333</v>
      </c>
      <c r="AM20">
        <v>0</v>
      </c>
      <c r="AN20">
        <v>0</v>
      </c>
      <c r="AO20">
        <v>0</v>
      </c>
      <c r="AP20">
        <v>0</v>
      </c>
      <c r="AQ20">
        <v>0</v>
      </c>
      <c r="AR20">
        <v>0</v>
      </c>
      <c r="AS20">
        <v>0</v>
      </c>
      <c r="AT20">
        <v>0</v>
      </c>
      <c r="AU20">
        <v>0</v>
      </c>
      <c r="AV20">
        <v>0</v>
      </c>
      <c r="AW20">
        <v>0</v>
      </c>
      <c r="AX20">
        <v>0</v>
      </c>
      <c r="AY20">
        <v>546666.666666665</v>
      </c>
      <c r="AZ20">
        <v>7947186.71574789</v>
      </c>
      <c r="BA20">
        <v>1876409.5258</v>
      </c>
      <c r="BB20">
        <v>51610.6188</v>
      </c>
      <c r="BC20">
        <v>51610.6188</v>
      </c>
      <c r="BD20">
        <v>0</v>
      </c>
      <c r="BE20">
        <v>0</v>
      </c>
      <c r="BF20">
        <v>584111</v>
      </c>
      <c r="BG20">
        <v>584111</v>
      </c>
      <c r="BH20">
        <v>0</v>
      </c>
      <c r="BI20">
        <v>9787.9914</v>
      </c>
      <c r="BJ20">
        <v>98709</v>
      </c>
      <c r="BK20">
        <v>549228.35</v>
      </c>
      <c r="BL20">
        <v>304728.35</v>
      </c>
      <c r="BM20">
        <v>244500</v>
      </c>
      <c r="BN20">
        <v>189763.7156</v>
      </c>
      <c r="BO20">
        <v>143828.74</v>
      </c>
      <c r="BP20">
        <v>51200</v>
      </c>
      <c r="BQ20">
        <v>0</v>
      </c>
      <c r="BR20">
        <v>0</v>
      </c>
      <c r="BS20">
        <v>92628.74</v>
      </c>
      <c r="BT20">
        <v>249370.11</v>
      </c>
      <c r="BU20">
        <v>201411</v>
      </c>
      <c r="BV20">
        <v>47959.11</v>
      </c>
      <c r="BW20">
        <v>0</v>
      </c>
      <c r="BX20">
        <v>0</v>
      </c>
      <c r="BY20">
        <v>362364.07</v>
      </c>
      <c r="BZ20">
        <v>164504.92</v>
      </c>
      <c r="CA20">
        <v>23376.09</v>
      </c>
      <c r="CB20">
        <v>73439.19</v>
      </c>
      <c r="CC20">
        <v>67689.64</v>
      </c>
      <c r="CD20">
        <v>197859.15</v>
      </c>
      <c r="CE20">
        <v>124932.58</v>
      </c>
      <c r="CF20">
        <v>72926.57</v>
      </c>
      <c r="CG20">
        <v>0</v>
      </c>
      <c r="CH20">
        <v>5708413.11994789</v>
      </c>
      <c r="CI20">
        <v>484552</v>
      </c>
      <c r="CJ20">
        <v>0</v>
      </c>
      <c r="CK20">
        <v>0</v>
      </c>
      <c r="CL20">
        <v>103449</v>
      </c>
      <c r="CM20">
        <v>213446</v>
      </c>
      <c r="CN20">
        <v>4990</v>
      </c>
      <c r="CO20">
        <v>162667</v>
      </c>
      <c r="CP20">
        <v>319999.999999999</v>
      </c>
      <c r="CQ20">
        <v>23467.0828571429</v>
      </c>
      <c r="CR20">
        <v>7107.76</v>
      </c>
      <c r="CS20">
        <v>15252.18</v>
      </c>
      <c r="CT20">
        <v>0</v>
      </c>
      <c r="CU20">
        <v>250</v>
      </c>
      <c r="CV20">
        <v>0</v>
      </c>
      <c r="CW20">
        <v>0</v>
      </c>
      <c r="CX20">
        <v>857.142857142857</v>
      </c>
      <c r="CY20">
        <v>8452.07690026954</v>
      </c>
      <c r="CZ20">
        <v>5465.5</v>
      </c>
      <c r="DA20">
        <v>0</v>
      </c>
      <c r="DB20">
        <v>414</v>
      </c>
      <c r="DC20">
        <v>47.1428571428571</v>
      </c>
      <c r="DD20">
        <v>0</v>
      </c>
      <c r="DE20">
        <v>0</v>
      </c>
      <c r="DF20">
        <v>2525.43404312668</v>
      </c>
      <c r="DG20">
        <v>0</v>
      </c>
      <c r="DH20" s="3">
        <v>710998</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48039</v>
      </c>
      <c r="EG20">
        <v>0</v>
      </c>
      <c r="EH20">
        <v>126605.38</v>
      </c>
      <c r="EI20">
        <v>1439056.87</v>
      </c>
      <c r="EJ20">
        <v>0</v>
      </c>
      <c r="EK20">
        <v>0</v>
      </c>
      <c r="EL20">
        <v>25514</v>
      </c>
      <c r="EM20">
        <v>0</v>
      </c>
      <c r="EN20">
        <v>0</v>
      </c>
      <c r="EO20">
        <v>5214</v>
      </c>
      <c r="EP20">
        <v>0</v>
      </c>
      <c r="EQ20">
        <v>5214</v>
      </c>
      <c r="ER20">
        <v>43200</v>
      </c>
      <c r="ES20">
        <v>0</v>
      </c>
      <c r="ET20">
        <v>0</v>
      </c>
      <c r="EU20">
        <v>840</v>
      </c>
      <c r="EV20" s="4">
        <v>133.333333333333</v>
      </c>
      <c r="EW20">
        <v>0</v>
      </c>
      <c r="EX20">
        <v>0</v>
      </c>
      <c r="EY20" s="4">
        <v>133.333333333333</v>
      </c>
      <c r="EZ20">
        <v>0</v>
      </c>
      <c r="FA20">
        <v>0</v>
      </c>
      <c r="FB20">
        <v>0</v>
      </c>
      <c r="FC20">
        <v>0</v>
      </c>
      <c r="FD20">
        <v>0</v>
      </c>
      <c r="FE20">
        <v>0</v>
      </c>
      <c r="FF20">
        <v>0</v>
      </c>
      <c r="FG20">
        <v>0</v>
      </c>
      <c r="FH20">
        <v>0</v>
      </c>
      <c r="FI20" s="4">
        <v>2003435.17</v>
      </c>
      <c r="FJ20">
        <v>123667.65</v>
      </c>
      <c r="FK20">
        <v>123667.65</v>
      </c>
      <c r="FL20">
        <v>0</v>
      </c>
      <c r="FM20" s="4">
        <v>51557.1428571428</v>
      </c>
      <c r="FN20">
        <v>0</v>
      </c>
      <c r="FO20">
        <v>0</v>
      </c>
      <c r="FP20">
        <v>0</v>
      </c>
      <c r="FQ20">
        <v>0</v>
      </c>
      <c r="FR20">
        <v>51557.1428571428</v>
      </c>
      <c r="FS20">
        <v>0</v>
      </c>
      <c r="FT20">
        <v>75788.752</v>
      </c>
      <c r="FU20">
        <v>189471.88</v>
      </c>
      <c r="FV20">
        <v>28420.782</v>
      </c>
      <c r="FY20">
        <v>9473594</v>
      </c>
      <c r="FZ20">
        <v>9359766.04130344</v>
      </c>
      <c r="GA20">
        <v>1412579.32555555</v>
      </c>
      <c r="GB20">
        <v>7947186.71574789</v>
      </c>
      <c r="GC20">
        <v>1526407.28425211</v>
      </c>
      <c r="GD20">
        <v>0.161122303135654</v>
      </c>
      <c r="GE20">
        <v>113827.958696563</v>
      </c>
      <c r="GF20">
        <v>0.0120152878302113</v>
      </c>
      <c r="GJ20">
        <v>45520</v>
      </c>
      <c r="GL20">
        <v>45528</v>
      </c>
      <c r="GO20">
        <v>45534</v>
      </c>
      <c r="GR20">
        <v>45547</v>
      </c>
      <c r="GU20" t="s">
        <v>694</v>
      </c>
      <c r="HA20">
        <v>45553</v>
      </c>
      <c r="HB20">
        <v>45560</v>
      </c>
      <c r="HE20">
        <v>40</v>
      </c>
      <c r="HF20">
        <v>10</v>
      </c>
      <c r="HG20">
        <v>14</v>
      </c>
      <c r="HH20">
        <v>16</v>
      </c>
      <c r="HK20">
        <v>143</v>
      </c>
      <c r="HL20">
        <v>21</v>
      </c>
      <c r="HM20">
        <v>38</v>
      </c>
      <c r="HN20">
        <v>32</v>
      </c>
      <c r="HO20">
        <v>0</v>
      </c>
      <c r="HP20">
        <v>26</v>
      </c>
      <c r="HQ20">
        <v>364</v>
      </c>
      <c r="HR20">
        <v>148</v>
      </c>
      <c r="HU20" s="10"/>
    </row>
    <row r="21" spans="1:229">
      <c r="A21" s="1">
        <f t="shared" si="0"/>
        <v>20</v>
      </c>
      <c r="B21" s="2">
        <v>2024</v>
      </c>
      <c r="C21" s="2" t="s">
        <v>708</v>
      </c>
      <c r="D21" s="2" t="s">
        <v>27</v>
      </c>
      <c r="E21" s="9">
        <v>40573</v>
      </c>
      <c r="F21" s="2" t="s">
        <v>725</v>
      </c>
      <c r="G21" s="2" t="s">
        <v>726</v>
      </c>
      <c r="H21" s="2" t="s">
        <v>727</v>
      </c>
      <c r="I21" s="2" t="s">
        <v>728</v>
      </c>
      <c r="J21" t="s">
        <v>310</v>
      </c>
      <c r="K21" t="s">
        <v>41</v>
      </c>
      <c r="L21" t="s">
        <v>32</v>
      </c>
      <c r="M21">
        <v>2</v>
      </c>
      <c r="N21">
        <v>1997</v>
      </c>
      <c r="O21" s="3">
        <v>1997</v>
      </c>
      <c r="P21" s="4">
        <v>5</v>
      </c>
      <c r="Q21" s="4">
        <v>0</v>
      </c>
      <c r="R21" s="4">
        <v>6</v>
      </c>
      <c r="S21" s="4">
        <v>3</v>
      </c>
      <c r="T21" s="4">
        <v>9</v>
      </c>
      <c r="U21" s="4">
        <v>14</v>
      </c>
      <c r="V21" s="4">
        <v>0</v>
      </c>
      <c r="W21" s="4">
        <v>0.3</v>
      </c>
      <c r="X21" s="4">
        <v>0.466666666666667</v>
      </c>
      <c r="Y21" s="3">
        <v>2250179</v>
      </c>
      <c r="Z21">
        <v>77266.0942777777</v>
      </c>
      <c r="AA21">
        <v>2172912.90572222</v>
      </c>
      <c r="AB21">
        <v>349039.075388889</v>
      </c>
      <c r="AC21">
        <v>151666.666666667</v>
      </c>
      <c r="AD21">
        <v>151666.666666667</v>
      </c>
      <c r="AE21">
        <v>0</v>
      </c>
      <c r="AF21">
        <v>4379.718</v>
      </c>
      <c r="AG21">
        <v>4379.718</v>
      </c>
      <c r="AH21">
        <v>0</v>
      </c>
      <c r="AI21">
        <v>1659.35738888889</v>
      </c>
      <c r="AJ21">
        <v>1188.33011111111</v>
      </c>
      <c r="AK21">
        <v>0</v>
      </c>
      <c r="AL21">
        <v>471.027277777779</v>
      </c>
      <c r="AM21">
        <v>0</v>
      </c>
      <c r="AN21">
        <v>0</v>
      </c>
      <c r="AO21">
        <v>0</v>
      </c>
      <c r="AP21">
        <v>0</v>
      </c>
      <c r="AQ21">
        <v>0</v>
      </c>
      <c r="AR21">
        <v>0</v>
      </c>
      <c r="AS21">
        <v>0</v>
      </c>
      <c r="AT21">
        <v>0</v>
      </c>
      <c r="AU21">
        <v>0</v>
      </c>
      <c r="AV21">
        <v>0</v>
      </c>
      <c r="AW21">
        <v>0</v>
      </c>
      <c r="AX21">
        <v>0</v>
      </c>
      <c r="AY21">
        <v>191333.333333333</v>
      </c>
      <c r="AZ21">
        <v>1823873.83033333</v>
      </c>
      <c r="BA21">
        <v>679011.538</v>
      </c>
      <c r="BB21">
        <v>34271.694</v>
      </c>
      <c r="BC21">
        <v>34271.694</v>
      </c>
      <c r="BD21">
        <v>0</v>
      </c>
      <c r="BE21">
        <v>0</v>
      </c>
      <c r="BF21">
        <v>201547</v>
      </c>
      <c r="BG21">
        <v>201547</v>
      </c>
      <c r="BH21">
        <v>0</v>
      </c>
      <c r="BI21">
        <v>12042.324</v>
      </c>
      <c r="BJ21">
        <v>188890</v>
      </c>
      <c r="BK21">
        <v>12263.68</v>
      </c>
      <c r="BL21">
        <v>12263.68</v>
      </c>
      <c r="BM21">
        <v>0</v>
      </c>
      <c r="BN21">
        <v>25515.76</v>
      </c>
      <c r="BO21">
        <v>86637.51</v>
      </c>
      <c r="BP21">
        <v>14400</v>
      </c>
      <c r="BQ21">
        <v>0</v>
      </c>
      <c r="BR21">
        <v>0</v>
      </c>
      <c r="BS21">
        <v>72237.51</v>
      </c>
      <c r="BT21">
        <v>117843.57</v>
      </c>
      <c r="BU21">
        <v>107838</v>
      </c>
      <c r="BV21">
        <v>10005.57</v>
      </c>
      <c r="BW21">
        <v>0</v>
      </c>
      <c r="BX21">
        <v>0</v>
      </c>
      <c r="BY21">
        <v>17166.83</v>
      </c>
      <c r="BZ21">
        <v>17166.83</v>
      </c>
      <c r="CA21">
        <v>1106.24</v>
      </c>
      <c r="CB21">
        <v>15473.35</v>
      </c>
      <c r="CC21">
        <v>587.24</v>
      </c>
      <c r="CD21">
        <v>0</v>
      </c>
      <c r="CE21">
        <v>0</v>
      </c>
      <c r="CF21">
        <v>0</v>
      </c>
      <c r="CG21">
        <v>0</v>
      </c>
      <c r="CH21">
        <v>1127695.46233333</v>
      </c>
      <c r="CI21">
        <v>261033</v>
      </c>
      <c r="CJ21">
        <v>0</v>
      </c>
      <c r="CK21">
        <v>0</v>
      </c>
      <c r="CL21">
        <v>128233</v>
      </c>
      <c r="CM21">
        <v>46453</v>
      </c>
      <c r="CN21">
        <v>22801</v>
      </c>
      <c r="CO21">
        <v>63546</v>
      </c>
      <c r="CP21">
        <v>168000</v>
      </c>
      <c r="CQ21">
        <v>9449</v>
      </c>
      <c r="CR21">
        <v>710</v>
      </c>
      <c r="CS21">
        <v>8052</v>
      </c>
      <c r="CT21">
        <v>0</v>
      </c>
      <c r="CU21">
        <v>187</v>
      </c>
      <c r="CV21">
        <v>0</v>
      </c>
      <c r="CW21">
        <v>0</v>
      </c>
      <c r="CX21">
        <v>500</v>
      </c>
      <c r="CY21">
        <v>46091.3866666667</v>
      </c>
      <c r="CZ21">
        <v>23491.5</v>
      </c>
      <c r="DA21">
        <v>0</v>
      </c>
      <c r="DB21">
        <v>200</v>
      </c>
      <c r="DC21">
        <v>82.5</v>
      </c>
      <c r="DD21">
        <v>0</v>
      </c>
      <c r="DE21">
        <v>0</v>
      </c>
      <c r="DF21">
        <v>22317.3866666667</v>
      </c>
      <c r="DG21">
        <v>0</v>
      </c>
      <c r="DH21" s="3">
        <v>142003</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5058</v>
      </c>
      <c r="EG21">
        <v>0</v>
      </c>
      <c r="EH21">
        <v>0</v>
      </c>
      <c r="EI21">
        <v>110867.9</v>
      </c>
      <c r="EJ21">
        <v>0</v>
      </c>
      <c r="EK21">
        <v>0</v>
      </c>
      <c r="EL21">
        <v>0</v>
      </c>
      <c r="EM21">
        <v>45835</v>
      </c>
      <c r="EN21">
        <v>0</v>
      </c>
      <c r="EO21">
        <v>5332.5</v>
      </c>
      <c r="EP21">
        <v>0</v>
      </c>
      <c r="EQ21">
        <v>5332.5</v>
      </c>
      <c r="ER21">
        <v>13986</v>
      </c>
      <c r="ES21">
        <v>0</v>
      </c>
      <c r="ET21">
        <v>0</v>
      </c>
      <c r="EU21">
        <v>0</v>
      </c>
      <c r="EV21" s="4">
        <v>46.6666666666667</v>
      </c>
      <c r="EW21">
        <v>0</v>
      </c>
      <c r="EX21">
        <v>0</v>
      </c>
      <c r="EY21" s="4">
        <v>46.6666666666667</v>
      </c>
      <c r="EZ21">
        <v>0</v>
      </c>
      <c r="FA21">
        <v>0</v>
      </c>
      <c r="FB21">
        <v>0</v>
      </c>
      <c r="FC21">
        <v>0</v>
      </c>
      <c r="FD21">
        <v>0</v>
      </c>
      <c r="FE21">
        <v>45000</v>
      </c>
      <c r="FF21">
        <v>0</v>
      </c>
      <c r="FG21">
        <v>45000</v>
      </c>
      <c r="FH21">
        <v>0</v>
      </c>
      <c r="FI21" s="4">
        <v>161212.92</v>
      </c>
      <c r="FJ21">
        <v>41212.04</v>
      </c>
      <c r="FK21">
        <v>41212.04</v>
      </c>
      <c r="FL21">
        <v>0</v>
      </c>
      <c r="FM21" s="4">
        <v>2812.5</v>
      </c>
      <c r="FN21">
        <v>0</v>
      </c>
      <c r="FO21">
        <v>0</v>
      </c>
      <c r="FP21">
        <v>0</v>
      </c>
      <c r="FQ21">
        <v>0</v>
      </c>
      <c r="FR21">
        <v>2812.5</v>
      </c>
      <c r="FS21">
        <v>0</v>
      </c>
      <c r="FT21">
        <v>18001.432</v>
      </c>
      <c r="FU21">
        <v>45003.58</v>
      </c>
      <c r="FV21">
        <v>6750.537</v>
      </c>
      <c r="FY21">
        <v>2250179</v>
      </c>
      <c r="FZ21">
        <v>2172912.90572222</v>
      </c>
      <c r="GA21">
        <v>349039.075388889</v>
      </c>
      <c r="GB21">
        <v>1823873.83033333</v>
      </c>
      <c r="GC21">
        <v>426305.169666667</v>
      </c>
      <c r="GD21">
        <v>0.189453892186651</v>
      </c>
      <c r="GE21">
        <v>77266.0942777777</v>
      </c>
      <c r="GF21">
        <v>0.0343377545865363</v>
      </c>
      <c r="GJ21">
        <v>45615</v>
      </c>
      <c r="GL21">
        <v>45620</v>
      </c>
      <c r="GO21">
        <v>45622</v>
      </c>
      <c r="GR21" t="s">
        <v>694</v>
      </c>
      <c r="GU21" t="s">
        <v>694</v>
      </c>
      <c r="HA21">
        <v>45626</v>
      </c>
      <c r="HB21">
        <v>45629</v>
      </c>
      <c r="HE21">
        <v>37</v>
      </c>
      <c r="HF21">
        <v>4</v>
      </c>
      <c r="HG21">
        <v>9</v>
      </c>
      <c r="HH21">
        <v>24</v>
      </c>
      <c r="HK21">
        <v>41</v>
      </c>
      <c r="HL21">
        <v>9</v>
      </c>
      <c r="HM21">
        <v>24</v>
      </c>
      <c r="HN21">
        <v>4</v>
      </c>
      <c r="HO21">
        <v>0</v>
      </c>
      <c r="HP21">
        <v>13</v>
      </c>
      <c r="HQ21">
        <v>91</v>
      </c>
      <c r="HR21">
        <v>39</v>
      </c>
      <c r="HU21" s="10"/>
    </row>
    <row r="22" spans="1:229">
      <c r="A22" s="1">
        <f t="shared" si="0"/>
        <v>21</v>
      </c>
      <c r="B22" s="2">
        <v>2024</v>
      </c>
      <c r="C22" s="2" t="s">
        <v>45</v>
      </c>
      <c r="D22" s="2" t="s">
        <v>27</v>
      </c>
      <c r="E22" s="9">
        <v>70520</v>
      </c>
      <c r="F22" s="2" t="s">
        <v>699</v>
      </c>
      <c r="G22" s="2" t="s">
        <v>28</v>
      </c>
      <c r="H22" s="2" t="s">
        <v>711</v>
      </c>
      <c r="I22" s="2" t="s">
        <v>729</v>
      </c>
      <c r="J22" t="s">
        <v>326</v>
      </c>
      <c r="K22" t="s">
        <v>730</v>
      </c>
      <c r="L22" t="s">
        <v>32</v>
      </c>
      <c r="M22">
        <v>3</v>
      </c>
      <c r="N22">
        <v>5148</v>
      </c>
      <c r="O22" s="3">
        <v>5175</v>
      </c>
      <c r="P22" s="4">
        <v>8</v>
      </c>
      <c r="Q22" s="4">
        <v>0</v>
      </c>
      <c r="R22" s="4">
        <v>49</v>
      </c>
      <c r="S22" s="4">
        <v>14</v>
      </c>
      <c r="T22" s="4">
        <v>63</v>
      </c>
      <c r="U22" s="4">
        <v>71</v>
      </c>
      <c r="V22" s="4">
        <v>0</v>
      </c>
      <c r="W22" s="4">
        <v>2.1</v>
      </c>
      <c r="X22" s="4">
        <v>2.36666666666667</v>
      </c>
      <c r="Y22" s="3">
        <v>15579265</v>
      </c>
      <c r="Z22">
        <v>413934.435326189</v>
      </c>
      <c r="AA22">
        <v>15165330.5646738</v>
      </c>
      <c r="AB22">
        <v>2197849.17975</v>
      </c>
      <c r="AC22">
        <v>1124166.66666667</v>
      </c>
      <c r="AD22">
        <v>1124166.66666667</v>
      </c>
      <c r="AE22">
        <v>0</v>
      </c>
      <c r="AF22">
        <v>70743.4415</v>
      </c>
      <c r="AG22">
        <v>70743.4415</v>
      </c>
      <c r="AH22">
        <v>0</v>
      </c>
      <c r="AI22">
        <v>32605.7382499999</v>
      </c>
      <c r="AJ22">
        <v>24091.4261388888</v>
      </c>
      <c r="AK22">
        <v>8153.61041666667</v>
      </c>
      <c r="AL22">
        <v>360.701694444445</v>
      </c>
      <c r="AM22">
        <v>0</v>
      </c>
      <c r="AN22">
        <v>0</v>
      </c>
      <c r="AO22">
        <v>0</v>
      </c>
      <c r="AP22">
        <v>0</v>
      </c>
      <c r="AQ22">
        <v>0</v>
      </c>
      <c r="AR22">
        <v>0</v>
      </c>
      <c r="AS22">
        <v>0</v>
      </c>
      <c r="AT22">
        <v>0</v>
      </c>
      <c r="AU22">
        <v>0</v>
      </c>
      <c r="AV22">
        <v>0</v>
      </c>
      <c r="AW22">
        <v>0</v>
      </c>
      <c r="AX22">
        <v>0</v>
      </c>
      <c r="AY22">
        <v>970333.333333335</v>
      </c>
      <c r="AZ22">
        <v>12967481.3849238</v>
      </c>
      <c r="BA22">
        <v>4311708.8304</v>
      </c>
      <c r="BB22">
        <v>571130.5464</v>
      </c>
      <c r="BC22">
        <v>571130.5464</v>
      </c>
      <c r="BD22">
        <v>0</v>
      </c>
      <c r="BE22">
        <v>0</v>
      </c>
      <c r="BF22">
        <v>1531414</v>
      </c>
      <c r="BG22">
        <v>1531414</v>
      </c>
      <c r="BH22">
        <v>0</v>
      </c>
      <c r="BI22">
        <v>34272.612</v>
      </c>
      <c r="BJ22">
        <v>103363</v>
      </c>
      <c r="BK22">
        <v>902962.77</v>
      </c>
      <c r="BL22">
        <v>600210.48</v>
      </c>
      <c r="BM22">
        <v>302752.29</v>
      </c>
      <c r="BN22">
        <v>251561.062</v>
      </c>
      <c r="BO22">
        <v>269729.7</v>
      </c>
      <c r="BP22">
        <v>100800</v>
      </c>
      <c r="BQ22">
        <v>0</v>
      </c>
      <c r="BR22">
        <v>0</v>
      </c>
      <c r="BS22">
        <v>168929.7</v>
      </c>
      <c r="BT22">
        <v>647275.14</v>
      </c>
      <c r="BU22">
        <v>538200</v>
      </c>
      <c r="BV22">
        <v>109075.14</v>
      </c>
      <c r="BW22">
        <v>0</v>
      </c>
      <c r="BX22">
        <v>0</v>
      </c>
      <c r="BY22">
        <v>751408.44</v>
      </c>
      <c r="BZ22">
        <v>127986.13</v>
      </c>
      <c r="CA22">
        <v>27240.35</v>
      </c>
      <c r="CB22">
        <v>9106.62</v>
      </c>
      <c r="CC22">
        <v>91639.16</v>
      </c>
      <c r="CD22">
        <v>623422.31</v>
      </c>
      <c r="CE22">
        <v>415748.93</v>
      </c>
      <c r="CF22">
        <v>207673.38</v>
      </c>
      <c r="CG22">
        <v>0</v>
      </c>
      <c r="CH22">
        <v>7904364.11452381</v>
      </c>
      <c r="CI22">
        <v>709974</v>
      </c>
      <c r="CJ22">
        <v>0</v>
      </c>
      <c r="CK22">
        <v>0</v>
      </c>
      <c r="CL22">
        <v>370368</v>
      </c>
      <c r="CM22">
        <v>89945</v>
      </c>
      <c r="CN22">
        <v>63178</v>
      </c>
      <c r="CO22">
        <v>186483</v>
      </c>
      <c r="CP22">
        <v>923000.000000001</v>
      </c>
      <c r="CQ22">
        <v>32148.3371428571</v>
      </c>
      <c r="CR22">
        <v>2843.1</v>
      </c>
      <c r="CS22">
        <v>27104.38</v>
      </c>
      <c r="CT22">
        <v>0</v>
      </c>
      <c r="CU22">
        <v>458</v>
      </c>
      <c r="CV22">
        <v>0</v>
      </c>
      <c r="CW22">
        <v>0</v>
      </c>
      <c r="CX22">
        <v>1742.85714285714</v>
      </c>
      <c r="CY22">
        <v>14645.9271428571</v>
      </c>
      <c r="CZ22">
        <v>4873.78571428571</v>
      </c>
      <c r="DA22">
        <v>0</v>
      </c>
      <c r="DB22">
        <v>417.79</v>
      </c>
      <c r="DC22">
        <v>138.571428571429</v>
      </c>
      <c r="DD22">
        <v>0</v>
      </c>
      <c r="DE22">
        <v>2500</v>
      </c>
      <c r="DF22">
        <v>6715.78</v>
      </c>
      <c r="DG22">
        <v>0</v>
      </c>
      <c r="DH22" s="3">
        <v>732857</v>
      </c>
      <c r="DI22">
        <v>141665.33</v>
      </c>
      <c r="DJ22">
        <v>0</v>
      </c>
      <c r="DK22">
        <v>141665.33</v>
      </c>
      <c r="DL22">
        <v>0</v>
      </c>
      <c r="DM22">
        <v>0</v>
      </c>
      <c r="DN22">
        <v>0</v>
      </c>
      <c r="DO22">
        <v>0</v>
      </c>
      <c r="DP22">
        <v>0</v>
      </c>
      <c r="DQ22">
        <v>28906.42</v>
      </c>
      <c r="DR22">
        <v>0</v>
      </c>
      <c r="DS22">
        <v>0</v>
      </c>
      <c r="DT22">
        <v>0</v>
      </c>
      <c r="DU22">
        <v>0</v>
      </c>
      <c r="DV22">
        <v>0</v>
      </c>
      <c r="DW22">
        <v>0</v>
      </c>
      <c r="DX22">
        <v>0</v>
      </c>
      <c r="DY22">
        <v>28906.42</v>
      </c>
      <c r="DZ22">
        <v>0</v>
      </c>
      <c r="EA22">
        <v>0</v>
      </c>
      <c r="EB22">
        <v>0</v>
      </c>
      <c r="EC22">
        <v>0</v>
      </c>
      <c r="ED22">
        <v>0</v>
      </c>
      <c r="EE22">
        <v>0</v>
      </c>
      <c r="EF22">
        <v>55829</v>
      </c>
      <c r="EG22">
        <v>0</v>
      </c>
      <c r="EH22">
        <v>376816.52</v>
      </c>
      <c r="EI22">
        <v>967169.53</v>
      </c>
      <c r="EJ22">
        <v>0</v>
      </c>
      <c r="EK22">
        <v>0</v>
      </c>
      <c r="EL22">
        <v>151498</v>
      </c>
      <c r="EM22">
        <v>0</v>
      </c>
      <c r="EN22">
        <v>0</v>
      </c>
      <c r="EO22">
        <v>29862</v>
      </c>
      <c r="EP22">
        <v>0</v>
      </c>
      <c r="EQ22">
        <v>29862</v>
      </c>
      <c r="ER22">
        <v>86265</v>
      </c>
      <c r="ES22">
        <v>0</v>
      </c>
      <c r="ET22">
        <v>0</v>
      </c>
      <c r="EU22">
        <v>5640</v>
      </c>
      <c r="EV22" s="4">
        <v>236.666666666667</v>
      </c>
      <c r="EW22">
        <v>0</v>
      </c>
      <c r="EX22">
        <v>0</v>
      </c>
      <c r="EY22" s="4">
        <v>236.666666666667</v>
      </c>
      <c r="EZ22">
        <v>0</v>
      </c>
      <c r="FA22">
        <v>0</v>
      </c>
      <c r="FB22">
        <v>0</v>
      </c>
      <c r="FC22">
        <v>0</v>
      </c>
      <c r="FD22">
        <v>0</v>
      </c>
      <c r="FE22">
        <v>0</v>
      </c>
      <c r="FF22">
        <v>0</v>
      </c>
      <c r="FG22">
        <v>0</v>
      </c>
      <c r="FH22">
        <v>0</v>
      </c>
      <c r="FI22" s="4">
        <v>3020760.68</v>
      </c>
      <c r="FJ22">
        <v>129328.06</v>
      </c>
      <c r="FK22">
        <v>129328.06</v>
      </c>
      <c r="FL22">
        <v>0</v>
      </c>
      <c r="FM22" s="4">
        <v>14804.4285714286</v>
      </c>
      <c r="FN22">
        <v>0</v>
      </c>
      <c r="FO22">
        <v>0</v>
      </c>
      <c r="FP22">
        <v>0</v>
      </c>
      <c r="FQ22">
        <v>0</v>
      </c>
      <c r="FR22">
        <v>14804.4285714286</v>
      </c>
      <c r="FS22">
        <v>0</v>
      </c>
      <c r="FT22">
        <v>124634.12</v>
      </c>
      <c r="FU22">
        <v>311585.3</v>
      </c>
      <c r="FV22">
        <v>46737.795</v>
      </c>
      <c r="FY22">
        <v>15579265</v>
      </c>
      <c r="FZ22">
        <v>15165330.5646738</v>
      </c>
      <c r="GA22">
        <v>2197849.17975</v>
      </c>
      <c r="GB22">
        <v>12967481.3849238</v>
      </c>
      <c r="GC22">
        <v>2611783.61507619</v>
      </c>
      <c r="GD22">
        <v>0.167644854559967</v>
      </c>
      <c r="GE22">
        <v>413934.435326189</v>
      </c>
      <c r="GF22">
        <v>0.026569574066953</v>
      </c>
      <c r="GJ22">
        <v>45386</v>
      </c>
      <c r="GL22">
        <v>45394</v>
      </c>
      <c r="GO22">
        <v>45397</v>
      </c>
      <c r="GR22">
        <v>45418</v>
      </c>
      <c r="GU22" t="s">
        <v>694</v>
      </c>
      <c r="HA22">
        <v>45443</v>
      </c>
      <c r="HB22">
        <v>45457</v>
      </c>
      <c r="HE22">
        <v>45</v>
      </c>
      <c r="HF22">
        <v>5</v>
      </c>
      <c r="HG22">
        <v>14</v>
      </c>
      <c r="HH22">
        <v>26</v>
      </c>
      <c r="HK22">
        <v>349</v>
      </c>
      <c r="HL22">
        <v>489</v>
      </c>
      <c r="HM22">
        <v>263</v>
      </c>
      <c r="HN22">
        <v>0</v>
      </c>
      <c r="HO22">
        <v>0</v>
      </c>
      <c r="HP22">
        <v>0</v>
      </c>
      <c r="HQ22">
        <v>333</v>
      </c>
      <c r="HR22">
        <v>89</v>
      </c>
      <c r="HU22" s="10"/>
    </row>
    <row r="23" spans="1:229">
      <c r="A23" s="1">
        <f t="shared" si="0"/>
        <v>22</v>
      </c>
      <c r="B23" s="2">
        <v>2024</v>
      </c>
      <c r="C23" s="2" t="s">
        <v>26</v>
      </c>
      <c r="D23" s="2" t="s">
        <v>27</v>
      </c>
      <c r="E23" s="9" t="s">
        <v>731</v>
      </c>
      <c r="F23" s="2" t="s">
        <v>732</v>
      </c>
      <c r="G23" s="2" t="s">
        <v>28</v>
      </c>
      <c r="H23" s="2" t="s">
        <v>711</v>
      </c>
      <c r="I23" s="2" t="s">
        <v>733</v>
      </c>
      <c r="J23" t="s">
        <v>326</v>
      </c>
      <c r="K23" t="s">
        <v>730</v>
      </c>
      <c r="L23" t="s">
        <v>32</v>
      </c>
      <c r="M23">
        <v>3</v>
      </c>
      <c r="N23">
        <v>5181</v>
      </c>
      <c r="O23" s="3">
        <v>5139</v>
      </c>
      <c r="P23" s="4">
        <v>9</v>
      </c>
      <c r="Q23" s="4">
        <v>0</v>
      </c>
      <c r="R23" s="4">
        <v>44</v>
      </c>
      <c r="S23" s="4">
        <v>19</v>
      </c>
      <c r="T23" s="4">
        <v>63</v>
      </c>
      <c r="U23" s="4">
        <v>72</v>
      </c>
      <c r="V23" s="4">
        <v>0</v>
      </c>
      <c r="W23" s="4">
        <v>2.1</v>
      </c>
      <c r="X23" s="4">
        <v>2.4</v>
      </c>
      <c r="Y23" s="3">
        <v>26644694</v>
      </c>
      <c r="Z23">
        <v>4091463.50235312</v>
      </c>
      <c r="AA23">
        <v>22553230.4976469</v>
      </c>
      <c r="AB23">
        <v>4403916.53923894</v>
      </c>
      <c r="AC23">
        <v>1200000</v>
      </c>
      <c r="AD23">
        <v>1200000</v>
      </c>
      <c r="AE23">
        <v>0</v>
      </c>
      <c r="AF23">
        <v>779595.824</v>
      </c>
      <c r="AG23">
        <v>30646.7899999999</v>
      </c>
      <c r="AH23">
        <v>748949.034</v>
      </c>
      <c r="AI23">
        <v>60091.894</v>
      </c>
      <c r="AJ23">
        <v>30105.18</v>
      </c>
      <c r="AK23">
        <v>15744.628</v>
      </c>
      <c r="AL23">
        <v>14242.086</v>
      </c>
      <c r="AM23">
        <v>1380228.82123894</v>
      </c>
      <c r="AN23">
        <v>202529.70619469</v>
      </c>
      <c r="AO23">
        <v>1177699.11504425</v>
      </c>
      <c r="AP23">
        <v>0</v>
      </c>
      <c r="AQ23">
        <v>0</v>
      </c>
      <c r="AR23">
        <v>0</v>
      </c>
      <c r="AS23">
        <v>0</v>
      </c>
      <c r="AT23">
        <v>0</v>
      </c>
      <c r="AU23">
        <v>0</v>
      </c>
      <c r="AV23">
        <v>0</v>
      </c>
      <c r="AW23">
        <v>0</v>
      </c>
      <c r="AX23">
        <v>0</v>
      </c>
      <c r="AY23">
        <v>984000</v>
      </c>
      <c r="AZ23">
        <v>18149313.9584079</v>
      </c>
      <c r="BA23">
        <v>4842334.693442</v>
      </c>
      <c r="BB23">
        <v>409320</v>
      </c>
      <c r="BC23">
        <v>409320</v>
      </c>
      <c r="BD23">
        <v>0</v>
      </c>
      <c r="BE23">
        <v>0</v>
      </c>
      <c r="BF23">
        <v>2070388</v>
      </c>
      <c r="BG23">
        <v>2070388</v>
      </c>
      <c r="BH23">
        <v>0</v>
      </c>
      <c r="BI23">
        <v>1743.2064</v>
      </c>
      <c r="BJ23">
        <v>218283</v>
      </c>
      <c r="BK23">
        <v>592035.43</v>
      </c>
      <c r="BL23">
        <v>274660.66</v>
      </c>
      <c r="BM23">
        <v>317374.77</v>
      </c>
      <c r="BN23">
        <v>701567.377042</v>
      </c>
      <c r="BO23">
        <v>205350.48</v>
      </c>
      <c r="BP23">
        <v>100800</v>
      </c>
      <c r="BQ23">
        <v>0</v>
      </c>
      <c r="BR23">
        <v>0</v>
      </c>
      <c r="BS23">
        <v>104550.48</v>
      </c>
      <c r="BT23">
        <v>643647.2</v>
      </c>
      <c r="BU23">
        <v>534456</v>
      </c>
      <c r="BV23">
        <v>109191.2</v>
      </c>
      <c r="BW23">
        <v>0</v>
      </c>
      <c r="BX23">
        <v>0</v>
      </c>
      <c r="BY23">
        <v>478656.711698113</v>
      </c>
      <c r="BZ23">
        <v>60051.55</v>
      </c>
      <c r="CA23">
        <v>36601.86</v>
      </c>
      <c r="CB23">
        <v>1053</v>
      </c>
      <c r="CC23">
        <v>22396.69</v>
      </c>
      <c r="CD23">
        <v>418605.161698113</v>
      </c>
      <c r="CE23">
        <v>0</v>
      </c>
      <c r="CF23">
        <v>43009.69</v>
      </c>
      <c r="CG23">
        <v>375595.471698113</v>
      </c>
      <c r="CH23">
        <v>12828322.5532678</v>
      </c>
      <c r="CI23">
        <v>1118869</v>
      </c>
      <c r="CJ23">
        <v>0</v>
      </c>
      <c r="CK23">
        <v>0</v>
      </c>
      <c r="CL23">
        <v>641522</v>
      </c>
      <c r="CM23">
        <v>168791</v>
      </c>
      <c r="CN23">
        <v>100471</v>
      </c>
      <c r="CO23">
        <v>208085</v>
      </c>
      <c r="CP23">
        <v>972000</v>
      </c>
      <c r="CQ23">
        <v>56538.1682300885</v>
      </c>
      <c r="CR23">
        <v>5253.3</v>
      </c>
      <c r="CS23">
        <v>7936.97</v>
      </c>
      <c r="CT23">
        <v>0</v>
      </c>
      <c r="CU23">
        <v>1312.5</v>
      </c>
      <c r="CV23">
        <v>0</v>
      </c>
      <c r="CW23">
        <v>0</v>
      </c>
      <c r="CX23">
        <v>42035.3982300885</v>
      </c>
      <c r="CY23">
        <v>35993.3410377359</v>
      </c>
      <c r="CZ23">
        <v>10177.875</v>
      </c>
      <c r="DA23">
        <v>0</v>
      </c>
      <c r="DB23">
        <v>925</v>
      </c>
      <c r="DC23">
        <v>185</v>
      </c>
      <c r="DD23">
        <v>0</v>
      </c>
      <c r="DE23">
        <v>15800</v>
      </c>
      <c r="DF23">
        <v>8905.46603773585</v>
      </c>
      <c r="DG23">
        <v>0</v>
      </c>
      <c r="DH23" s="3">
        <v>2090594</v>
      </c>
      <c r="DI23">
        <v>105150.5</v>
      </c>
      <c r="DJ23">
        <v>0</v>
      </c>
      <c r="DK23">
        <v>0</v>
      </c>
      <c r="DL23">
        <v>0</v>
      </c>
      <c r="DM23">
        <v>0</v>
      </c>
      <c r="DN23">
        <v>0</v>
      </c>
      <c r="DO23">
        <v>0</v>
      </c>
      <c r="DP23">
        <v>105150.5</v>
      </c>
      <c r="DQ23">
        <v>0</v>
      </c>
      <c r="DR23">
        <v>0</v>
      </c>
      <c r="DS23">
        <v>0</v>
      </c>
      <c r="DT23">
        <v>0</v>
      </c>
      <c r="DU23">
        <v>0</v>
      </c>
      <c r="DV23">
        <v>0</v>
      </c>
      <c r="DW23">
        <v>0</v>
      </c>
      <c r="DX23">
        <v>0</v>
      </c>
      <c r="DY23">
        <v>0</v>
      </c>
      <c r="DZ23">
        <v>0</v>
      </c>
      <c r="EA23">
        <v>0</v>
      </c>
      <c r="EB23">
        <v>0</v>
      </c>
      <c r="EC23">
        <v>0</v>
      </c>
      <c r="ED23">
        <v>0</v>
      </c>
      <c r="EE23">
        <v>0</v>
      </c>
      <c r="EF23">
        <v>55141</v>
      </c>
      <c r="EG23">
        <v>0</v>
      </c>
      <c r="EH23">
        <v>520474.78</v>
      </c>
      <c r="EI23">
        <v>2964677.41</v>
      </c>
      <c r="EJ23">
        <v>0</v>
      </c>
      <c r="EK23">
        <v>0</v>
      </c>
      <c r="EL23">
        <v>0</v>
      </c>
      <c r="EM23">
        <v>0</v>
      </c>
      <c r="EN23">
        <v>80000</v>
      </c>
      <c r="EO23">
        <v>63049</v>
      </c>
      <c r="EP23">
        <v>63049</v>
      </c>
      <c r="EQ23">
        <v>0</v>
      </c>
      <c r="ER23">
        <v>91368</v>
      </c>
      <c r="ES23">
        <v>0</v>
      </c>
      <c r="ET23">
        <v>0</v>
      </c>
      <c r="EU23">
        <v>1080</v>
      </c>
      <c r="EV23" s="4">
        <v>240</v>
      </c>
      <c r="EW23">
        <v>0</v>
      </c>
      <c r="EX23">
        <v>0</v>
      </c>
      <c r="EY23" s="4">
        <v>240</v>
      </c>
      <c r="EZ23">
        <v>0</v>
      </c>
      <c r="FA23">
        <v>0</v>
      </c>
      <c r="FB23">
        <v>0</v>
      </c>
      <c r="FC23">
        <v>0</v>
      </c>
      <c r="FD23">
        <v>0</v>
      </c>
      <c r="FE23">
        <v>99049</v>
      </c>
      <c r="FF23">
        <v>0</v>
      </c>
      <c r="FG23">
        <v>99049</v>
      </c>
      <c r="FH23">
        <v>0</v>
      </c>
      <c r="FI23" s="4">
        <v>3579056.5</v>
      </c>
      <c r="FJ23">
        <v>135981.34</v>
      </c>
      <c r="FK23">
        <v>135981.34</v>
      </c>
      <c r="FL23">
        <v>0</v>
      </c>
      <c r="FM23" s="4">
        <v>33075</v>
      </c>
      <c r="FN23">
        <v>0</v>
      </c>
      <c r="FO23">
        <v>0</v>
      </c>
      <c r="FP23">
        <v>0</v>
      </c>
      <c r="FQ23">
        <v>0</v>
      </c>
      <c r="FR23">
        <v>33075</v>
      </c>
      <c r="FS23">
        <v>0</v>
      </c>
      <c r="FT23">
        <v>213157.552</v>
      </c>
      <c r="FU23">
        <v>532893.88</v>
      </c>
      <c r="FV23">
        <v>79934.082</v>
      </c>
      <c r="FY23">
        <v>26644694</v>
      </c>
      <c r="FZ23">
        <v>22553230.4976469</v>
      </c>
      <c r="GA23">
        <v>4403916.53923894</v>
      </c>
      <c r="GB23">
        <v>18149313.9584079</v>
      </c>
      <c r="GC23">
        <v>8495380.04159206</v>
      </c>
      <c r="GD23">
        <v>0.318839467309779</v>
      </c>
      <c r="GE23">
        <v>4091463.50235312</v>
      </c>
      <c r="GF23">
        <v>0.153556407979507</v>
      </c>
      <c r="GJ23">
        <v>45241</v>
      </c>
      <c r="GL23">
        <v>45250</v>
      </c>
      <c r="GO23">
        <v>45256</v>
      </c>
      <c r="GR23">
        <v>45279</v>
      </c>
      <c r="GU23" t="s">
        <v>694</v>
      </c>
      <c r="HA23">
        <v>45294</v>
      </c>
      <c r="HB23">
        <v>45313</v>
      </c>
      <c r="HE23">
        <v>47</v>
      </c>
      <c r="HF23">
        <v>4</v>
      </c>
      <c r="HG23">
        <v>16</v>
      </c>
      <c r="HH23">
        <v>27</v>
      </c>
      <c r="HK23">
        <v>273</v>
      </c>
      <c r="HL23">
        <v>155</v>
      </c>
      <c r="HM23">
        <v>212</v>
      </c>
      <c r="HN23">
        <v>0</v>
      </c>
      <c r="HO23">
        <v>0</v>
      </c>
      <c r="HP23">
        <v>0</v>
      </c>
      <c r="HQ23">
        <v>453</v>
      </c>
      <c r="HR23">
        <v>417</v>
      </c>
      <c r="HU23" s="10"/>
    </row>
    <row r="24" spans="1:229">
      <c r="A24" s="1">
        <f t="shared" si="0"/>
        <v>23</v>
      </c>
      <c r="B24" s="2">
        <v>2024</v>
      </c>
      <c r="C24" s="2" t="s">
        <v>717</v>
      </c>
      <c r="D24" s="2" t="s">
        <v>27</v>
      </c>
      <c r="E24" s="9">
        <v>40573</v>
      </c>
      <c r="F24" s="2" t="s">
        <v>725</v>
      </c>
      <c r="G24" s="2" t="s">
        <v>726</v>
      </c>
      <c r="H24" s="2" t="s">
        <v>727</v>
      </c>
      <c r="I24" s="2" t="s">
        <v>734</v>
      </c>
      <c r="J24" t="s">
        <v>312</v>
      </c>
      <c r="K24" t="s">
        <v>41</v>
      </c>
      <c r="L24" t="s">
        <v>32</v>
      </c>
      <c r="M24">
        <v>2</v>
      </c>
      <c r="N24">
        <v>2705</v>
      </c>
      <c r="O24" s="3">
        <v>2711</v>
      </c>
      <c r="P24" s="4">
        <v>7</v>
      </c>
      <c r="Q24" s="4">
        <v>0</v>
      </c>
      <c r="R24" s="4">
        <v>12</v>
      </c>
      <c r="S24" s="4">
        <v>6</v>
      </c>
      <c r="T24" s="4">
        <v>18</v>
      </c>
      <c r="U24" s="4">
        <v>25</v>
      </c>
      <c r="V24" s="4">
        <v>0</v>
      </c>
      <c r="W24" s="4">
        <v>0.6</v>
      </c>
      <c r="X24" s="4">
        <v>0.833333333333333</v>
      </c>
      <c r="Y24" s="3">
        <v>4046994</v>
      </c>
      <c r="Z24">
        <v>-235085.043522445</v>
      </c>
      <c r="AA24">
        <v>4282079.04352244</v>
      </c>
      <c r="AB24">
        <v>623284.063194444</v>
      </c>
      <c r="AC24">
        <v>270833.333333333</v>
      </c>
      <c r="AD24">
        <v>270833.333333333</v>
      </c>
      <c r="AE24">
        <v>0</v>
      </c>
      <c r="AF24">
        <v>7820.925</v>
      </c>
      <c r="AG24">
        <v>7820.925</v>
      </c>
      <c r="AH24">
        <v>0</v>
      </c>
      <c r="AI24">
        <v>2963.13819444445</v>
      </c>
      <c r="AJ24">
        <v>2122.01805555556</v>
      </c>
      <c r="AK24">
        <v>0</v>
      </c>
      <c r="AL24">
        <v>841.120138888892</v>
      </c>
      <c r="AM24">
        <v>0</v>
      </c>
      <c r="AN24">
        <v>0</v>
      </c>
      <c r="AO24">
        <v>0</v>
      </c>
      <c r="AP24">
        <v>0</v>
      </c>
      <c r="AQ24">
        <v>0</v>
      </c>
      <c r="AR24">
        <v>0</v>
      </c>
      <c r="AS24">
        <v>0</v>
      </c>
      <c r="AT24">
        <v>0</v>
      </c>
      <c r="AU24">
        <v>0</v>
      </c>
      <c r="AV24">
        <v>0</v>
      </c>
      <c r="AW24">
        <v>0</v>
      </c>
      <c r="AX24">
        <v>0</v>
      </c>
      <c r="AY24">
        <v>341666.666666667</v>
      </c>
      <c r="AZ24">
        <v>3658794.980328</v>
      </c>
      <c r="BA24">
        <v>1298659.576328</v>
      </c>
      <c r="BB24">
        <v>96120</v>
      </c>
      <c r="BC24">
        <v>96120</v>
      </c>
      <c r="BD24">
        <v>0</v>
      </c>
      <c r="BE24">
        <v>0</v>
      </c>
      <c r="BF24">
        <v>233705</v>
      </c>
      <c r="BG24">
        <v>233705</v>
      </c>
      <c r="BH24">
        <v>0</v>
      </c>
      <c r="BI24">
        <v>29912.112</v>
      </c>
      <c r="BJ24">
        <v>491231</v>
      </c>
      <c r="BK24">
        <v>0</v>
      </c>
      <c r="BL24">
        <v>0</v>
      </c>
      <c r="BM24">
        <v>0</v>
      </c>
      <c r="BN24">
        <v>146414.124328</v>
      </c>
      <c r="BO24">
        <v>105117.63</v>
      </c>
      <c r="BP24">
        <v>28800</v>
      </c>
      <c r="BQ24">
        <v>0</v>
      </c>
      <c r="BR24">
        <v>0</v>
      </c>
      <c r="BS24">
        <v>76317.63</v>
      </c>
      <c r="BT24">
        <v>196159.71</v>
      </c>
      <c r="BU24">
        <v>170793</v>
      </c>
      <c r="BV24">
        <v>25366.71</v>
      </c>
      <c r="BW24">
        <v>0</v>
      </c>
      <c r="BX24">
        <v>0</v>
      </c>
      <c r="BY24">
        <v>97140.34</v>
      </c>
      <c r="BZ24">
        <v>97140.34</v>
      </c>
      <c r="CA24">
        <v>72691.21</v>
      </c>
      <c r="CB24">
        <v>20955.87</v>
      </c>
      <c r="CC24">
        <v>3493.26</v>
      </c>
      <c r="CD24">
        <v>0</v>
      </c>
      <c r="CE24">
        <v>0</v>
      </c>
      <c r="CF24">
        <v>0</v>
      </c>
      <c r="CG24">
        <v>0</v>
      </c>
      <c r="CH24">
        <v>2262995.064</v>
      </c>
      <c r="CI24">
        <v>196558</v>
      </c>
      <c r="CJ24">
        <v>0</v>
      </c>
      <c r="CK24">
        <v>0</v>
      </c>
      <c r="CL24">
        <v>53574</v>
      </c>
      <c r="CM24">
        <v>70349</v>
      </c>
      <c r="CN24">
        <v>20663</v>
      </c>
      <c r="CO24">
        <v>51972</v>
      </c>
      <c r="CP24">
        <v>312500</v>
      </c>
      <c r="CQ24">
        <v>12763.21</v>
      </c>
      <c r="CR24">
        <v>0</v>
      </c>
      <c r="CS24">
        <v>12576.21</v>
      </c>
      <c r="CT24">
        <v>0</v>
      </c>
      <c r="CU24">
        <v>187</v>
      </c>
      <c r="CV24">
        <v>0</v>
      </c>
      <c r="CW24">
        <v>0</v>
      </c>
      <c r="CX24">
        <v>0</v>
      </c>
      <c r="CY24">
        <v>82755.3866666667</v>
      </c>
      <c r="CZ24">
        <v>23491.5</v>
      </c>
      <c r="DA24">
        <v>0</v>
      </c>
      <c r="DB24">
        <v>200</v>
      </c>
      <c r="DC24">
        <v>82.5</v>
      </c>
      <c r="DD24">
        <v>20500</v>
      </c>
      <c r="DE24">
        <v>36400</v>
      </c>
      <c r="DF24">
        <v>2081.38666666667</v>
      </c>
      <c r="DG24">
        <v>0</v>
      </c>
      <c r="DH24" s="3">
        <v>169448</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26686</v>
      </c>
      <c r="EG24">
        <v>0</v>
      </c>
      <c r="EH24">
        <v>9104</v>
      </c>
      <c r="EI24">
        <v>408464.47</v>
      </c>
      <c r="EJ24">
        <v>0</v>
      </c>
      <c r="EK24">
        <v>0</v>
      </c>
      <c r="EL24">
        <v>0</v>
      </c>
      <c r="EM24">
        <v>45835</v>
      </c>
      <c r="EN24">
        <v>0</v>
      </c>
      <c r="EO24">
        <v>5688</v>
      </c>
      <c r="EP24">
        <v>0</v>
      </c>
      <c r="EQ24">
        <v>5688</v>
      </c>
      <c r="ER24">
        <v>25650</v>
      </c>
      <c r="ES24">
        <v>0</v>
      </c>
      <c r="ET24">
        <v>0</v>
      </c>
      <c r="EU24">
        <v>0</v>
      </c>
      <c r="EV24" s="4">
        <v>83.3333333333333</v>
      </c>
      <c r="EW24">
        <v>0</v>
      </c>
      <c r="EX24">
        <v>0</v>
      </c>
      <c r="EY24" s="4">
        <v>83.3333333333333</v>
      </c>
      <c r="EZ24">
        <v>0</v>
      </c>
      <c r="FA24">
        <v>0</v>
      </c>
      <c r="FB24">
        <v>0</v>
      </c>
      <c r="FC24">
        <v>0</v>
      </c>
      <c r="FD24">
        <v>0</v>
      </c>
      <c r="FE24">
        <v>0</v>
      </c>
      <c r="FF24">
        <v>0</v>
      </c>
      <c r="FG24">
        <v>0</v>
      </c>
      <c r="FH24">
        <v>0</v>
      </c>
      <c r="FI24" s="4">
        <v>797978.31</v>
      </c>
      <c r="FJ24">
        <v>41212.04</v>
      </c>
      <c r="FK24">
        <v>41212.04</v>
      </c>
      <c r="FL24">
        <v>0</v>
      </c>
      <c r="FM24" s="4">
        <v>2812.5</v>
      </c>
      <c r="FN24">
        <v>0</v>
      </c>
      <c r="FO24">
        <v>0</v>
      </c>
      <c r="FP24">
        <v>0</v>
      </c>
      <c r="FQ24">
        <v>0</v>
      </c>
      <c r="FR24">
        <v>2812.5</v>
      </c>
      <c r="FS24">
        <v>0</v>
      </c>
      <c r="FT24">
        <v>32375.952</v>
      </c>
      <c r="FU24">
        <v>80939.88</v>
      </c>
      <c r="FV24">
        <v>12140.982</v>
      </c>
      <c r="FY24">
        <v>4046994</v>
      </c>
      <c r="FZ24">
        <v>4282079.04352244</v>
      </c>
      <c r="GA24">
        <v>623284.063194444</v>
      </c>
      <c r="GB24">
        <v>3658794.980328</v>
      </c>
      <c r="GC24">
        <v>388199.019672</v>
      </c>
      <c r="GD24">
        <v>0.0959228058336632</v>
      </c>
      <c r="GE24">
        <v>-235085.043522445</v>
      </c>
      <c r="GF24">
        <v>-0.0580888045602352</v>
      </c>
      <c r="GJ24">
        <v>45528</v>
      </c>
      <c r="GL24">
        <v>45535</v>
      </c>
      <c r="GO24">
        <v>45539</v>
      </c>
      <c r="GR24" t="s">
        <v>694</v>
      </c>
      <c r="GU24" t="s">
        <v>694</v>
      </c>
      <c r="HA24">
        <v>45547</v>
      </c>
      <c r="HB24">
        <v>45553</v>
      </c>
      <c r="HE24">
        <v>38</v>
      </c>
      <c r="HF24">
        <v>4</v>
      </c>
      <c r="HG24">
        <v>9</v>
      </c>
      <c r="HH24">
        <v>25</v>
      </c>
      <c r="HK24">
        <v>92</v>
      </c>
      <c r="HL24">
        <v>41</v>
      </c>
      <c r="HM24">
        <v>25</v>
      </c>
      <c r="HN24">
        <v>10</v>
      </c>
      <c r="HO24">
        <v>0</v>
      </c>
      <c r="HP24">
        <v>27</v>
      </c>
      <c r="HQ24">
        <v>134</v>
      </c>
      <c r="HR24">
        <v>89</v>
      </c>
      <c r="HU24" s="10"/>
    </row>
    <row r="25" spans="1:229">
      <c r="A25" s="1">
        <f t="shared" si="0"/>
        <v>24</v>
      </c>
      <c r="B25" s="2">
        <v>2024</v>
      </c>
      <c r="C25" s="2" t="s">
        <v>50</v>
      </c>
      <c r="D25" s="2" t="s">
        <v>27</v>
      </c>
      <c r="E25" s="9">
        <v>40573</v>
      </c>
      <c r="F25" s="2" t="s">
        <v>725</v>
      </c>
      <c r="G25" s="2" t="s">
        <v>726</v>
      </c>
      <c r="H25" s="2" t="s">
        <v>727</v>
      </c>
      <c r="I25" s="2" t="s">
        <v>735</v>
      </c>
      <c r="J25" t="s">
        <v>312</v>
      </c>
      <c r="K25" t="s">
        <v>31</v>
      </c>
      <c r="L25" t="s">
        <v>32</v>
      </c>
      <c r="M25">
        <v>2</v>
      </c>
      <c r="N25">
        <v>2724</v>
      </c>
      <c r="O25" s="3">
        <v>2786</v>
      </c>
      <c r="P25" s="4">
        <v>12</v>
      </c>
      <c r="Q25" s="4">
        <v>0</v>
      </c>
      <c r="R25" s="4">
        <v>12</v>
      </c>
      <c r="S25" s="4">
        <v>7</v>
      </c>
      <c r="T25" s="4">
        <v>19</v>
      </c>
      <c r="U25" s="4">
        <v>31</v>
      </c>
      <c r="V25" s="4">
        <v>0</v>
      </c>
      <c r="W25" s="4">
        <v>0.633333333333333</v>
      </c>
      <c r="X25" s="4">
        <v>1.03333333333333</v>
      </c>
      <c r="Y25" s="3">
        <v>3826337</v>
      </c>
      <c r="Z25">
        <v>-344158.715361109</v>
      </c>
      <c r="AA25">
        <v>4170495.71536111</v>
      </c>
      <c r="AB25">
        <v>772872.23836111</v>
      </c>
      <c r="AC25">
        <v>335833.333333333</v>
      </c>
      <c r="AD25">
        <v>335833.333333333</v>
      </c>
      <c r="AE25">
        <v>0</v>
      </c>
      <c r="AF25">
        <v>9697.947</v>
      </c>
      <c r="AG25">
        <v>9697.947</v>
      </c>
      <c r="AH25">
        <v>0</v>
      </c>
      <c r="AI25">
        <v>3674.29136111112</v>
      </c>
      <c r="AJ25">
        <v>2631.30238888889</v>
      </c>
      <c r="AK25">
        <v>0</v>
      </c>
      <c r="AL25">
        <v>1042.98897222223</v>
      </c>
      <c r="AM25">
        <v>0</v>
      </c>
      <c r="AN25">
        <v>0</v>
      </c>
      <c r="AO25">
        <v>0</v>
      </c>
      <c r="AP25">
        <v>0</v>
      </c>
      <c r="AQ25">
        <v>0</v>
      </c>
      <c r="AR25">
        <v>0</v>
      </c>
      <c r="AS25">
        <v>0</v>
      </c>
      <c r="AT25">
        <v>0</v>
      </c>
      <c r="AU25">
        <v>0</v>
      </c>
      <c r="AV25">
        <v>0</v>
      </c>
      <c r="AW25">
        <v>0</v>
      </c>
      <c r="AX25">
        <v>0</v>
      </c>
      <c r="AY25">
        <v>423666.666666665</v>
      </c>
      <c r="AZ25">
        <v>3397623.477</v>
      </c>
      <c r="BA25">
        <v>1091473.16</v>
      </c>
      <c r="BB25">
        <v>96120</v>
      </c>
      <c r="BC25">
        <v>96120</v>
      </c>
      <c r="BD25">
        <v>0</v>
      </c>
      <c r="BE25">
        <v>0</v>
      </c>
      <c r="BF25">
        <v>255255</v>
      </c>
      <c r="BG25">
        <v>255255</v>
      </c>
      <c r="BH25">
        <v>0</v>
      </c>
      <c r="BI25">
        <v>0</v>
      </c>
      <c r="BJ25">
        <v>375687</v>
      </c>
      <c r="BK25">
        <v>0</v>
      </c>
      <c r="BL25">
        <v>0</v>
      </c>
      <c r="BM25">
        <v>0</v>
      </c>
      <c r="BN25">
        <v>60728.77</v>
      </c>
      <c r="BO25">
        <v>99130.63</v>
      </c>
      <c r="BP25">
        <v>30400</v>
      </c>
      <c r="BQ25">
        <v>0</v>
      </c>
      <c r="BR25">
        <v>0</v>
      </c>
      <c r="BS25">
        <v>68730.63</v>
      </c>
      <c r="BT25">
        <v>204551.76</v>
      </c>
      <c r="BU25">
        <v>175518</v>
      </c>
      <c r="BV25">
        <v>29033.76</v>
      </c>
      <c r="BW25">
        <v>0</v>
      </c>
      <c r="BX25">
        <v>0</v>
      </c>
      <c r="BY25">
        <v>3280.37</v>
      </c>
      <c r="BZ25">
        <v>3280.37</v>
      </c>
      <c r="CA25">
        <v>3038.78</v>
      </c>
      <c r="CB25">
        <v>0</v>
      </c>
      <c r="CC25">
        <v>241.59</v>
      </c>
      <c r="CD25">
        <v>0</v>
      </c>
      <c r="CE25">
        <v>0</v>
      </c>
      <c r="CF25">
        <v>0</v>
      </c>
      <c r="CG25">
        <v>0</v>
      </c>
      <c r="CH25">
        <v>2302869.947</v>
      </c>
      <c r="CI25">
        <v>157594</v>
      </c>
      <c r="CJ25">
        <v>0</v>
      </c>
      <c r="CK25">
        <v>0</v>
      </c>
      <c r="CL25">
        <v>56542</v>
      </c>
      <c r="CM25">
        <v>41162</v>
      </c>
      <c r="CN25">
        <v>26603</v>
      </c>
      <c r="CO25">
        <v>33287</v>
      </c>
      <c r="CP25">
        <v>371999.999999999</v>
      </c>
      <c r="CQ25">
        <v>11757.39</v>
      </c>
      <c r="CR25">
        <v>0</v>
      </c>
      <c r="CS25">
        <v>11070.39</v>
      </c>
      <c r="CT25">
        <v>0</v>
      </c>
      <c r="CU25">
        <v>187</v>
      </c>
      <c r="CV25">
        <v>0</v>
      </c>
      <c r="CW25">
        <v>0</v>
      </c>
      <c r="CX25">
        <v>500</v>
      </c>
      <c r="CY25">
        <v>25855.3866666667</v>
      </c>
      <c r="CZ25">
        <v>23491.5</v>
      </c>
      <c r="DA25">
        <v>0</v>
      </c>
      <c r="DB25">
        <v>200</v>
      </c>
      <c r="DC25">
        <v>82.5</v>
      </c>
      <c r="DD25">
        <v>0</v>
      </c>
      <c r="DE25">
        <v>0</v>
      </c>
      <c r="DF25">
        <v>2081.38666666667</v>
      </c>
      <c r="DG25">
        <v>0</v>
      </c>
      <c r="DH25" s="3">
        <v>173710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24691</v>
      </c>
      <c r="EG25">
        <v>0</v>
      </c>
      <c r="EH25">
        <v>12898</v>
      </c>
      <c r="EI25">
        <v>540684.76</v>
      </c>
      <c r="EJ25">
        <v>0</v>
      </c>
      <c r="EK25">
        <v>0</v>
      </c>
      <c r="EL25">
        <v>0</v>
      </c>
      <c r="EM25">
        <v>45835</v>
      </c>
      <c r="EN25">
        <v>0</v>
      </c>
      <c r="EO25">
        <v>13983</v>
      </c>
      <c r="EP25">
        <v>0</v>
      </c>
      <c r="EQ25">
        <v>13983</v>
      </c>
      <c r="ER25">
        <v>30969</v>
      </c>
      <c r="ES25">
        <v>0</v>
      </c>
      <c r="ET25">
        <v>0</v>
      </c>
      <c r="EU25">
        <v>0</v>
      </c>
      <c r="EV25" s="4">
        <v>103.333333333333</v>
      </c>
      <c r="EW25">
        <v>0</v>
      </c>
      <c r="EX25">
        <v>0</v>
      </c>
      <c r="EY25" s="4">
        <v>103.333333333333</v>
      </c>
      <c r="EZ25">
        <v>0</v>
      </c>
      <c r="FA25">
        <v>0</v>
      </c>
      <c r="FB25">
        <v>0</v>
      </c>
      <c r="FC25">
        <v>0</v>
      </c>
      <c r="FD25">
        <v>0</v>
      </c>
      <c r="FE25">
        <v>0</v>
      </c>
      <c r="FF25">
        <v>0</v>
      </c>
      <c r="FG25">
        <v>0</v>
      </c>
      <c r="FH25">
        <v>0</v>
      </c>
      <c r="FI25" s="4">
        <v>730148.09</v>
      </c>
      <c r="FJ25">
        <v>41212.04</v>
      </c>
      <c r="FK25">
        <v>41212.04</v>
      </c>
      <c r="FL25">
        <v>0</v>
      </c>
      <c r="FM25" s="4">
        <v>2812.5</v>
      </c>
      <c r="FN25">
        <v>0</v>
      </c>
      <c r="FO25">
        <v>0</v>
      </c>
      <c r="FP25">
        <v>0</v>
      </c>
      <c r="FQ25">
        <v>0</v>
      </c>
      <c r="FR25">
        <v>2812.5</v>
      </c>
      <c r="FS25">
        <v>0</v>
      </c>
      <c r="FT25">
        <v>30610.696</v>
      </c>
      <c r="FU25">
        <v>76526.74</v>
      </c>
      <c r="FV25">
        <v>11479.011</v>
      </c>
      <c r="FY25">
        <v>3826337</v>
      </c>
      <c r="FZ25">
        <v>4170495.71536111</v>
      </c>
      <c r="GA25">
        <v>772872.23836111</v>
      </c>
      <c r="GB25">
        <v>3397623.477</v>
      </c>
      <c r="GC25">
        <v>428713.523000001</v>
      </c>
      <c r="GD25">
        <v>0.112042803077722</v>
      </c>
      <c r="GE25">
        <v>-344158.715361109</v>
      </c>
      <c r="GF25">
        <v>-0.0899446952427632</v>
      </c>
      <c r="GJ25">
        <v>45554</v>
      </c>
      <c r="GL25">
        <v>45566</v>
      </c>
      <c r="GO25">
        <v>45568</v>
      </c>
      <c r="GR25" t="s">
        <v>694</v>
      </c>
      <c r="GU25" t="s">
        <v>694</v>
      </c>
      <c r="HA25">
        <v>45578</v>
      </c>
      <c r="HB25">
        <v>45585</v>
      </c>
      <c r="HE25">
        <v>37</v>
      </c>
      <c r="HF25">
        <v>3</v>
      </c>
      <c r="HG25">
        <v>10</v>
      </c>
      <c r="HH25">
        <v>24</v>
      </c>
      <c r="HK25">
        <v>112</v>
      </c>
      <c r="HL25">
        <v>30</v>
      </c>
      <c r="HM25">
        <v>24</v>
      </c>
      <c r="HN25">
        <v>7</v>
      </c>
      <c r="HO25">
        <v>1</v>
      </c>
      <c r="HP25">
        <v>25</v>
      </c>
      <c r="HQ25">
        <v>133</v>
      </c>
      <c r="HR25">
        <v>81</v>
      </c>
      <c r="HU25" s="10"/>
    </row>
    <row r="26" spans="1:229">
      <c r="A26" s="1">
        <f t="shared" si="0"/>
        <v>25</v>
      </c>
      <c r="B26" s="2">
        <v>2024</v>
      </c>
      <c r="C26" s="2" t="s">
        <v>35</v>
      </c>
      <c r="D26" s="2" t="s">
        <v>27</v>
      </c>
      <c r="E26" s="9">
        <v>50537</v>
      </c>
      <c r="F26" s="2" t="s">
        <v>736</v>
      </c>
      <c r="G26" s="2" t="s">
        <v>36</v>
      </c>
      <c r="H26" s="2" t="s">
        <v>737</v>
      </c>
      <c r="I26" s="2" t="s">
        <v>738</v>
      </c>
      <c r="J26" t="s">
        <v>316</v>
      </c>
      <c r="K26" t="s">
        <v>31</v>
      </c>
      <c r="L26" t="s">
        <v>32</v>
      </c>
      <c r="M26">
        <v>2</v>
      </c>
      <c r="N26">
        <v>3470</v>
      </c>
      <c r="O26" s="3">
        <v>3461</v>
      </c>
      <c r="P26" s="4">
        <v>17</v>
      </c>
      <c r="Q26" s="4">
        <v>0</v>
      </c>
      <c r="R26" s="4">
        <v>17</v>
      </c>
      <c r="S26" s="4">
        <v>8</v>
      </c>
      <c r="T26" s="4">
        <v>25</v>
      </c>
      <c r="U26" s="4">
        <v>42</v>
      </c>
      <c r="V26" s="4">
        <v>0</v>
      </c>
      <c r="W26" s="4">
        <v>0.833333333333333</v>
      </c>
      <c r="X26" s="4">
        <v>1.4</v>
      </c>
      <c r="Y26" s="3">
        <v>7332034</v>
      </c>
      <c r="Z26">
        <v>321391.929266669</v>
      </c>
      <c r="AA26">
        <v>7010642.07073333</v>
      </c>
      <c r="AB26">
        <v>1362833.48133333</v>
      </c>
      <c r="AC26">
        <v>735000</v>
      </c>
      <c r="AD26">
        <v>735000</v>
      </c>
      <c r="AE26">
        <v>0</v>
      </c>
      <c r="AF26">
        <v>38102.1421666666</v>
      </c>
      <c r="AG26">
        <v>38102.1421666666</v>
      </c>
      <c r="AH26">
        <v>0</v>
      </c>
      <c r="AI26">
        <v>15731.3391666667</v>
      </c>
      <c r="AJ26">
        <v>7066.4265</v>
      </c>
      <c r="AK26">
        <v>8664.91266666666</v>
      </c>
      <c r="AL26">
        <v>0</v>
      </c>
      <c r="AM26">
        <v>0</v>
      </c>
      <c r="AN26">
        <v>0</v>
      </c>
      <c r="AO26">
        <v>0</v>
      </c>
      <c r="AP26">
        <v>0</v>
      </c>
      <c r="AQ26">
        <v>0</v>
      </c>
      <c r="AR26">
        <v>0</v>
      </c>
      <c r="AS26">
        <v>0</v>
      </c>
      <c r="AT26">
        <v>0</v>
      </c>
      <c r="AU26">
        <v>0</v>
      </c>
      <c r="AV26">
        <v>0</v>
      </c>
      <c r="AW26">
        <v>0</v>
      </c>
      <c r="AX26">
        <v>0</v>
      </c>
      <c r="AY26">
        <v>574000</v>
      </c>
      <c r="AZ26">
        <v>5647808.5894</v>
      </c>
      <c r="BA26">
        <v>1186808.2124</v>
      </c>
      <c r="BB26">
        <v>51840</v>
      </c>
      <c r="BC26">
        <v>51840</v>
      </c>
      <c r="BD26">
        <v>0</v>
      </c>
      <c r="BE26">
        <v>0</v>
      </c>
      <c r="BF26">
        <v>362548</v>
      </c>
      <c r="BG26">
        <v>362548</v>
      </c>
      <c r="BH26">
        <v>0</v>
      </c>
      <c r="BI26">
        <v>12613.32</v>
      </c>
      <c r="BJ26">
        <v>99801</v>
      </c>
      <c r="BK26">
        <v>175562.4</v>
      </c>
      <c r="BL26">
        <v>175562.4</v>
      </c>
      <c r="BM26">
        <v>0</v>
      </c>
      <c r="BN26">
        <v>110936.4724</v>
      </c>
      <c r="BO26">
        <v>113147.95</v>
      </c>
      <c r="BP26">
        <v>40000</v>
      </c>
      <c r="BQ26">
        <v>0</v>
      </c>
      <c r="BR26">
        <v>0</v>
      </c>
      <c r="BS26">
        <v>73147.95</v>
      </c>
      <c r="BT26">
        <v>260359.07</v>
      </c>
      <c r="BU26">
        <v>218043</v>
      </c>
      <c r="BV26">
        <v>42316.07</v>
      </c>
      <c r="BW26">
        <v>0</v>
      </c>
      <c r="BX26">
        <v>0</v>
      </c>
      <c r="BY26">
        <v>83809.25</v>
      </c>
      <c r="BZ26">
        <v>83809.25</v>
      </c>
      <c r="CA26">
        <v>67440.06</v>
      </c>
      <c r="CB26">
        <v>11046.66</v>
      </c>
      <c r="CC26">
        <v>5322.53</v>
      </c>
      <c r="CD26">
        <v>0</v>
      </c>
      <c r="CE26">
        <v>0</v>
      </c>
      <c r="CF26">
        <v>0</v>
      </c>
      <c r="CG26">
        <v>0</v>
      </c>
      <c r="CH26">
        <v>4377191.127</v>
      </c>
      <c r="CI26">
        <v>238996</v>
      </c>
      <c r="CJ26">
        <v>0</v>
      </c>
      <c r="CK26">
        <v>0</v>
      </c>
      <c r="CL26">
        <v>87221</v>
      </c>
      <c r="CM26">
        <v>43785</v>
      </c>
      <c r="CN26">
        <v>4657</v>
      </c>
      <c r="CO26">
        <v>103333</v>
      </c>
      <c r="CP26">
        <v>462000</v>
      </c>
      <c r="CQ26">
        <v>23375.69</v>
      </c>
      <c r="CR26">
        <v>6430.69</v>
      </c>
      <c r="CS26">
        <v>15995</v>
      </c>
      <c r="CT26">
        <v>0</v>
      </c>
      <c r="CU26">
        <v>350</v>
      </c>
      <c r="CV26">
        <v>0</v>
      </c>
      <c r="CW26">
        <v>0</v>
      </c>
      <c r="CX26">
        <v>600</v>
      </c>
      <c r="CY26">
        <v>8359.713</v>
      </c>
      <c r="CZ26">
        <v>3742.6</v>
      </c>
      <c r="DA26">
        <v>0</v>
      </c>
      <c r="DB26">
        <v>180</v>
      </c>
      <c r="DC26">
        <v>88</v>
      </c>
      <c r="DD26">
        <v>0</v>
      </c>
      <c r="DE26">
        <v>0</v>
      </c>
      <c r="DF26">
        <v>4349.113</v>
      </c>
      <c r="DG26">
        <v>0</v>
      </c>
      <c r="DH26" s="3">
        <v>527415</v>
      </c>
      <c r="DI26">
        <v>67912.1</v>
      </c>
      <c r="DJ26">
        <v>0</v>
      </c>
      <c r="DK26">
        <v>67912.1</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32600</v>
      </c>
      <c r="EG26">
        <v>0</v>
      </c>
      <c r="EH26">
        <v>0</v>
      </c>
      <c r="EI26">
        <v>988585.6</v>
      </c>
      <c r="EJ26">
        <v>0</v>
      </c>
      <c r="EK26">
        <v>0</v>
      </c>
      <c r="EL26">
        <v>0</v>
      </c>
      <c r="EM26">
        <v>0</v>
      </c>
      <c r="EN26">
        <v>240200</v>
      </c>
      <c r="EO26">
        <v>60000</v>
      </c>
      <c r="EP26">
        <v>60000</v>
      </c>
      <c r="EQ26">
        <v>0</v>
      </c>
      <c r="ER26">
        <v>48762</v>
      </c>
      <c r="ES26">
        <v>0</v>
      </c>
      <c r="ET26">
        <v>0</v>
      </c>
      <c r="EU26">
        <v>6480</v>
      </c>
      <c r="EV26" s="4">
        <v>140</v>
      </c>
      <c r="EW26">
        <v>0</v>
      </c>
      <c r="EX26">
        <v>0</v>
      </c>
      <c r="EY26" s="4">
        <v>140</v>
      </c>
      <c r="EZ26">
        <v>0</v>
      </c>
      <c r="FA26">
        <v>0</v>
      </c>
      <c r="FB26">
        <v>0</v>
      </c>
      <c r="FC26">
        <v>0</v>
      </c>
      <c r="FD26">
        <v>0</v>
      </c>
      <c r="FE26">
        <v>0</v>
      </c>
      <c r="FF26">
        <v>0</v>
      </c>
      <c r="FG26">
        <v>0</v>
      </c>
      <c r="FH26">
        <v>0</v>
      </c>
      <c r="FI26" s="4">
        <v>1396518.92</v>
      </c>
      <c r="FJ26">
        <v>44270.45</v>
      </c>
      <c r="FK26">
        <v>44270.45</v>
      </c>
      <c r="FL26">
        <v>0</v>
      </c>
      <c r="FM26" s="4">
        <v>4282.6</v>
      </c>
      <c r="FN26">
        <v>0</v>
      </c>
      <c r="FO26">
        <v>0</v>
      </c>
      <c r="FP26">
        <v>0</v>
      </c>
      <c r="FQ26">
        <v>0</v>
      </c>
      <c r="FR26">
        <v>4282.6</v>
      </c>
      <c r="FS26">
        <v>0</v>
      </c>
      <c r="FT26">
        <v>58656.272</v>
      </c>
      <c r="FU26">
        <v>146640.68</v>
      </c>
      <c r="FV26">
        <v>21996.102</v>
      </c>
      <c r="FY26">
        <v>7332034</v>
      </c>
      <c r="FZ26">
        <v>7010642.07073333</v>
      </c>
      <c r="GA26">
        <v>1362833.48133333</v>
      </c>
      <c r="GB26">
        <v>5647808.5894</v>
      </c>
      <c r="GC26">
        <v>1684225.4106</v>
      </c>
      <c r="GD26">
        <v>0.229707801491373</v>
      </c>
      <c r="GE26">
        <v>321391.929266669</v>
      </c>
      <c r="GF26">
        <v>0.0438339387496933</v>
      </c>
      <c r="GJ26">
        <v>45342</v>
      </c>
      <c r="GL26">
        <v>45359</v>
      </c>
      <c r="GO26">
        <v>45363</v>
      </c>
      <c r="GR26" t="s">
        <v>694</v>
      </c>
      <c r="GU26" t="s">
        <v>694</v>
      </c>
      <c r="HA26">
        <v>45376</v>
      </c>
      <c r="HB26">
        <v>45384</v>
      </c>
      <c r="HE26">
        <v>43</v>
      </c>
      <c r="HF26">
        <v>9</v>
      </c>
      <c r="HG26">
        <v>12</v>
      </c>
      <c r="HH26">
        <v>22</v>
      </c>
      <c r="HK26">
        <v>146</v>
      </c>
      <c r="HL26">
        <v>64</v>
      </c>
      <c r="HM26">
        <v>90</v>
      </c>
      <c r="HN26">
        <v>0</v>
      </c>
      <c r="HO26">
        <v>0</v>
      </c>
      <c r="HP26">
        <v>0</v>
      </c>
      <c r="HQ26">
        <v>163</v>
      </c>
      <c r="HR26">
        <v>134</v>
      </c>
      <c r="HU26" s="10"/>
    </row>
    <row r="27" spans="1:229">
      <c r="A27" s="1">
        <f t="shared" si="0"/>
        <v>26</v>
      </c>
      <c r="B27" s="2">
        <v>2024</v>
      </c>
      <c r="C27" s="2" t="s">
        <v>39</v>
      </c>
      <c r="D27" s="2" t="s">
        <v>27</v>
      </c>
      <c r="E27" s="9">
        <v>50537</v>
      </c>
      <c r="F27" s="2" t="s">
        <v>736</v>
      </c>
      <c r="G27" s="2" t="s">
        <v>36</v>
      </c>
      <c r="H27" s="2" t="s">
        <v>737</v>
      </c>
      <c r="I27" s="2" t="s">
        <v>739</v>
      </c>
      <c r="J27" t="s">
        <v>316</v>
      </c>
      <c r="K27" t="s">
        <v>31</v>
      </c>
      <c r="L27" t="s">
        <v>32</v>
      </c>
      <c r="M27">
        <v>2</v>
      </c>
      <c r="N27">
        <v>3532</v>
      </c>
      <c r="O27" s="3">
        <v>3412</v>
      </c>
      <c r="P27" s="4">
        <v>1</v>
      </c>
      <c r="Q27" s="4">
        <v>0</v>
      </c>
      <c r="R27" s="4">
        <v>34</v>
      </c>
      <c r="S27" s="4">
        <v>12</v>
      </c>
      <c r="T27" s="4">
        <v>46</v>
      </c>
      <c r="U27" s="4">
        <v>47</v>
      </c>
      <c r="V27" s="4">
        <v>0</v>
      </c>
      <c r="W27" s="4">
        <v>1.53333333333333</v>
      </c>
      <c r="X27" s="4">
        <v>1.56666666666667</v>
      </c>
      <c r="Y27" s="3">
        <v>7077774</v>
      </c>
      <c r="Z27">
        <v>-817911.883044448</v>
      </c>
      <c r="AA27">
        <v>7895685.88304445</v>
      </c>
      <c r="AB27">
        <v>1368408.89577778</v>
      </c>
      <c r="AC27">
        <v>665833.333333333</v>
      </c>
      <c r="AD27">
        <v>665833.333333333</v>
      </c>
      <c r="AE27">
        <v>0</v>
      </c>
      <c r="AF27">
        <v>42638.1114722222</v>
      </c>
      <c r="AG27">
        <v>42638.1114722222</v>
      </c>
      <c r="AH27">
        <v>0</v>
      </c>
      <c r="AI27">
        <v>17604.1176388889</v>
      </c>
      <c r="AJ27">
        <v>7907.66775</v>
      </c>
      <c r="AK27">
        <v>9696.44988888888</v>
      </c>
      <c r="AL27">
        <v>0</v>
      </c>
      <c r="AM27">
        <v>0</v>
      </c>
      <c r="AN27">
        <v>0</v>
      </c>
      <c r="AO27">
        <v>0</v>
      </c>
      <c r="AP27">
        <v>0</v>
      </c>
      <c r="AQ27">
        <v>0</v>
      </c>
      <c r="AR27">
        <v>0</v>
      </c>
      <c r="AS27">
        <v>0</v>
      </c>
      <c r="AT27">
        <v>0</v>
      </c>
      <c r="AU27">
        <v>0</v>
      </c>
      <c r="AV27">
        <v>0</v>
      </c>
      <c r="AW27">
        <v>0</v>
      </c>
      <c r="AX27">
        <v>0</v>
      </c>
      <c r="AY27">
        <v>642333.333333335</v>
      </c>
      <c r="AZ27">
        <v>6527276.98726667</v>
      </c>
      <c r="BA27">
        <v>2035981.1336</v>
      </c>
      <c r="BB27">
        <v>51840</v>
      </c>
      <c r="BC27">
        <v>51840</v>
      </c>
      <c r="BD27">
        <v>0</v>
      </c>
      <c r="BE27">
        <v>0</v>
      </c>
      <c r="BF27">
        <v>591410</v>
      </c>
      <c r="BG27">
        <v>591410</v>
      </c>
      <c r="BH27">
        <v>0</v>
      </c>
      <c r="BI27">
        <v>13795.704</v>
      </c>
      <c r="BJ27">
        <v>162480</v>
      </c>
      <c r="BK27">
        <v>656782.43</v>
      </c>
      <c r="BL27">
        <v>320382.43</v>
      </c>
      <c r="BM27">
        <v>336400</v>
      </c>
      <c r="BN27">
        <v>120703.8796</v>
      </c>
      <c r="BO27">
        <v>144775.33</v>
      </c>
      <c r="BP27">
        <v>73600</v>
      </c>
      <c r="BQ27">
        <v>0</v>
      </c>
      <c r="BR27">
        <v>0</v>
      </c>
      <c r="BS27">
        <v>71175.33</v>
      </c>
      <c r="BT27">
        <v>294193.79</v>
      </c>
      <c r="BU27">
        <v>214956</v>
      </c>
      <c r="BV27">
        <v>79237.79</v>
      </c>
      <c r="BW27">
        <v>0</v>
      </c>
      <c r="BX27">
        <v>0</v>
      </c>
      <c r="BY27">
        <v>144326.53</v>
      </c>
      <c r="BZ27">
        <v>144326.53</v>
      </c>
      <c r="CA27">
        <v>68176.85</v>
      </c>
      <c r="CB27">
        <v>69822.25</v>
      </c>
      <c r="CC27">
        <v>6327.43</v>
      </c>
      <c r="CD27">
        <v>0</v>
      </c>
      <c r="CE27">
        <v>0</v>
      </c>
      <c r="CF27">
        <v>0</v>
      </c>
      <c r="CG27">
        <v>0</v>
      </c>
      <c r="CH27">
        <v>4346969.32366667</v>
      </c>
      <c r="CI27">
        <v>204268</v>
      </c>
      <c r="CJ27">
        <v>0</v>
      </c>
      <c r="CK27">
        <v>5730</v>
      </c>
      <c r="CL27">
        <v>0</v>
      </c>
      <c r="CM27">
        <v>60328</v>
      </c>
      <c r="CN27">
        <v>4542</v>
      </c>
      <c r="CO27">
        <v>133668</v>
      </c>
      <c r="CP27">
        <v>517000.000000001</v>
      </c>
      <c r="CQ27">
        <v>12206.69</v>
      </c>
      <c r="CR27">
        <v>6430.69</v>
      </c>
      <c r="CS27">
        <v>4826</v>
      </c>
      <c r="CT27">
        <v>0</v>
      </c>
      <c r="CU27">
        <v>350</v>
      </c>
      <c r="CV27">
        <v>0</v>
      </c>
      <c r="CW27">
        <v>0</v>
      </c>
      <c r="CX27">
        <v>600</v>
      </c>
      <c r="CY27">
        <v>64915.713</v>
      </c>
      <c r="CZ27">
        <v>3742.6</v>
      </c>
      <c r="DA27">
        <v>0</v>
      </c>
      <c r="DB27">
        <v>180</v>
      </c>
      <c r="DC27">
        <v>88</v>
      </c>
      <c r="DD27">
        <v>0</v>
      </c>
      <c r="DE27">
        <v>22500</v>
      </c>
      <c r="DF27">
        <v>38405.113</v>
      </c>
      <c r="DG27">
        <v>0</v>
      </c>
      <c r="DH27" s="3">
        <v>537094</v>
      </c>
      <c r="DI27">
        <v>0</v>
      </c>
      <c r="DJ27">
        <v>0</v>
      </c>
      <c r="DK27">
        <v>0</v>
      </c>
      <c r="DL27">
        <v>0</v>
      </c>
      <c r="DM27">
        <v>0</v>
      </c>
      <c r="DN27">
        <v>0</v>
      </c>
      <c r="DO27">
        <v>0</v>
      </c>
      <c r="DP27">
        <v>0</v>
      </c>
      <c r="DQ27">
        <v>102846</v>
      </c>
      <c r="DR27">
        <v>0</v>
      </c>
      <c r="DS27">
        <v>0</v>
      </c>
      <c r="DT27">
        <v>0</v>
      </c>
      <c r="DU27">
        <v>0</v>
      </c>
      <c r="DV27">
        <v>0</v>
      </c>
      <c r="DW27">
        <v>0</v>
      </c>
      <c r="DX27">
        <v>0</v>
      </c>
      <c r="DY27">
        <v>102846</v>
      </c>
      <c r="DZ27">
        <v>18500</v>
      </c>
      <c r="EA27">
        <v>0</v>
      </c>
      <c r="EB27">
        <v>0</v>
      </c>
      <c r="EC27">
        <v>18500</v>
      </c>
      <c r="ED27">
        <v>0</v>
      </c>
      <c r="EE27">
        <v>0</v>
      </c>
      <c r="EF27">
        <v>31454</v>
      </c>
      <c r="EG27">
        <v>0</v>
      </c>
      <c r="EH27">
        <v>0</v>
      </c>
      <c r="EI27">
        <v>892203.04</v>
      </c>
      <c r="EJ27">
        <v>0</v>
      </c>
      <c r="EK27">
        <v>0</v>
      </c>
      <c r="EL27">
        <v>18500</v>
      </c>
      <c r="EM27">
        <v>0</v>
      </c>
      <c r="EN27">
        <v>211200</v>
      </c>
      <c r="EO27">
        <v>70000</v>
      </c>
      <c r="EP27">
        <v>70000</v>
      </c>
      <c r="EQ27">
        <v>0</v>
      </c>
      <c r="ER27">
        <v>49491</v>
      </c>
      <c r="ES27">
        <v>0</v>
      </c>
      <c r="ET27">
        <v>0</v>
      </c>
      <c r="EU27">
        <v>5760</v>
      </c>
      <c r="EV27" s="4">
        <v>156.666666666667</v>
      </c>
      <c r="EW27">
        <v>0</v>
      </c>
      <c r="EX27">
        <v>0</v>
      </c>
      <c r="EY27" s="4">
        <v>156.666666666667</v>
      </c>
      <c r="EZ27">
        <v>0</v>
      </c>
      <c r="FA27">
        <v>0</v>
      </c>
      <c r="FB27">
        <v>0</v>
      </c>
      <c r="FC27">
        <v>0</v>
      </c>
      <c r="FD27">
        <v>0</v>
      </c>
      <c r="FE27">
        <v>0</v>
      </c>
      <c r="FF27">
        <v>0</v>
      </c>
      <c r="FG27">
        <v>0</v>
      </c>
      <c r="FH27">
        <v>0</v>
      </c>
      <c r="FI27" s="4">
        <v>1343410.17</v>
      </c>
      <c r="FJ27">
        <v>44270.45</v>
      </c>
      <c r="FK27">
        <v>44270.45</v>
      </c>
      <c r="FL27">
        <v>0</v>
      </c>
      <c r="FM27" s="4">
        <v>4282.6</v>
      </c>
      <c r="FN27">
        <v>0</v>
      </c>
      <c r="FO27">
        <v>0</v>
      </c>
      <c r="FP27">
        <v>0</v>
      </c>
      <c r="FQ27">
        <v>0</v>
      </c>
      <c r="FR27">
        <v>4282.6</v>
      </c>
      <c r="FS27">
        <v>0</v>
      </c>
      <c r="FT27">
        <v>56622.192</v>
      </c>
      <c r="FU27">
        <v>141555.48</v>
      </c>
      <c r="FV27">
        <v>21233.322</v>
      </c>
      <c r="FY27">
        <v>7077774</v>
      </c>
      <c r="FZ27">
        <v>7895685.88304445</v>
      </c>
      <c r="GA27">
        <v>1368408.89577778</v>
      </c>
      <c r="GB27">
        <v>6527276.98726667</v>
      </c>
      <c r="GC27">
        <v>550497.012733333</v>
      </c>
      <c r="GD27">
        <v>0.0777782693730165</v>
      </c>
      <c r="GE27">
        <v>-817911.883044448</v>
      </c>
      <c r="GF27">
        <v>-0.115560610305507</v>
      </c>
      <c r="GJ27">
        <v>45385</v>
      </c>
      <c r="GL27">
        <v>45386</v>
      </c>
      <c r="GO27">
        <v>45390</v>
      </c>
      <c r="GR27" t="s">
        <v>694</v>
      </c>
      <c r="GU27" t="s">
        <v>694</v>
      </c>
      <c r="HA27">
        <v>45420</v>
      </c>
      <c r="HB27">
        <v>45432</v>
      </c>
      <c r="HE27">
        <v>39</v>
      </c>
      <c r="HF27">
        <v>5</v>
      </c>
      <c r="HG27">
        <v>12</v>
      </c>
      <c r="HH27">
        <v>22</v>
      </c>
      <c r="HK27">
        <v>273</v>
      </c>
      <c r="HL27">
        <v>51</v>
      </c>
      <c r="HM27">
        <v>155</v>
      </c>
      <c r="HN27">
        <v>0</v>
      </c>
      <c r="HO27">
        <v>0</v>
      </c>
      <c r="HP27">
        <v>0</v>
      </c>
      <c r="HQ27">
        <v>236</v>
      </c>
      <c r="HR27">
        <v>227</v>
      </c>
      <c r="HU27" s="10"/>
    </row>
    <row r="28" spans="1:229">
      <c r="A28" s="1">
        <f t="shared" si="0"/>
        <v>27</v>
      </c>
      <c r="B28" s="2">
        <v>2024</v>
      </c>
      <c r="C28" s="2" t="s">
        <v>50</v>
      </c>
      <c r="D28" s="2" t="s">
        <v>27</v>
      </c>
      <c r="E28" s="9">
        <v>50537</v>
      </c>
      <c r="F28" s="2" t="s">
        <v>736</v>
      </c>
      <c r="G28" s="2" t="s">
        <v>36</v>
      </c>
      <c r="H28" s="2" t="s">
        <v>737</v>
      </c>
      <c r="I28" s="2" t="s">
        <v>740</v>
      </c>
      <c r="J28" t="s">
        <v>316</v>
      </c>
      <c r="K28" t="s">
        <v>31</v>
      </c>
      <c r="L28" t="s">
        <v>32</v>
      </c>
      <c r="M28">
        <v>2</v>
      </c>
      <c r="N28">
        <v>3636</v>
      </c>
      <c r="O28" s="3">
        <v>3636</v>
      </c>
      <c r="P28" s="4">
        <v>8</v>
      </c>
      <c r="Q28" s="4">
        <v>0</v>
      </c>
      <c r="R28" s="4">
        <v>15</v>
      </c>
      <c r="S28" s="4">
        <v>13</v>
      </c>
      <c r="T28" s="4">
        <v>28</v>
      </c>
      <c r="U28" s="4">
        <v>36</v>
      </c>
      <c r="V28" s="4">
        <v>0</v>
      </c>
      <c r="W28" s="4">
        <v>0.933333333333333</v>
      </c>
      <c r="X28" s="4">
        <v>1.2</v>
      </c>
      <c r="Y28" s="3">
        <v>7270537</v>
      </c>
      <c r="Z28">
        <v>432436.6168</v>
      </c>
      <c r="AA28">
        <v>6838100.3832</v>
      </c>
      <c r="AB28">
        <v>1048142.984</v>
      </c>
      <c r="AC28">
        <v>510000</v>
      </c>
      <c r="AD28">
        <v>510000</v>
      </c>
      <c r="AE28">
        <v>0</v>
      </c>
      <c r="AF28">
        <v>32658.979</v>
      </c>
      <c r="AG28">
        <v>32658.979</v>
      </c>
      <c r="AH28">
        <v>0</v>
      </c>
      <c r="AI28">
        <v>13484.005</v>
      </c>
      <c r="AJ28">
        <v>6056.937</v>
      </c>
      <c r="AK28">
        <v>7427.068</v>
      </c>
      <c r="AL28">
        <v>0</v>
      </c>
      <c r="AM28">
        <v>0</v>
      </c>
      <c r="AN28">
        <v>0</v>
      </c>
      <c r="AO28">
        <v>0</v>
      </c>
      <c r="AP28">
        <v>0</v>
      </c>
      <c r="AQ28">
        <v>0</v>
      </c>
      <c r="AR28">
        <v>0</v>
      </c>
      <c r="AS28">
        <v>0</v>
      </c>
      <c r="AT28">
        <v>0</v>
      </c>
      <c r="AU28">
        <v>0</v>
      </c>
      <c r="AV28">
        <v>0</v>
      </c>
      <c r="AW28">
        <v>0</v>
      </c>
      <c r="AX28">
        <v>0</v>
      </c>
      <c r="AY28">
        <v>492000</v>
      </c>
      <c r="AZ28">
        <v>5789957.3992</v>
      </c>
      <c r="BA28">
        <v>1648511.8312</v>
      </c>
      <c r="BB28">
        <v>51840</v>
      </c>
      <c r="BC28">
        <v>51840</v>
      </c>
      <c r="BD28">
        <v>0</v>
      </c>
      <c r="BE28">
        <v>0</v>
      </c>
      <c r="BF28">
        <v>369336</v>
      </c>
      <c r="BG28">
        <v>369336</v>
      </c>
      <c r="BH28">
        <v>0</v>
      </c>
      <c r="BI28">
        <v>14568.66</v>
      </c>
      <c r="BJ28">
        <v>195104</v>
      </c>
      <c r="BK28">
        <v>500941.27</v>
      </c>
      <c r="BL28">
        <v>229941.27</v>
      </c>
      <c r="BM28">
        <v>271000</v>
      </c>
      <c r="BN28">
        <v>129387.7912</v>
      </c>
      <c r="BO28">
        <v>108152.29</v>
      </c>
      <c r="BP28">
        <v>44800</v>
      </c>
      <c r="BQ28">
        <v>0</v>
      </c>
      <c r="BR28">
        <v>0</v>
      </c>
      <c r="BS28">
        <v>63352.29</v>
      </c>
      <c r="BT28">
        <v>279181.82</v>
      </c>
      <c r="BU28">
        <v>229068</v>
      </c>
      <c r="BV28">
        <v>50113.82</v>
      </c>
      <c r="BW28">
        <v>0</v>
      </c>
      <c r="BX28">
        <v>0</v>
      </c>
      <c r="BY28">
        <v>152763.338</v>
      </c>
      <c r="BZ28">
        <v>87751.7</v>
      </c>
      <c r="CA28">
        <v>36068.15</v>
      </c>
      <c r="CB28">
        <v>51221.16</v>
      </c>
      <c r="CC28">
        <v>462.39</v>
      </c>
      <c r="CD28">
        <v>65011.638</v>
      </c>
      <c r="CE28">
        <v>0</v>
      </c>
      <c r="CF28">
        <v>65011.638</v>
      </c>
      <c r="CG28">
        <v>0</v>
      </c>
      <c r="CH28">
        <v>3988682.23</v>
      </c>
      <c r="CI28">
        <v>222774</v>
      </c>
      <c r="CJ28">
        <v>0</v>
      </c>
      <c r="CK28">
        <v>0</v>
      </c>
      <c r="CL28">
        <v>71202</v>
      </c>
      <c r="CM28">
        <v>58135</v>
      </c>
      <c r="CN28">
        <v>6856</v>
      </c>
      <c r="CO28">
        <v>86581</v>
      </c>
      <c r="CP28">
        <v>378000</v>
      </c>
      <c r="CQ28">
        <v>28904.37</v>
      </c>
      <c r="CR28">
        <v>10105.37</v>
      </c>
      <c r="CS28">
        <v>17849</v>
      </c>
      <c r="CT28">
        <v>0</v>
      </c>
      <c r="CU28">
        <v>350</v>
      </c>
      <c r="CV28">
        <v>0</v>
      </c>
      <c r="CW28">
        <v>0</v>
      </c>
      <c r="CX28">
        <v>600</v>
      </c>
      <c r="CY28">
        <v>8359.713</v>
      </c>
      <c r="CZ28">
        <v>3742.6</v>
      </c>
      <c r="DA28">
        <v>0</v>
      </c>
      <c r="DB28">
        <v>180</v>
      </c>
      <c r="DC28">
        <v>88</v>
      </c>
      <c r="DD28">
        <v>0</v>
      </c>
      <c r="DE28">
        <v>0</v>
      </c>
      <c r="DF28">
        <v>4349.113</v>
      </c>
      <c r="DG28">
        <v>0</v>
      </c>
      <c r="DH28" s="3">
        <v>301428</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34249</v>
      </c>
      <c r="EG28">
        <v>0</v>
      </c>
      <c r="EH28">
        <v>0</v>
      </c>
      <c r="EI28">
        <v>933681.22</v>
      </c>
      <c r="EJ28">
        <v>0</v>
      </c>
      <c r="EK28">
        <v>0</v>
      </c>
      <c r="EL28">
        <v>0</v>
      </c>
      <c r="EM28">
        <v>0</v>
      </c>
      <c r="EN28">
        <v>240850</v>
      </c>
      <c r="EO28">
        <v>61114.5</v>
      </c>
      <c r="EP28">
        <v>61114.5</v>
      </c>
      <c r="EQ28">
        <v>0</v>
      </c>
      <c r="ER28">
        <v>36936</v>
      </c>
      <c r="ES28">
        <v>0</v>
      </c>
      <c r="ET28">
        <v>0</v>
      </c>
      <c r="EU28">
        <v>1680</v>
      </c>
      <c r="EV28" s="4">
        <v>120</v>
      </c>
      <c r="EW28">
        <v>0</v>
      </c>
      <c r="EX28">
        <v>0</v>
      </c>
      <c r="EY28" s="4">
        <v>120</v>
      </c>
      <c r="EZ28">
        <v>0</v>
      </c>
      <c r="FA28">
        <v>0</v>
      </c>
      <c r="FB28">
        <v>0</v>
      </c>
      <c r="FC28">
        <v>0</v>
      </c>
      <c r="FD28">
        <v>0</v>
      </c>
      <c r="FE28">
        <v>0</v>
      </c>
      <c r="FF28">
        <v>0</v>
      </c>
      <c r="FG28">
        <v>0</v>
      </c>
      <c r="FH28">
        <v>0</v>
      </c>
      <c r="FI28" s="4">
        <v>1466645.73</v>
      </c>
      <c r="FJ28">
        <v>44270.45</v>
      </c>
      <c r="FK28">
        <v>44270.45</v>
      </c>
      <c r="FL28">
        <v>0</v>
      </c>
      <c r="FM28" s="4">
        <v>4282.6</v>
      </c>
      <c r="FN28">
        <v>0</v>
      </c>
      <c r="FO28">
        <v>0</v>
      </c>
      <c r="FP28">
        <v>0</v>
      </c>
      <c r="FQ28">
        <v>0</v>
      </c>
      <c r="FR28">
        <v>4282.6</v>
      </c>
      <c r="FS28">
        <v>0</v>
      </c>
      <c r="FT28">
        <v>58164.296</v>
      </c>
      <c r="FU28">
        <v>145410.74</v>
      </c>
      <c r="FV28">
        <v>21811.611</v>
      </c>
      <c r="FY28">
        <v>7270537</v>
      </c>
      <c r="FZ28">
        <v>6838100.3832</v>
      </c>
      <c r="GA28">
        <v>1048142.984</v>
      </c>
      <c r="GB28">
        <v>5789957.3992</v>
      </c>
      <c r="GC28">
        <v>1480579.6008</v>
      </c>
      <c r="GD28">
        <v>0.203641024149936</v>
      </c>
      <c r="GE28">
        <v>432436.6168</v>
      </c>
      <c r="GF28">
        <v>0.059477947337315</v>
      </c>
      <c r="GJ28">
        <v>45542</v>
      </c>
      <c r="GL28">
        <v>45550</v>
      </c>
      <c r="GO28">
        <v>45555</v>
      </c>
      <c r="GR28" t="s">
        <v>694</v>
      </c>
      <c r="GU28" t="s">
        <v>694</v>
      </c>
      <c r="HA28">
        <v>45565</v>
      </c>
      <c r="HB28">
        <v>45578</v>
      </c>
      <c r="HE28">
        <v>38</v>
      </c>
      <c r="HF28">
        <v>6</v>
      </c>
      <c r="HG28">
        <v>11</v>
      </c>
      <c r="HH28">
        <v>21</v>
      </c>
      <c r="HK28">
        <v>146</v>
      </c>
      <c r="HL28">
        <v>21</v>
      </c>
      <c r="HM28">
        <v>48</v>
      </c>
      <c r="HN28">
        <v>12</v>
      </c>
      <c r="HO28">
        <v>0</v>
      </c>
      <c r="HP28">
        <v>13</v>
      </c>
      <c r="HQ28">
        <v>195</v>
      </c>
      <c r="HR28">
        <v>232</v>
      </c>
      <c r="HU28" s="10"/>
    </row>
    <row r="29" spans="1:229">
      <c r="A29" s="1">
        <f t="shared" si="0"/>
        <v>28</v>
      </c>
      <c r="B29" s="2">
        <v>2024</v>
      </c>
      <c r="C29" s="2" t="s">
        <v>741</v>
      </c>
      <c r="D29" s="2" t="s">
        <v>27</v>
      </c>
      <c r="E29" s="9">
        <v>50537</v>
      </c>
      <c r="F29" s="2" t="s">
        <v>736</v>
      </c>
      <c r="G29" s="2" t="s">
        <v>36</v>
      </c>
      <c r="H29" s="2" t="s">
        <v>737</v>
      </c>
      <c r="I29" s="2" t="s">
        <v>742</v>
      </c>
      <c r="J29" t="s">
        <v>316</v>
      </c>
      <c r="K29" t="s">
        <v>31</v>
      </c>
      <c r="L29" t="s">
        <v>32</v>
      </c>
      <c r="M29">
        <v>2</v>
      </c>
      <c r="N29">
        <v>2848</v>
      </c>
      <c r="O29" s="3">
        <v>2859</v>
      </c>
      <c r="P29" s="4">
        <v>8</v>
      </c>
      <c r="Q29" s="4">
        <v>0</v>
      </c>
      <c r="R29" s="4">
        <v>13</v>
      </c>
      <c r="S29" s="4">
        <v>7</v>
      </c>
      <c r="T29" s="4">
        <v>20</v>
      </c>
      <c r="U29" s="4">
        <v>28</v>
      </c>
      <c r="V29" s="4">
        <v>0</v>
      </c>
      <c r="W29" s="4">
        <v>0.666666666666667</v>
      </c>
      <c r="X29" s="4">
        <v>0.933333333333333</v>
      </c>
      <c r="Y29" s="3">
        <v>5587787</v>
      </c>
      <c r="Z29">
        <v>-156856.826222223</v>
      </c>
      <c r="AA29">
        <v>5744643.82622222</v>
      </c>
      <c r="AB29">
        <v>815222.320888889</v>
      </c>
      <c r="AC29">
        <v>396666.666666667</v>
      </c>
      <c r="AD29">
        <v>396666.666666667</v>
      </c>
      <c r="AE29">
        <v>0</v>
      </c>
      <c r="AF29">
        <v>25401.4281111111</v>
      </c>
      <c r="AG29">
        <v>25401.4281111111</v>
      </c>
      <c r="AH29">
        <v>0</v>
      </c>
      <c r="AI29">
        <v>10487.5594444444</v>
      </c>
      <c r="AJ29">
        <v>4710.951</v>
      </c>
      <c r="AK29">
        <v>5776.60844444444</v>
      </c>
      <c r="AL29">
        <v>0</v>
      </c>
      <c r="AM29">
        <v>0</v>
      </c>
      <c r="AN29">
        <v>0</v>
      </c>
      <c r="AO29">
        <v>0</v>
      </c>
      <c r="AP29">
        <v>0</v>
      </c>
      <c r="AQ29">
        <v>0</v>
      </c>
      <c r="AR29">
        <v>0</v>
      </c>
      <c r="AS29">
        <v>0</v>
      </c>
      <c r="AT29">
        <v>0</v>
      </c>
      <c r="AU29">
        <v>0</v>
      </c>
      <c r="AV29">
        <v>0</v>
      </c>
      <c r="AW29">
        <v>0</v>
      </c>
      <c r="AX29">
        <v>0</v>
      </c>
      <c r="AY29">
        <v>382666.666666667</v>
      </c>
      <c r="AZ29">
        <v>4929421.50533333</v>
      </c>
      <c r="BA29">
        <v>1232846.022</v>
      </c>
      <c r="BB29">
        <v>51840</v>
      </c>
      <c r="BC29">
        <v>51840</v>
      </c>
      <c r="BD29">
        <v>0</v>
      </c>
      <c r="BE29">
        <v>0</v>
      </c>
      <c r="BF29">
        <v>251636</v>
      </c>
      <c r="BG29">
        <v>251636</v>
      </c>
      <c r="BH29">
        <v>0</v>
      </c>
      <c r="BI29">
        <v>5750.352</v>
      </c>
      <c r="BJ29">
        <v>559907.9</v>
      </c>
      <c r="BK29">
        <v>0</v>
      </c>
      <c r="BL29">
        <v>0</v>
      </c>
      <c r="BM29">
        <v>0</v>
      </c>
      <c r="BN29">
        <v>60023.38</v>
      </c>
      <c r="BO29">
        <v>92711.69</v>
      </c>
      <c r="BP29">
        <v>32000</v>
      </c>
      <c r="BQ29">
        <v>0</v>
      </c>
      <c r="BR29">
        <v>0</v>
      </c>
      <c r="BS29">
        <v>60711.69</v>
      </c>
      <c r="BT29">
        <v>210976.7</v>
      </c>
      <c r="BU29">
        <v>180117</v>
      </c>
      <c r="BV29">
        <v>30859.7</v>
      </c>
      <c r="BW29">
        <v>0</v>
      </c>
      <c r="BX29">
        <v>0</v>
      </c>
      <c r="BY29">
        <v>116764.71</v>
      </c>
      <c r="BZ29">
        <v>116764.71</v>
      </c>
      <c r="CA29">
        <v>64933.58</v>
      </c>
      <c r="CB29">
        <v>29378.03</v>
      </c>
      <c r="CC29">
        <v>22453.1</v>
      </c>
      <c r="CD29">
        <v>0</v>
      </c>
      <c r="CE29">
        <v>0</v>
      </c>
      <c r="CF29">
        <v>0</v>
      </c>
      <c r="CG29">
        <v>0</v>
      </c>
      <c r="CH29">
        <v>3579810.77333333</v>
      </c>
      <c r="CI29">
        <v>310738</v>
      </c>
      <c r="CJ29">
        <v>0</v>
      </c>
      <c r="CK29">
        <v>0</v>
      </c>
      <c r="CL29">
        <v>149901</v>
      </c>
      <c r="CM29">
        <v>72324</v>
      </c>
      <c r="CN29">
        <v>8427</v>
      </c>
      <c r="CO29">
        <v>80086</v>
      </c>
      <c r="CP29">
        <v>294000</v>
      </c>
      <c r="CQ29">
        <v>25878.03</v>
      </c>
      <c r="CR29">
        <v>8268.03</v>
      </c>
      <c r="CS29">
        <v>16660</v>
      </c>
      <c r="CT29">
        <v>0</v>
      </c>
      <c r="CU29">
        <v>350</v>
      </c>
      <c r="CV29">
        <v>0</v>
      </c>
      <c r="CW29">
        <v>0</v>
      </c>
      <c r="CX29">
        <v>600</v>
      </c>
      <c r="CY29">
        <v>8359.713</v>
      </c>
      <c r="CZ29">
        <v>3742.6</v>
      </c>
      <c r="DA29">
        <v>0</v>
      </c>
      <c r="DB29">
        <v>180</v>
      </c>
      <c r="DC29">
        <v>88</v>
      </c>
      <c r="DD29">
        <v>0</v>
      </c>
      <c r="DE29">
        <v>0</v>
      </c>
      <c r="DF29">
        <v>4349.113</v>
      </c>
      <c r="DG29">
        <v>0</v>
      </c>
      <c r="DH29" s="3">
        <v>439873</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25600</v>
      </c>
      <c r="EG29">
        <v>0</v>
      </c>
      <c r="EH29">
        <v>0</v>
      </c>
      <c r="EI29">
        <v>712504.84</v>
      </c>
      <c r="EJ29">
        <v>0</v>
      </c>
      <c r="EK29">
        <v>0</v>
      </c>
      <c r="EL29">
        <v>62464</v>
      </c>
      <c r="EM29">
        <v>49489</v>
      </c>
      <c r="EN29">
        <v>241900</v>
      </c>
      <c r="EO29">
        <v>60219</v>
      </c>
      <c r="EP29">
        <v>60219</v>
      </c>
      <c r="EQ29">
        <v>0</v>
      </c>
      <c r="ER29">
        <v>28728</v>
      </c>
      <c r="ES29">
        <v>0</v>
      </c>
      <c r="ET29">
        <v>0</v>
      </c>
      <c r="EU29">
        <v>4320</v>
      </c>
      <c r="EV29" s="4">
        <v>93.3333333333333</v>
      </c>
      <c r="EW29">
        <v>0</v>
      </c>
      <c r="EX29">
        <v>0</v>
      </c>
      <c r="EY29" s="4">
        <v>93.3333333333333</v>
      </c>
      <c r="EZ29">
        <v>0</v>
      </c>
      <c r="FA29">
        <v>0</v>
      </c>
      <c r="FB29">
        <v>0</v>
      </c>
      <c r="FC29">
        <v>0</v>
      </c>
      <c r="FD29">
        <v>0</v>
      </c>
      <c r="FE29">
        <v>0</v>
      </c>
      <c r="FF29">
        <v>0</v>
      </c>
      <c r="FG29">
        <v>0</v>
      </c>
      <c r="FH29">
        <v>0</v>
      </c>
      <c r="FI29" s="4">
        <v>1093869.41</v>
      </c>
      <c r="FJ29">
        <v>44270.45</v>
      </c>
      <c r="FK29">
        <v>44270.45</v>
      </c>
      <c r="FL29">
        <v>0</v>
      </c>
      <c r="FM29" s="4">
        <v>4282.6</v>
      </c>
      <c r="FN29">
        <v>0</v>
      </c>
      <c r="FO29">
        <v>0</v>
      </c>
      <c r="FP29">
        <v>0</v>
      </c>
      <c r="FQ29">
        <v>0</v>
      </c>
      <c r="FR29">
        <v>4282.6</v>
      </c>
      <c r="FS29">
        <v>0</v>
      </c>
      <c r="FT29">
        <v>44702.296</v>
      </c>
      <c r="FU29">
        <v>111755.74</v>
      </c>
      <c r="FV29">
        <v>16763.361</v>
      </c>
      <c r="FY29">
        <v>5587787</v>
      </c>
      <c r="FZ29">
        <v>5744643.82622222</v>
      </c>
      <c r="GA29">
        <v>815222.320888889</v>
      </c>
      <c r="GB29">
        <v>4929421.50533333</v>
      </c>
      <c r="GC29">
        <v>658365.494666666</v>
      </c>
      <c r="GD29">
        <v>0.117822224552701</v>
      </c>
      <c r="GE29">
        <v>-156856.826222223</v>
      </c>
      <c r="GF29">
        <v>-0.0280713681860499</v>
      </c>
      <c r="GJ29">
        <v>45507</v>
      </c>
      <c r="GL29">
        <v>45515</v>
      </c>
      <c r="GO29">
        <v>45518</v>
      </c>
      <c r="GR29" t="s">
        <v>694</v>
      </c>
      <c r="GU29" t="s">
        <v>694</v>
      </c>
      <c r="HA29">
        <v>45528</v>
      </c>
      <c r="HB29">
        <v>45535</v>
      </c>
      <c r="HE29">
        <v>38</v>
      </c>
      <c r="HF29">
        <v>6</v>
      </c>
      <c r="HG29">
        <v>11</v>
      </c>
      <c r="HH29">
        <v>21</v>
      </c>
      <c r="HK29">
        <v>138</v>
      </c>
      <c r="HL29">
        <v>15</v>
      </c>
      <c r="HM29">
        <v>50</v>
      </c>
      <c r="HN29">
        <v>30</v>
      </c>
      <c r="HO29">
        <v>0</v>
      </c>
      <c r="HP29">
        <v>16</v>
      </c>
      <c r="HQ29">
        <v>185</v>
      </c>
      <c r="HR29">
        <v>41</v>
      </c>
      <c r="HU29" s="10"/>
    </row>
    <row r="30" spans="1:229">
      <c r="A30" s="1">
        <f t="shared" si="0"/>
        <v>29</v>
      </c>
      <c r="B30" s="2">
        <v>2024</v>
      </c>
      <c r="C30" s="2" t="s">
        <v>45</v>
      </c>
      <c r="D30" s="2" t="s">
        <v>27</v>
      </c>
      <c r="E30" s="9">
        <v>50998</v>
      </c>
      <c r="F30" s="2" t="s">
        <v>691</v>
      </c>
      <c r="G30" s="2" t="s">
        <v>36</v>
      </c>
      <c r="H30" s="2" t="s">
        <v>743</v>
      </c>
      <c r="I30" s="2" t="s">
        <v>744</v>
      </c>
      <c r="J30" t="s">
        <v>323</v>
      </c>
      <c r="K30" t="s">
        <v>730</v>
      </c>
      <c r="L30" t="s">
        <v>32</v>
      </c>
      <c r="M30">
        <v>3</v>
      </c>
      <c r="N30">
        <v>3732</v>
      </c>
      <c r="O30" s="3">
        <v>3732</v>
      </c>
      <c r="P30" s="4">
        <v>12</v>
      </c>
      <c r="Q30" s="4">
        <v>0</v>
      </c>
      <c r="R30" s="4">
        <v>29</v>
      </c>
      <c r="S30" s="4">
        <v>10</v>
      </c>
      <c r="T30" s="4">
        <v>39</v>
      </c>
      <c r="U30" s="4">
        <v>51</v>
      </c>
      <c r="V30" s="4">
        <v>0</v>
      </c>
      <c r="W30" s="4">
        <v>1.3</v>
      </c>
      <c r="X30" s="4">
        <v>1.7</v>
      </c>
      <c r="Y30" s="3">
        <v>9945000</v>
      </c>
      <c r="Z30">
        <v>-2125187.51802707</v>
      </c>
      <c r="AA30">
        <v>12070187.5180271</v>
      </c>
      <c r="AB30">
        <v>1301229.61591667</v>
      </c>
      <c r="AC30">
        <v>552500</v>
      </c>
      <c r="AD30">
        <v>552500</v>
      </c>
      <c r="AE30">
        <v>0</v>
      </c>
      <c r="AF30">
        <v>48655.4988333334</v>
      </c>
      <c r="AG30">
        <v>48655.4988333334</v>
      </c>
      <c r="AH30">
        <v>0</v>
      </c>
      <c r="AI30">
        <v>3074.11708333333</v>
      </c>
      <c r="AJ30">
        <v>2349.48641666666</v>
      </c>
      <c r="AK30">
        <v>724.630666666666</v>
      </c>
      <c r="AL30">
        <v>0</v>
      </c>
      <c r="AM30">
        <v>0</v>
      </c>
      <c r="AN30">
        <v>0</v>
      </c>
      <c r="AO30">
        <v>0</v>
      </c>
      <c r="AP30">
        <v>0</v>
      </c>
      <c r="AQ30">
        <v>0</v>
      </c>
      <c r="AR30">
        <v>0</v>
      </c>
      <c r="AS30">
        <v>0</v>
      </c>
      <c r="AT30">
        <v>0</v>
      </c>
      <c r="AU30">
        <v>0</v>
      </c>
      <c r="AV30">
        <v>0</v>
      </c>
      <c r="AW30">
        <v>0</v>
      </c>
      <c r="AX30">
        <v>0</v>
      </c>
      <c r="AY30">
        <v>697000</v>
      </c>
      <c r="AZ30">
        <v>10768957.9021104</v>
      </c>
      <c r="BA30">
        <v>2525024.9721104</v>
      </c>
      <c r="BB30">
        <v>128997.8676</v>
      </c>
      <c r="BC30">
        <v>128997.8676</v>
      </c>
      <c r="BD30">
        <v>0</v>
      </c>
      <c r="BE30">
        <v>0</v>
      </c>
      <c r="BF30">
        <v>1050455</v>
      </c>
      <c r="BG30">
        <v>1050455</v>
      </c>
      <c r="BH30">
        <v>0</v>
      </c>
      <c r="BI30">
        <v>31513.104</v>
      </c>
      <c r="BJ30">
        <v>105612</v>
      </c>
      <c r="BK30">
        <v>487769.6</v>
      </c>
      <c r="BL30">
        <v>268069.6</v>
      </c>
      <c r="BM30">
        <v>219700</v>
      </c>
      <c r="BN30">
        <v>255990.8405104</v>
      </c>
      <c r="BO30">
        <v>160590.1</v>
      </c>
      <c r="BP30">
        <v>62400</v>
      </c>
      <c r="BQ30">
        <v>0</v>
      </c>
      <c r="BR30">
        <v>0</v>
      </c>
      <c r="BS30">
        <v>98190.1</v>
      </c>
      <c r="BT30">
        <v>304096.46</v>
      </c>
      <c r="BU30">
        <v>235116</v>
      </c>
      <c r="BV30">
        <v>68980.46</v>
      </c>
      <c r="BW30">
        <v>0</v>
      </c>
      <c r="BX30">
        <v>0</v>
      </c>
      <c r="BY30">
        <v>934064.14</v>
      </c>
      <c r="BZ30">
        <v>749451.61</v>
      </c>
      <c r="CA30">
        <v>517218.21</v>
      </c>
      <c r="CB30">
        <v>98147.6</v>
      </c>
      <c r="CC30">
        <v>134085.8</v>
      </c>
      <c r="CD30">
        <v>184612.53</v>
      </c>
      <c r="CE30">
        <v>0</v>
      </c>
      <c r="CF30">
        <v>143060.18</v>
      </c>
      <c r="CG30">
        <v>41552.35</v>
      </c>
      <c r="CH30">
        <v>7309868.79</v>
      </c>
      <c r="CI30">
        <v>571768</v>
      </c>
      <c r="CJ30">
        <v>0</v>
      </c>
      <c r="CK30">
        <v>0</v>
      </c>
      <c r="CL30">
        <v>307819</v>
      </c>
      <c r="CM30">
        <v>103543</v>
      </c>
      <c r="CN30">
        <v>4633</v>
      </c>
      <c r="CO30">
        <v>155773</v>
      </c>
      <c r="CP30">
        <v>714000</v>
      </c>
      <c r="CQ30">
        <v>43993.04</v>
      </c>
      <c r="CR30">
        <v>11024.04</v>
      </c>
      <c r="CS30">
        <v>31319</v>
      </c>
      <c r="CT30">
        <v>0</v>
      </c>
      <c r="CU30">
        <v>850</v>
      </c>
      <c r="CV30">
        <v>0</v>
      </c>
      <c r="CW30">
        <v>0</v>
      </c>
      <c r="CX30">
        <v>800</v>
      </c>
      <c r="CY30">
        <v>12086.26</v>
      </c>
      <c r="CZ30">
        <v>6648.33333333333</v>
      </c>
      <c r="DA30">
        <v>0</v>
      </c>
      <c r="DB30">
        <v>583.33</v>
      </c>
      <c r="DC30">
        <v>346.666666666667</v>
      </c>
      <c r="DD30">
        <v>0</v>
      </c>
      <c r="DE30">
        <v>0</v>
      </c>
      <c r="DF30">
        <v>4507.93</v>
      </c>
      <c r="DG30">
        <v>0</v>
      </c>
      <c r="DH30" s="3">
        <v>519587</v>
      </c>
      <c r="DI30">
        <v>23687.9</v>
      </c>
      <c r="DJ30">
        <v>0</v>
      </c>
      <c r="DK30">
        <v>0</v>
      </c>
      <c r="DL30">
        <v>0</v>
      </c>
      <c r="DM30">
        <v>0</v>
      </c>
      <c r="DN30">
        <v>0</v>
      </c>
      <c r="DO30">
        <v>0</v>
      </c>
      <c r="DP30">
        <v>23687.9</v>
      </c>
      <c r="DQ30">
        <v>0</v>
      </c>
      <c r="DR30">
        <v>0</v>
      </c>
      <c r="DS30">
        <v>0</v>
      </c>
      <c r="DT30">
        <v>0</v>
      </c>
      <c r="DU30">
        <v>0</v>
      </c>
      <c r="DV30">
        <v>0</v>
      </c>
      <c r="DW30">
        <v>0</v>
      </c>
      <c r="DX30">
        <v>0</v>
      </c>
      <c r="DY30">
        <v>0</v>
      </c>
      <c r="DZ30">
        <v>0</v>
      </c>
      <c r="EA30">
        <v>0</v>
      </c>
      <c r="EB30">
        <v>0</v>
      </c>
      <c r="EC30">
        <v>0</v>
      </c>
      <c r="ED30">
        <v>0</v>
      </c>
      <c r="EE30">
        <v>0</v>
      </c>
      <c r="EF30">
        <v>51899</v>
      </c>
      <c r="EG30">
        <v>0</v>
      </c>
      <c r="EH30">
        <v>15509</v>
      </c>
      <c r="EI30">
        <v>1081664.84</v>
      </c>
      <c r="EJ30">
        <v>0</v>
      </c>
      <c r="EK30">
        <v>462879.96</v>
      </c>
      <c r="EL30">
        <v>0</v>
      </c>
      <c r="EM30">
        <v>0</v>
      </c>
      <c r="EN30">
        <v>688400</v>
      </c>
      <c r="EO30">
        <v>80000</v>
      </c>
      <c r="EP30">
        <v>80000</v>
      </c>
      <c r="EQ30">
        <v>0</v>
      </c>
      <c r="ER30">
        <v>56457</v>
      </c>
      <c r="ES30">
        <v>0</v>
      </c>
      <c r="ET30">
        <v>0</v>
      </c>
      <c r="EU30">
        <v>3180</v>
      </c>
      <c r="EV30" s="4">
        <v>170</v>
      </c>
      <c r="EW30">
        <v>0</v>
      </c>
      <c r="EX30">
        <v>0</v>
      </c>
      <c r="EY30" s="4">
        <v>170</v>
      </c>
      <c r="EZ30">
        <v>0</v>
      </c>
      <c r="FA30">
        <v>0</v>
      </c>
      <c r="FB30">
        <v>0</v>
      </c>
      <c r="FC30">
        <v>0</v>
      </c>
      <c r="FD30">
        <v>0</v>
      </c>
      <c r="FE30">
        <v>0</v>
      </c>
      <c r="FF30">
        <v>0</v>
      </c>
      <c r="FG30">
        <v>0</v>
      </c>
      <c r="FH30">
        <v>0</v>
      </c>
      <c r="FI30" s="4">
        <v>2488922.43</v>
      </c>
      <c r="FJ30">
        <v>177632.33</v>
      </c>
      <c r="FK30">
        <v>177632.33</v>
      </c>
      <c r="FL30">
        <v>0</v>
      </c>
      <c r="FM30" s="4">
        <v>9737.03</v>
      </c>
      <c r="FN30">
        <v>0</v>
      </c>
      <c r="FO30">
        <v>0</v>
      </c>
      <c r="FP30">
        <v>0</v>
      </c>
      <c r="FQ30">
        <v>0</v>
      </c>
      <c r="FR30">
        <v>9737.03</v>
      </c>
      <c r="FS30">
        <v>0</v>
      </c>
      <c r="FT30">
        <v>79560</v>
      </c>
      <c r="FU30">
        <v>198900</v>
      </c>
      <c r="FV30">
        <v>29835</v>
      </c>
      <c r="FY30">
        <v>9945000</v>
      </c>
      <c r="FZ30">
        <v>12070187.5180271</v>
      </c>
      <c r="GA30">
        <v>1301229.61591667</v>
      </c>
      <c r="GB30">
        <v>10768957.9021104</v>
      </c>
      <c r="GC30">
        <v>-823957.9021104</v>
      </c>
      <c r="GD30">
        <v>-0.0828514733142684</v>
      </c>
      <c r="GE30">
        <v>-2125187.51802707</v>
      </c>
      <c r="GF30">
        <v>-0.213694069183215</v>
      </c>
      <c r="GJ30">
        <v>45397</v>
      </c>
      <c r="GL30">
        <v>45409</v>
      </c>
      <c r="GO30">
        <v>45413</v>
      </c>
      <c r="GR30">
        <v>45425</v>
      </c>
      <c r="GU30" t="s">
        <v>694</v>
      </c>
      <c r="HA30">
        <v>45438</v>
      </c>
      <c r="HB30">
        <v>45448</v>
      </c>
      <c r="HE30">
        <v>41</v>
      </c>
      <c r="HF30">
        <v>5</v>
      </c>
      <c r="HG30">
        <v>8</v>
      </c>
      <c r="HH30">
        <v>28</v>
      </c>
      <c r="HK30">
        <v>207</v>
      </c>
      <c r="HL30">
        <v>135</v>
      </c>
      <c r="HM30">
        <v>104</v>
      </c>
      <c r="HN30">
        <v>0</v>
      </c>
      <c r="HO30">
        <v>0</v>
      </c>
      <c r="HP30">
        <v>0</v>
      </c>
      <c r="HQ30">
        <v>285</v>
      </c>
      <c r="HR30">
        <v>207</v>
      </c>
      <c r="HU30" s="10"/>
    </row>
    <row r="31" spans="1:229">
      <c r="A31" s="1">
        <f t="shared" si="0"/>
        <v>30</v>
      </c>
      <c r="B31" s="2">
        <v>2024</v>
      </c>
      <c r="C31" s="2" t="s">
        <v>39</v>
      </c>
      <c r="D31" s="2" t="s">
        <v>27</v>
      </c>
      <c r="E31" s="9">
        <v>70592</v>
      </c>
      <c r="F31" s="2" t="s">
        <v>709</v>
      </c>
      <c r="G31" s="2" t="s">
        <v>28</v>
      </c>
      <c r="H31" s="2" t="s">
        <v>743</v>
      </c>
      <c r="I31" s="2" t="s">
        <v>745</v>
      </c>
      <c r="J31" t="s">
        <v>323</v>
      </c>
      <c r="K31" t="s">
        <v>31</v>
      </c>
      <c r="L31" t="s">
        <v>38</v>
      </c>
      <c r="M31">
        <v>3</v>
      </c>
      <c r="N31">
        <v>6493</v>
      </c>
      <c r="O31" s="3">
        <v>6493</v>
      </c>
      <c r="P31" s="4">
        <v>1</v>
      </c>
      <c r="Q31" s="4">
        <v>0</v>
      </c>
      <c r="R31" s="4">
        <v>59</v>
      </c>
      <c r="S31" s="4">
        <v>9</v>
      </c>
      <c r="T31" s="4">
        <v>68</v>
      </c>
      <c r="U31" s="4">
        <v>69</v>
      </c>
      <c r="V31" s="4">
        <v>0</v>
      </c>
      <c r="W31" s="4">
        <v>2.26666666666667</v>
      </c>
      <c r="X31" s="4">
        <v>2.3</v>
      </c>
      <c r="Y31" s="3">
        <v>22769500</v>
      </c>
      <c r="Z31">
        <v>-713251.788655259</v>
      </c>
      <c r="AA31">
        <v>23482751.7886553</v>
      </c>
      <c r="AB31">
        <v>2182246.69893658</v>
      </c>
      <c r="AC31">
        <v>747500</v>
      </c>
      <c r="AD31">
        <v>747500</v>
      </c>
      <c r="AE31">
        <v>0</v>
      </c>
      <c r="AF31">
        <v>272851.4265</v>
      </c>
      <c r="AG31">
        <v>272851.4265</v>
      </c>
      <c r="AH31">
        <v>0</v>
      </c>
      <c r="AI31">
        <v>24804.304</v>
      </c>
      <c r="AJ31">
        <v>19111.804</v>
      </c>
      <c r="AK31">
        <v>5692.5</v>
      </c>
      <c r="AL31">
        <v>0</v>
      </c>
      <c r="AM31">
        <v>194090.968436578</v>
      </c>
      <c r="AN31">
        <v>194090.968436578</v>
      </c>
      <c r="AO31">
        <v>0</v>
      </c>
      <c r="AP31">
        <v>0</v>
      </c>
      <c r="AQ31">
        <v>0</v>
      </c>
      <c r="AR31">
        <v>0</v>
      </c>
      <c r="AS31">
        <v>0</v>
      </c>
      <c r="AT31">
        <v>0</v>
      </c>
      <c r="AU31">
        <v>0</v>
      </c>
      <c r="AV31">
        <v>0</v>
      </c>
      <c r="AW31">
        <v>0</v>
      </c>
      <c r="AX31">
        <v>0</v>
      </c>
      <c r="AY31">
        <v>943000</v>
      </c>
      <c r="AZ31">
        <v>21300505.0897187</v>
      </c>
      <c r="BA31">
        <v>4415761.865842</v>
      </c>
      <c r="BB31">
        <v>486135.7128</v>
      </c>
      <c r="BC31">
        <v>486135.7128</v>
      </c>
      <c r="BD31">
        <v>0</v>
      </c>
      <c r="BE31">
        <v>0</v>
      </c>
      <c r="BF31">
        <v>2229818</v>
      </c>
      <c r="BG31">
        <v>2229818</v>
      </c>
      <c r="BH31">
        <v>0</v>
      </c>
      <c r="BI31">
        <v>5827.464</v>
      </c>
      <c r="BJ31">
        <v>202358</v>
      </c>
      <c r="BK31">
        <v>0</v>
      </c>
      <c r="BL31">
        <v>0</v>
      </c>
      <c r="BM31">
        <v>0</v>
      </c>
      <c r="BN31">
        <v>453048.729042</v>
      </c>
      <c r="BO31">
        <v>242640.87</v>
      </c>
      <c r="BP31">
        <v>108800</v>
      </c>
      <c r="BQ31">
        <v>0</v>
      </c>
      <c r="BR31">
        <v>0</v>
      </c>
      <c r="BS31">
        <v>133840.87</v>
      </c>
      <c r="BT31">
        <v>795933.09</v>
      </c>
      <c r="BU31">
        <v>675272</v>
      </c>
      <c r="BV31">
        <v>120661.09</v>
      </c>
      <c r="BW31">
        <v>0</v>
      </c>
      <c r="BX31">
        <v>0</v>
      </c>
      <c r="BY31">
        <v>335979.62</v>
      </c>
      <c r="BZ31">
        <v>236666.34</v>
      </c>
      <c r="CA31">
        <v>40817.58</v>
      </c>
      <c r="CB31">
        <v>5165.28</v>
      </c>
      <c r="CC31">
        <v>190683.48</v>
      </c>
      <c r="CD31">
        <v>99313.28</v>
      </c>
      <c r="CE31">
        <v>0</v>
      </c>
      <c r="CF31">
        <v>99313.28</v>
      </c>
      <c r="CG31">
        <v>0</v>
      </c>
      <c r="CH31">
        <v>16548763.6038767</v>
      </c>
      <c r="CI31">
        <v>443058</v>
      </c>
      <c r="CJ31">
        <v>0</v>
      </c>
      <c r="CK31">
        <v>27348</v>
      </c>
      <c r="CL31">
        <v>0</v>
      </c>
      <c r="CM31">
        <v>105755</v>
      </c>
      <c r="CN31">
        <v>32524</v>
      </c>
      <c r="CO31">
        <v>277431</v>
      </c>
      <c r="CP31">
        <v>828000</v>
      </c>
      <c r="CQ31">
        <v>60528.72</v>
      </c>
      <c r="CR31">
        <v>14698.72</v>
      </c>
      <c r="CS31">
        <v>43820</v>
      </c>
      <c r="CT31">
        <v>0</v>
      </c>
      <c r="CU31">
        <v>1050</v>
      </c>
      <c r="CV31">
        <v>0</v>
      </c>
      <c r="CW31">
        <v>0</v>
      </c>
      <c r="CX31">
        <v>960</v>
      </c>
      <c r="CY31">
        <v>79405.03</v>
      </c>
      <c r="CZ31">
        <v>3026.7</v>
      </c>
      <c r="DA31">
        <v>0</v>
      </c>
      <c r="DB31">
        <v>633.962</v>
      </c>
      <c r="DC31">
        <v>240</v>
      </c>
      <c r="DD31">
        <v>57900</v>
      </c>
      <c r="DE31">
        <v>11200</v>
      </c>
      <c r="DF31">
        <v>6404.368</v>
      </c>
      <c r="DG31">
        <v>0</v>
      </c>
      <c r="DH31" s="3">
        <v>190989</v>
      </c>
      <c r="DI31">
        <v>566795.9</v>
      </c>
      <c r="DJ31">
        <v>0</v>
      </c>
      <c r="DK31">
        <v>315374.73</v>
      </c>
      <c r="DL31">
        <v>0</v>
      </c>
      <c r="DM31">
        <v>0</v>
      </c>
      <c r="DN31">
        <v>0</v>
      </c>
      <c r="DO31">
        <v>0</v>
      </c>
      <c r="DP31">
        <v>251421.17</v>
      </c>
      <c r="DQ31">
        <v>134458.5</v>
      </c>
      <c r="DR31">
        <v>0</v>
      </c>
      <c r="DS31">
        <v>0</v>
      </c>
      <c r="DT31">
        <v>0</v>
      </c>
      <c r="DU31">
        <v>0</v>
      </c>
      <c r="DV31">
        <v>0</v>
      </c>
      <c r="DW31">
        <v>0</v>
      </c>
      <c r="DX31">
        <v>0</v>
      </c>
      <c r="DY31">
        <v>134458.5</v>
      </c>
      <c r="DZ31">
        <v>16743.8</v>
      </c>
      <c r="EA31">
        <v>0</v>
      </c>
      <c r="EB31">
        <v>0</v>
      </c>
      <c r="EC31">
        <v>0</v>
      </c>
      <c r="ED31">
        <v>16743.8</v>
      </c>
      <c r="EE31">
        <v>0</v>
      </c>
      <c r="EF31">
        <v>256940</v>
      </c>
      <c r="EG31">
        <v>0</v>
      </c>
      <c r="EH31">
        <v>231455.9</v>
      </c>
      <c r="EI31">
        <v>1635533.45</v>
      </c>
      <c r="EJ31">
        <v>0</v>
      </c>
      <c r="EK31">
        <v>866770.953876676</v>
      </c>
      <c r="EL31">
        <v>0</v>
      </c>
      <c r="EM31">
        <v>0</v>
      </c>
      <c r="EN31">
        <v>75000</v>
      </c>
      <c r="EO31">
        <v>60000</v>
      </c>
      <c r="EP31">
        <v>60000</v>
      </c>
      <c r="EQ31">
        <v>0</v>
      </c>
      <c r="ER31">
        <v>68931</v>
      </c>
      <c r="ES31">
        <v>0</v>
      </c>
      <c r="ET31">
        <v>0</v>
      </c>
      <c r="EU31">
        <v>1980</v>
      </c>
      <c r="EV31" s="4">
        <v>340.4</v>
      </c>
      <c r="EW31">
        <v>0</v>
      </c>
      <c r="EX31">
        <v>0</v>
      </c>
      <c r="EY31" s="4">
        <v>340.4</v>
      </c>
      <c r="EZ31">
        <v>4744100</v>
      </c>
      <c r="FA31">
        <v>4744100</v>
      </c>
      <c r="FB31">
        <v>0</v>
      </c>
      <c r="FC31">
        <v>0</v>
      </c>
      <c r="FD31">
        <v>0</v>
      </c>
      <c r="FE31">
        <v>0</v>
      </c>
      <c r="FF31">
        <v>0</v>
      </c>
      <c r="FG31">
        <v>0</v>
      </c>
      <c r="FH31">
        <v>932439</v>
      </c>
      <c r="FI31" s="4">
        <v>4525467.52</v>
      </c>
      <c r="FJ31">
        <v>92900.93</v>
      </c>
      <c r="FK31">
        <v>92900.93</v>
      </c>
      <c r="FL31">
        <v>0</v>
      </c>
      <c r="FM31" s="4">
        <v>31071</v>
      </c>
      <c r="FN31">
        <v>0</v>
      </c>
      <c r="FO31">
        <v>0</v>
      </c>
      <c r="FP31">
        <v>0</v>
      </c>
      <c r="FQ31">
        <v>0</v>
      </c>
      <c r="FR31">
        <v>31071</v>
      </c>
      <c r="FS31">
        <v>0</v>
      </c>
      <c r="FT31">
        <v>182156</v>
      </c>
      <c r="FU31">
        <v>455390</v>
      </c>
      <c r="FV31">
        <v>68308.5</v>
      </c>
      <c r="FY31">
        <v>22769500</v>
      </c>
      <c r="FZ31">
        <v>23482751.7886553</v>
      </c>
      <c r="GA31">
        <v>2182246.69893658</v>
      </c>
      <c r="GB31">
        <v>21300505.0897187</v>
      </c>
      <c r="GC31">
        <v>1468994.91028132</v>
      </c>
      <c r="GD31">
        <v>0.0645159054999593</v>
      </c>
      <c r="GE31">
        <v>-713251.788655259</v>
      </c>
      <c r="GF31">
        <v>-0.0313248770792182</v>
      </c>
      <c r="GJ31">
        <v>45373</v>
      </c>
      <c r="GL31">
        <v>45374</v>
      </c>
      <c r="GO31">
        <v>45376</v>
      </c>
      <c r="GR31">
        <v>45392</v>
      </c>
      <c r="GU31" t="s">
        <v>694</v>
      </c>
      <c r="HA31">
        <v>45433</v>
      </c>
      <c r="HB31">
        <v>45442</v>
      </c>
      <c r="HE31">
        <v>37</v>
      </c>
      <c r="HF31">
        <v>1</v>
      </c>
      <c r="HG31">
        <v>12</v>
      </c>
      <c r="HH31">
        <v>24</v>
      </c>
      <c r="HK31">
        <v>581</v>
      </c>
      <c r="HL31">
        <v>291</v>
      </c>
      <c r="HM31">
        <v>239</v>
      </c>
      <c r="HN31">
        <v>0</v>
      </c>
      <c r="HO31">
        <v>0</v>
      </c>
      <c r="HP31">
        <v>0</v>
      </c>
      <c r="HQ31">
        <v>386</v>
      </c>
      <c r="HR31">
        <v>150</v>
      </c>
      <c r="HU31" s="10"/>
    </row>
    <row r="32" spans="1:229">
      <c r="A32" s="1">
        <f t="shared" si="0"/>
        <v>31</v>
      </c>
      <c r="B32" s="2">
        <v>2024</v>
      </c>
      <c r="C32" s="2" t="s">
        <v>47</v>
      </c>
      <c r="D32" s="2" t="s">
        <v>27</v>
      </c>
      <c r="E32" s="9" t="s">
        <v>468</v>
      </c>
      <c r="F32" s="2" t="s">
        <v>746</v>
      </c>
      <c r="G32" s="2" t="s">
        <v>28</v>
      </c>
      <c r="H32" s="2" t="s">
        <v>743</v>
      </c>
      <c r="I32" s="2" t="s">
        <v>747</v>
      </c>
      <c r="J32" t="s">
        <v>323</v>
      </c>
      <c r="K32" t="s">
        <v>31</v>
      </c>
      <c r="L32" t="s">
        <v>38</v>
      </c>
      <c r="M32">
        <v>3</v>
      </c>
      <c r="N32">
        <v>6061</v>
      </c>
      <c r="O32" s="3">
        <v>6081</v>
      </c>
      <c r="P32" s="4">
        <v>1</v>
      </c>
      <c r="Q32" s="4">
        <v>0</v>
      </c>
      <c r="R32" s="4">
        <v>43</v>
      </c>
      <c r="S32" s="4">
        <v>6</v>
      </c>
      <c r="T32" s="4">
        <v>49</v>
      </c>
      <c r="U32" s="4">
        <v>50</v>
      </c>
      <c r="V32" s="4">
        <v>0</v>
      </c>
      <c r="W32" s="4">
        <v>1.63333333333333</v>
      </c>
      <c r="X32" s="4">
        <v>1.66666666666667</v>
      </c>
      <c r="Y32" s="3">
        <v>31410500</v>
      </c>
      <c r="Z32">
        <v>-1786591.84029499</v>
      </c>
      <c r="AA32">
        <v>33197091.840295</v>
      </c>
      <c r="AB32">
        <v>3226203.24655285</v>
      </c>
      <c r="AC32">
        <v>833333.333333333</v>
      </c>
      <c r="AD32">
        <v>833333.333333333</v>
      </c>
      <c r="AE32">
        <v>0</v>
      </c>
      <c r="AF32">
        <v>1268561.95286111</v>
      </c>
      <c r="AG32">
        <v>399512.394583333</v>
      </c>
      <c r="AH32">
        <v>869049.558277779</v>
      </c>
      <c r="AI32">
        <v>44380.1285</v>
      </c>
      <c r="AJ32">
        <v>12718.8217222222</v>
      </c>
      <c r="AK32">
        <v>21544.72125</v>
      </c>
      <c r="AL32">
        <v>10116.5855277778</v>
      </c>
      <c r="AM32">
        <v>396594.498525074</v>
      </c>
      <c r="AN32">
        <v>140645.629301868</v>
      </c>
      <c r="AO32">
        <v>0</v>
      </c>
      <c r="AP32">
        <v>255948.869223206</v>
      </c>
      <c r="AQ32">
        <v>0</v>
      </c>
      <c r="AR32">
        <v>0</v>
      </c>
      <c r="AS32">
        <v>0</v>
      </c>
      <c r="AT32">
        <v>0</v>
      </c>
      <c r="AU32">
        <v>0</v>
      </c>
      <c r="AV32">
        <v>0</v>
      </c>
      <c r="AW32">
        <v>0</v>
      </c>
      <c r="AX32">
        <v>0</v>
      </c>
      <c r="AY32">
        <v>683333.333333335</v>
      </c>
      <c r="AZ32">
        <v>29970888.5937421</v>
      </c>
      <c r="BA32">
        <v>3906437.2452</v>
      </c>
      <c r="BB32">
        <v>584452.0332</v>
      </c>
      <c r="BC32">
        <v>584452.0332</v>
      </c>
      <c r="BD32">
        <v>0</v>
      </c>
      <c r="BE32">
        <v>0</v>
      </c>
      <c r="BF32">
        <v>2081290</v>
      </c>
      <c r="BG32">
        <v>2081290</v>
      </c>
      <c r="BH32">
        <v>0</v>
      </c>
      <c r="BI32">
        <v>12745.512</v>
      </c>
      <c r="BJ32">
        <v>301483</v>
      </c>
      <c r="BK32">
        <v>0</v>
      </c>
      <c r="BL32">
        <v>0</v>
      </c>
      <c r="BM32">
        <v>0</v>
      </c>
      <c r="BN32">
        <v>38553.76</v>
      </c>
      <c r="BO32">
        <v>181883.48</v>
      </c>
      <c r="BP32">
        <v>78400</v>
      </c>
      <c r="BQ32">
        <v>0</v>
      </c>
      <c r="BR32">
        <v>0</v>
      </c>
      <c r="BS32">
        <v>103483.48</v>
      </c>
      <c r="BT32">
        <v>706029.46</v>
      </c>
      <c r="BU32">
        <v>632424</v>
      </c>
      <c r="BV32">
        <v>73605.46</v>
      </c>
      <c r="BW32">
        <v>0</v>
      </c>
      <c r="BX32">
        <v>0</v>
      </c>
      <c r="BY32">
        <v>322771.66</v>
      </c>
      <c r="BZ32">
        <v>233349.58</v>
      </c>
      <c r="CA32">
        <v>168417.13</v>
      </c>
      <c r="CB32">
        <v>18000</v>
      </c>
      <c r="CC32">
        <v>46932.45</v>
      </c>
      <c r="CD32">
        <v>89422.08</v>
      </c>
      <c r="CE32">
        <v>0</v>
      </c>
      <c r="CF32">
        <v>89422.08</v>
      </c>
      <c r="CG32">
        <v>0</v>
      </c>
      <c r="CH32">
        <v>25741679.6885421</v>
      </c>
      <c r="CI32">
        <v>244995</v>
      </c>
      <c r="CJ32">
        <v>0</v>
      </c>
      <c r="CK32">
        <v>11030</v>
      </c>
      <c r="CL32">
        <v>0</v>
      </c>
      <c r="CM32">
        <v>54519</v>
      </c>
      <c r="CN32">
        <v>33657</v>
      </c>
      <c r="CO32">
        <v>145789</v>
      </c>
      <c r="CP32">
        <v>575000.000000001</v>
      </c>
      <c r="CQ32">
        <v>60873.05</v>
      </c>
      <c r="CR32">
        <v>14580.05</v>
      </c>
      <c r="CS32">
        <v>44035</v>
      </c>
      <c r="CT32">
        <v>0</v>
      </c>
      <c r="CU32">
        <v>1458</v>
      </c>
      <c r="CV32">
        <v>0</v>
      </c>
      <c r="CW32">
        <v>0</v>
      </c>
      <c r="CX32">
        <v>800</v>
      </c>
      <c r="CY32">
        <v>19036.3797169811</v>
      </c>
      <c r="CZ32">
        <v>8159.33333333333</v>
      </c>
      <c r="DA32">
        <v>0</v>
      </c>
      <c r="DB32">
        <v>507.861666666667</v>
      </c>
      <c r="DC32">
        <v>145</v>
      </c>
      <c r="DD32">
        <v>0</v>
      </c>
      <c r="DE32">
        <v>0</v>
      </c>
      <c r="DF32">
        <v>10224.1847169811</v>
      </c>
      <c r="DG32">
        <v>0</v>
      </c>
      <c r="DH32" s="3">
        <v>1334903</v>
      </c>
      <c r="DI32">
        <v>541838.41</v>
      </c>
      <c r="DJ32">
        <v>0</v>
      </c>
      <c r="DK32">
        <v>283389.62</v>
      </c>
      <c r="DL32">
        <v>0</v>
      </c>
      <c r="DM32">
        <v>0</v>
      </c>
      <c r="DN32">
        <v>0</v>
      </c>
      <c r="DO32">
        <v>0</v>
      </c>
      <c r="DP32">
        <v>258448.79</v>
      </c>
      <c r="DQ32">
        <v>144726.24</v>
      </c>
      <c r="DR32">
        <v>0</v>
      </c>
      <c r="DS32">
        <v>0</v>
      </c>
      <c r="DT32">
        <v>0</v>
      </c>
      <c r="DU32">
        <v>0</v>
      </c>
      <c r="DV32">
        <v>0</v>
      </c>
      <c r="DW32">
        <v>0</v>
      </c>
      <c r="DX32">
        <v>0</v>
      </c>
      <c r="DY32">
        <v>144726.24</v>
      </c>
      <c r="DZ32">
        <v>0</v>
      </c>
      <c r="EA32">
        <v>0</v>
      </c>
      <c r="EB32">
        <v>0</v>
      </c>
      <c r="EC32">
        <v>0</v>
      </c>
      <c r="ED32">
        <v>0</v>
      </c>
      <c r="EE32">
        <v>0</v>
      </c>
      <c r="EF32">
        <v>248888</v>
      </c>
      <c r="EG32">
        <v>0</v>
      </c>
      <c r="EH32">
        <v>271744.98</v>
      </c>
      <c r="EI32">
        <v>1524979.75</v>
      </c>
      <c r="EJ32">
        <v>0</v>
      </c>
      <c r="EK32">
        <v>790064.225491816</v>
      </c>
      <c r="EL32">
        <v>0</v>
      </c>
      <c r="EM32">
        <v>0</v>
      </c>
      <c r="EN32">
        <v>385000</v>
      </c>
      <c r="EO32">
        <v>60000</v>
      </c>
      <c r="EP32">
        <v>60000</v>
      </c>
      <c r="EQ32">
        <v>0</v>
      </c>
      <c r="ER32">
        <v>58050</v>
      </c>
      <c r="ES32">
        <v>0</v>
      </c>
      <c r="ET32">
        <v>0</v>
      </c>
      <c r="EU32">
        <v>4920</v>
      </c>
      <c r="EV32" s="4">
        <v>166.666666666667</v>
      </c>
      <c r="EW32">
        <v>0</v>
      </c>
      <c r="EX32">
        <v>0</v>
      </c>
      <c r="EY32" s="4">
        <v>166.666666666667</v>
      </c>
      <c r="EZ32">
        <v>13833100</v>
      </c>
      <c r="FA32">
        <v>13833100</v>
      </c>
      <c r="FB32">
        <v>0</v>
      </c>
      <c r="FC32">
        <v>0</v>
      </c>
      <c r="FD32">
        <v>0</v>
      </c>
      <c r="FE32">
        <v>0</v>
      </c>
      <c r="FF32">
        <v>0</v>
      </c>
      <c r="FG32">
        <v>0</v>
      </c>
      <c r="FH32">
        <v>923411</v>
      </c>
      <c r="FI32" s="4">
        <v>3649288.89</v>
      </c>
      <c r="FJ32">
        <v>91338.43</v>
      </c>
      <c r="FK32">
        <v>91338.43</v>
      </c>
      <c r="FL32">
        <v>0</v>
      </c>
      <c r="FM32" s="4">
        <v>5630.16666666667</v>
      </c>
      <c r="FN32">
        <v>0</v>
      </c>
      <c r="FO32">
        <v>0</v>
      </c>
      <c r="FP32">
        <v>0</v>
      </c>
      <c r="FQ32">
        <v>0</v>
      </c>
      <c r="FR32">
        <v>5630.16666666667</v>
      </c>
      <c r="FS32">
        <v>0</v>
      </c>
      <c r="FT32">
        <v>251284</v>
      </c>
      <c r="FU32">
        <v>628210</v>
      </c>
      <c r="FV32">
        <v>94231.5</v>
      </c>
      <c r="FY32">
        <v>31410500</v>
      </c>
      <c r="FZ32">
        <v>33197091.840295</v>
      </c>
      <c r="GA32">
        <v>3226203.24655285</v>
      </c>
      <c r="GB32">
        <v>29970888.5937421</v>
      </c>
      <c r="GC32">
        <v>1439611.40625786</v>
      </c>
      <c r="GD32">
        <v>0.045832170970149</v>
      </c>
      <c r="GE32">
        <v>-1786591.84029499</v>
      </c>
      <c r="GF32">
        <v>-0.0568788093247477</v>
      </c>
      <c r="GJ32">
        <v>45363</v>
      </c>
      <c r="GL32">
        <v>45364</v>
      </c>
      <c r="GO32">
        <v>45366</v>
      </c>
      <c r="GR32">
        <v>45438</v>
      </c>
      <c r="GU32" t="s">
        <v>694</v>
      </c>
      <c r="HA32">
        <v>45470</v>
      </c>
      <c r="HB32">
        <v>45476</v>
      </c>
      <c r="HE32">
        <v>43</v>
      </c>
      <c r="HF32">
        <v>6</v>
      </c>
      <c r="HG32">
        <v>14</v>
      </c>
      <c r="HH32">
        <v>23</v>
      </c>
      <c r="HK32">
        <v>497</v>
      </c>
      <c r="HL32">
        <v>198</v>
      </c>
      <c r="HM32">
        <v>240</v>
      </c>
      <c r="HN32">
        <v>0</v>
      </c>
      <c r="HO32">
        <v>0</v>
      </c>
      <c r="HP32">
        <v>0</v>
      </c>
      <c r="HQ32">
        <v>245</v>
      </c>
      <c r="HR32">
        <v>6</v>
      </c>
      <c r="HU32" s="10"/>
    </row>
    <row r="33" spans="1:229">
      <c r="A33" s="1">
        <f t="shared" si="0"/>
        <v>32</v>
      </c>
      <c r="B33" s="2">
        <v>2024</v>
      </c>
      <c r="C33" s="2" t="s">
        <v>50</v>
      </c>
      <c r="D33" s="2" t="s">
        <v>27</v>
      </c>
      <c r="E33" s="9" t="s">
        <v>468</v>
      </c>
      <c r="F33" s="2" t="s">
        <v>746</v>
      </c>
      <c r="G33" s="2" t="s">
        <v>28</v>
      </c>
      <c r="H33" s="2" t="s">
        <v>743</v>
      </c>
      <c r="I33" s="2" t="s">
        <v>748</v>
      </c>
      <c r="J33" t="s">
        <v>323</v>
      </c>
      <c r="K33" t="s">
        <v>31</v>
      </c>
      <c r="L33" t="s">
        <v>38</v>
      </c>
      <c r="M33">
        <v>3</v>
      </c>
      <c r="N33">
        <v>6151</v>
      </c>
      <c r="O33" s="3">
        <v>6151</v>
      </c>
      <c r="P33" s="4">
        <v>14</v>
      </c>
      <c r="Q33" s="4">
        <v>0</v>
      </c>
      <c r="R33" s="4">
        <v>45</v>
      </c>
      <c r="S33" s="4">
        <v>6</v>
      </c>
      <c r="T33" s="4">
        <v>51</v>
      </c>
      <c r="U33" s="4">
        <v>65</v>
      </c>
      <c r="V33" s="4">
        <v>0</v>
      </c>
      <c r="W33" s="4">
        <v>1.7</v>
      </c>
      <c r="X33" s="4">
        <v>2.16666666666667</v>
      </c>
      <c r="Y33" s="3">
        <v>19061900</v>
      </c>
      <c r="Z33">
        <v>-5378439.81797259</v>
      </c>
      <c r="AA33">
        <v>24440339.8179726</v>
      </c>
      <c r="AB33">
        <v>5504240.0818326</v>
      </c>
      <c r="AC33">
        <v>1137500</v>
      </c>
      <c r="AD33">
        <v>1137500</v>
      </c>
      <c r="AE33">
        <v>0</v>
      </c>
      <c r="AF33">
        <v>2862684.05291667</v>
      </c>
      <c r="AG33">
        <v>901554.51875</v>
      </c>
      <c r="AH33">
        <v>1961129.53416667</v>
      </c>
      <c r="AI33">
        <v>100149.8475</v>
      </c>
      <c r="AJ33">
        <v>28701.7658333333</v>
      </c>
      <c r="AK33">
        <v>48618.61875</v>
      </c>
      <c r="AL33">
        <v>22829.4629166667</v>
      </c>
      <c r="AM33">
        <v>515572.848082596</v>
      </c>
      <c r="AN33">
        <v>182839.318092429</v>
      </c>
      <c r="AO33">
        <v>0</v>
      </c>
      <c r="AP33">
        <v>332733.529990167</v>
      </c>
      <c r="AQ33">
        <v>0</v>
      </c>
      <c r="AR33">
        <v>0</v>
      </c>
      <c r="AS33">
        <v>0</v>
      </c>
      <c r="AT33">
        <v>0</v>
      </c>
      <c r="AU33">
        <v>0</v>
      </c>
      <c r="AV33">
        <v>0</v>
      </c>
      <c r="AW33">
        <v>0</v>
      </c>
      <c r="AX33">
        <v>0</v>
      </c>
      <c r="AY33">
        <v>888333.333333335</v>
      </c>
      <c r="AZ33">
        <v>18936099.73614</v>
      </c>
      <c r="BA33">
        <v>3959619.604642</v>
      </c>
      <c r="BB33">
        <v>371864.0664</v>
      </c>
      <c r="BC33">
        <v>371864.0664</v>
      </c>
      <c r="BD33">
        <v>0</v>
      </c>
      <c r="BE33">
        <v>0</v>
      </c>
      <c r="BF33">
        <v>2264718</v>
      </c>
      <c r="BG33">
        <v>2264718</v>
      </c>
      <c r="BH33">
        <v>0</v>
      </c>
      <c r="BI33">
        <v>27508.788</v>
      </c>
      <c r="BJ33">
        <v>105794</v>
      </c>
      <c r="BK33">
        <v>0</v>
      </c>
      <c r="BL33">
        <v>0</v>
      </c>
      <c r="BM33">
        <v>0</v>
      </c>
      <c r="BN33">
        <v>307195.000242</v>
      </c>
      <c r="BO33">
        <v>165561.05</v>
      </c>
      <c r="BP33">
        <v>81600</v>
      </c>
      <c r="BQ33">
        <v>0</v>
      </c>
      <c r="BR33">
        <v>0</v>
      </c>
      <c r="BS33">
        <v>83961.05</v>
      </c>
      <c r="BT33">
        <v>716978.7</v>
      </c>
      <c r="BU33">
        <v>639704</v>
      </c>
      <c r="BV33">
        <v>77274.7</v>
      </c>
      <c r="BW33">
        <v>0</v>
      </c>
      <c r="BX33">
        <v>0</v>
      </c>
      <c r="BY33">
        <v>442288.45</v>
      </c>
      <c r="BZ33">
        <v>335505.73</v>
      </c>
      <c r="CA33">
        <v>52218.84</v>
      </c>
      <c r="CB33">
        <v>0</v>
      </c>
      <c r="CC33">
        <v>283286.89</v>
      </c>
      <c r="CD33">
        <v>106782.72</v>
      </c>
      <c r="CE33">
        <v>0</v>
      </c>
      <c r="CF33">
        <v>106782.72</v>
      </c>
      <c r="CG33">
        <v>0</v>
      </c>
      <c r="CH33">
        <v>14534191.681498</v>
      </c>
      <c r="CI33">
        <v>707795</v>
      </c>
      <c r="CJ33">
        <v>0</v>
      </c>
      <c r="CK33">
        <v>0</v>
      </c>
      <c r="CL33">
        <v>222157</v>
      </c>
      <c r="CM33">
        <v>139531</v>
      </c>
      <c r="CN33">
        <v>32779</v>
      </c>
      <c r="CO33">
        <v>313328</v>
      </c>
      <c r="CP33">
        <v>747500.000000001</v>
      </c>
      <c r="CQ33">
        <v>76001.39</v>
      </c>
      <c r="CR33">
        <v>15617.39</v>
      </c>
      <c r="CS33">
        <v>58126</v>
      </c>
      <c r="CT33">
        <v>0</v>
      </c>
      <c r="CU33">
        <v>1458</v>
      </c>
      <c r="CV33">
        <v>0</v>
      </c>
      <c r="CW33">
        <v>0</v>
      </c>
      <c r="CX33">
        <v>800</v>
      </c>
      <c r="CY33">
        <v>19036.3797169811</v>
      </c>
      <c r="CZ33">
        <v>8159.33333333333</v>
      </c>
      <c r="DA33">
        <v>0</v>
      </c>
      <c r="DB33">
        <v>507.861666666667</v>
      </c>
      <c r="DC33">
        <v>145</v>
      </c>
      <c r="DD33">
        <v>0</v>
      </c>
      <c r="DE33">
        <v>0</v>
      </c>
      <c r="DF33">
        <v>10224.1847169811</v>
      </c>
      <c r="DG33">
        <v>0</v>
      </c>
      <c r="DH33" s="3">
        <v>397027</v>
      </c>
      <c r="DI33">
        <v>286586.62</v>
      </c>
      <c r="DJ33">
        <v>0</v>
      </c>
      <c r="DK33">
        <v>109677.67</v>
      </c>
      <c r="DL33">
        <v>0</v>
      </c>
      <c r="DM33">
        <v>0</v>
      </c>
      <c r="DN33">
        <v>0</v>
      </c>
      <c r="DO33">
        <v>0</v>
      </c>
      <c r="DP33">
        <v>176908.95</v>
      </c>
      <c r="DQ33">
        <v>129754.56</v>
      </c>
      <c r="DR33">
        <v>0</v>
      </c>
      <c r="DS33">
        <v>0</v>
      </c>
      <c r="DT33">
        <v>0</v>
      </c>
      <c r="DU33">
        <v>0</v>
      </c>
      <c r="DV33">
        <v>0</v>
      </c>
      <c r="DW33">
        <v>0</v>
      </c>
      <c r="DX33">
        <v>0</v>
      </c>
      <c r="DY33">
        <v>129754.56</v>
      </c>
      <c r="DZ33">
        <v>0</v>
      </c>
      <c r="EA33">
        <v>0</v>
      </c>
      <c r="EB33">
        <v>0</v>
      </c>
      <c r="EC33">
        <v>0</v>
      </c>
      <c r="ED33">
        <v>0</v>
      </c>
      <c r="EE33">
        <v>0</v>
      </c>
      <c r="EF33">
        <v>264809</v>
      </c>
      <c r="EG33">
        <v>0</v>
      </c>
      <c r="EH33">
        <v>190813.04</v>
      </c>
      <c r="EI33">
        <v>1558548.6</v>
      </c>
      <c r="EJ33">
        <v>0</v>
      </c>
      <c r="EK33">
        <v>811456.108447677</v>
      </c>
      <c r="EL33">
        <v>0</v>
      </c>
      <c r="EM33">
        <v>0</v>
      </c>
      <c r="EN33">
        <v>75000</v>
      </c>
      <c r="EO33">
        <v>60000</v>
      </c>
      <c r="EP33">
        <v>60000</v>
      </c>
      <c r="EQ33">
        <v>0</v>
      </c>
      <c r="ER33">
        <v>77220</v>
      </c>
      <c r="ES33">
        <v>0</v>
      </c>
      <c r="ET33">
        <v>0</v>
      </c>
      <c r="EU33">
        <v>1680</v>
      </c>
      <c r="EV33" s="4">
        <v>216.666666666667</v>
      </c>
      <c r="EW33">
        <v>0</v>
      </c>
      <c r="EX33">
        <v>0</v>
      </c>
      <c r="EY33" s="4">
        <v>216.666666666667</v>
      </c>
      <c r="EZ33">
        <v>2237100</v>
      </c>
      <c r="FA33">
        <v>2237100</v>
      </c>
      <c r="FB33">
        <v>0</v>
      </c>
      <c r="FC33">
        <v>0</v>
      </c>
      <c r="FD33">
        <v>0</v>
      </c>
      <c r="FE33">
        <v>154120</v>
      </c>
      <c r="FF33">
        <v>0</v>
      </c>
      <c r="FG33">
        <v>154120</v>
      </c>
      <c r="FH33">
        <v>992996</v>
      </c>
      <c r="FI33" s="4">
        <v>5030853.04</v>
      </c>
      <c r="FJ33">
        <v>119129.21</v>
      </c>
      <c r="FK33">
        <v>119129.21</v>
      </c>
      <c r="FL33">
        <v>0</v>
      </c>
      <c r="FM33" s="4">
        <v>5630.16666666667</v>
      </c>
      <c r="FN33">
        <v>0</v>
      </c>
      <c r="FO33">
        <v>0</v>
      </c>
      <c r="FP33">
        <v>0</v>
      </c>
      <c r="FQ33">
        <v>0</v>
      </c>
      <c r="FR33">
        <v>5630.16666666667</v>
      </c>
      <c r="FS33">
        <v>0</v>
      </c>
      <c r="FT33">
        <v>152495.2</v>
      </c>
      <c r="FU33">
        <v>381238</v>
      </c>
      <c r="FV33">
        <v>57185.7</v>
      </c>
      <c r="FY33">
        <v>19061900</v>
      </c>
      <c r="FZ33">
        <v>24440339.8179726</v>
      </c>
      <c r="GA33">
        <v>5504240.0818326</v>
      </c>
      <c r="GB33">
        <v>18936099.73614</v>
      </c>
      <c r="GC33">
        <v>125800.26386001</v>
      </c>
      <c r="GD33">
        <v>0.00659956582817083</v>
      </c>
      <c r="GE33">
        <v>-5378439.81797259</v>
      </c>
      <c r="GF33">
        <v>-0.282156543575016</v>
      </c>
      <c r="GJ33">
        <v>45315</v>
      </c>
      <c r="GL33">
        <v>45328</v>
      </c>
      <c r="GO33">
        <v>45332</v>
      </c>
      <c r="GR33">
        <v>45541</v>
      </c>
      <c r="GU33" t="s">
        <v>694</v>
      </c>
      <c r="HA33">
        <v>45564</v>
      </c>
      <c r="HB33">
        <v>45570</v>
      </c>
      <c r="HE33">
        <v>44</v>
      </c>
      <c r="HF33">
        <v>6</v>
      </c>
      <c r="HG33">
        <v>15</v>
      </c>
      <c r="HH33">
        <v>23</v>
      </c>
      <c r="HK33">
        <v>511</v>
      </c>
      <c r="HL33">
        <v>144</v>
      </c>
      <c r="HM33">
        <v>39</v>
      </c>
      <c r="HN33">
        <v>158</v>
      </c>
      <c r="HO33">
        <v>0</v>
      </c>
      <c r="HP33">
        <v>35</v>
      </c>
      <c r="HQ33">
        <v>300</v>
      </c>
      <c r="HR33">
        <v>28</v>
      </c>
      <c r="HU33" s="10"/>
    </row>
    <row r="34" spans="1:229">
      <c r="A34" s="1">
        <f t="shared" si="0"/>
        <v>33</v>
      </c>
      <c r="B34" s="2">
        <v>2024</v>
      </c>
      <c r="C34" s="2" t="s">
        <v>717</v>
      </c>
      <c r="D34" s="2" t="s">
        <v>27</v>
      </c>
      <c r="E34" s="9" t="s">
        <v>468</v>
      </c>
      <c r="F34" s="2" t="s">
        <v>746</v>
      </c>
      <c r="G34" s="2" t="s">
        <v>28</v>
      </c>
      <c r="H34" s="2" t="s">
        <v>743</v>
      </c>
      <c r="I34" s="2" t="s">
        <v>749</v>
      </c>
      <c r="J34" t="s">
        <v>323</v>
      </c>
      <c r="K34" t="s">
        <v>31</v>
      </c>
      <c r="L34" t="s">
        <v>38</v>
      </c>
      <c r="M34">
        <v>3</v>
      </c>
      <c r="N34">
        <v>6320</v>
      </c>
      <c r="O34" s="3">
        <v>6320</v>
      </c>
      <c r="P34" s="4">
        <v>1</v>
      </c>
      <c r="Q34" s="4">
        <v>0</v>
      </c>
      <c r="R34" s="4">
        <v>48</v>
      </c>
      <c r="S34" s="4">
        <v>6</v>
      </c>
      <c r="T34" s="4">
        <v>54</v>
      </c>
      <c r="U34" s="4">
        <v>55</v>
      </c>
      <c r="V34" s="4">
        <v>0</v>
      </c>
      <c r="W34" s="4">
        <v>1.8</v>
      </c>
      <c r="X34" s="4">
        <v>1.83333333333333</v>
      </c>
      <c r="Y34" s="3">
        <v>20181700</v>
      </c>
      <c r="Z34">
        <v>-3772091.67118084</v>
      </c>
      <c r="AA34">
        <v>23953791.6711808</v>
      </c>
      <c r="AB34">
        <v>4044310.52001647</v>
      </c>
      <c r="AC34">
        <v>962500</v>
      </c>
      <c r="AD34">
        <v>962500</v>
      </c>
      <c r="AE34">
        <v>0</v>
      </c>
      <c r="AF34">
        <v>1829872.55147223</v>
      </c>
      <c r="AG34">
        <v>576287.790416667</v>
      </c>
      <c r="AH34">
        <v>1253584.76105556</v>
      </c>
      <c r="AI34">
        <v>64017.3535</v>
      </c>
      <c r="AJ34">
        <v>18346.6189444444</v>
      </c>
      <c r="AK34">
        <v>31077.78375</v>
      </c>
      <c r="AL34">
        <v>14592.9508055556</v>
      </c>
      <c r="AM34">
        <v>436253.948377581</v>
      </c>
      <c r="AN34">
        <v>154710.192232055</v>
      </c>
      <c r="AO34">
        <v>0</v>
      </c>
      <c r="AP34">
        <v>281543.756145526</v>
      </c>
      <c r="AQ34">
        <v>0</v>
      </c>
      <c r="AR34">
        <v>0</v>
      </c>
      <c r="AS34">
        <v>0</v>
      </c>
      <c r="AT34">
        <v>0</v>
      </c>
      <c r="AU34">
        <v>0</v>
      </c>
      <c r="AV34">
        <v>0</v>
      </c>
      <c r="AW34">
        <v>0</v>
      </c>
      <c r="AX34">
        <v>0</v>
      </c>
      <c r="AY34">
        <v>751666.666666665</v>
      </c>
      <c r="AZ34">
        <v>19909481.1511644</v>
      </c>
      <c r="BA34">
        <v>4928229.9957572</v>
      </c>
      <c r="BB34">
        <v>513506.5524</v>
      </c>
      <c r="BC34">
        <v>513506.5524</v>
      </c>
      <c r="BD34">
        <v>0</v>
      </c>
      <c r="BE34">
        <v>0</v>
      </c>
      <c r="BF34">
        <v>2135136</v>
      </c>
      <c r="BG34">
        <v>2135136</v>
      </c>
      <c r="BH34">
        <v>0</v>
      </c>
      <c r="BI34">
        <v>15225.7536</v>
      </c>
      <c r="BJ34">
        <v>607217</v>
      </c>
      <c r="BK34">
        <v>516300</v>
      </c>
      <c r="BL34">
        <v>516300</v>
      </c>
      <c r="BM34">
        <v>0</v>
      </c>
      <c r="BN34">
        <v>222941.5797572</v>
      </c>
      <c r="BO34">
        <v>177342.6</v>
      </c>
      <c r="BP34">
        <v>86400</v>
      </c>
      <c r="BQ34">
        <v>0</v>
      </c>
      <c r="BR34">
        <v>0</v>
      </c>
      <c r="BS34">
        <v>90942.6</v>
      </c>
      <c r="BT34">
        <v>740560.51</v>
      </c>
      <c r="BU34">
        <v>657280</v>
      </c>
      <c r="BV34">
        <v>83280.51</v>
      </c>
      <c r="BW34">
        <v>0</v>
      </c>
      <c r="BX34">
        <v>0</v>
      </c>
      <c r="BY34">
        <v>364964.58</v>
      </c>
      <c r="BZ34">
        <v>315691.62</v>
      </c>
      <c r="CA34">
        <v>107735.19</v>
      </c>
      <c r="CB34">
        <v>2000</v>
      </c>
      <c r="CC34">
        <v>205956.43</v>
      </c>
      <c r="CD34">
        <v>49272.96</v>
      </c>
      <c r="CE34">
        <v>0</v>
      </c>
      <c r="CF34">
        <v>49272.96</v>
      </c>
      <c r="CG34">
        <v>0</v>
      </c>
      <c r="CH34">
        <v>14616286.5754072</v>
      </c>
      <c r="CI34">
        <v>437779</v>
      </c>
      <c r="CJ34">
        <v>0</v>
      </c>
      <c r="CK34">
        <v>15356</v>
      </c>
      <c r="CL34">
        <v>0</v>
      </c>
      <c r="CM34">
        <v>113620</v>
      </c>
      <c r="CN34">
        <v>46443</v>
      </c>
      <c r="CO34">
        <v>262360</v>
      </c>
      <c r="CP34">
        <v>632499.999999999</v>
      </c>
      <c r="CQ34">
        <v>52021.08</v>
      </c>
      <c r="CR34">
        <v>22048.08</v>
      </c>
      <c r="CS34">
        <v>27715</v>
      </c>
      <c r="CT34">
        <v>0</v>
      </c>
      <c r="CU34">
        <v>1458</v>
      </c>
      <c r="CV34">
        <v>0</v>
      </c>
      <c r="CW34">
        <v>0</v>
      </c>
      <c r="CX34">
        <v>800</v>
      </c>
      <c r="CY34">
        <v>26936.3797169811</v>
      </c>
      <c r="CZ34">
        <v>8159.33333333333</v>
      </c>
      <c r="DA34">
        <v>0</v>
      </c>
      <c r="DB34">
        <v>507.861666666667</v>
      </c>
      <c r="DC34">
        <v>145</v>
      </c>
      <c r="DD34">
        <v>0</v>
      </c>
      <c r="DE34">
        <v>7900</v>
      </c>
      <c r="DF34">
        <v>10224.1847169811</v>
      </c>
      <c r="DG34">
        <v>0</v>
      </c>
      <c r="DH34" s="3">
        <v>253447</v>
      </c>
      <c r="DI34">
        <v>578298.16</v>
      </c>
      <c r="DJ34">
        <v>0</v>
      </c>
      <c r="DK34">
        <v>310072.26</v>
      </c>
      <c r="DL34">
        <v>0</v>
      </c>
      <c r="DM34">
        <v>0</v>
      </c>
      <c r="DN34">
        <v>0</v>
      </c>
      <c r="DO34">
        <v>0</v>
      </c>
      <c r="DP34">
        <v>268225.9</v>
      </c>
      <c r="DQ34">
        <v>132249.84</v>
      </c>
      <c r="DR34">
        <v>0</v>
      </c>
      <c r="DS34">
        <v>0</v>
      </c>
      <c r="DT34">
        <v>0</v>
      </c>
      <c r="DU34">
        <v>0</v>
      </c>
      <c r="DV34">
        <v>0</v>
      </c>
      <c r="DW34">
        <v>0</v>
      </c>
      <c r="DX34">
        <v>0</v>
      </c>
      <c r="DY34">
        <v>132249.84</v>
      </c>
      <c r="DZ34">
        <v>47537.7</v>
      </c>
      <c r="EA34">
        <v>0</v>
      </c>
      <c r="EB34">
        <v>0</v>
      </c>
      <c r="EC34">
        <v>0</v>
      </c>
      <c r="ED34">
        <v>47537.7</v>
      </c>
      <c r="EE34">
        <v>0</v>
      </c>
      <c r="EF34">
        <v>258200</v>
      </c>
      <c r="EG34">
        <v>0</v>
      </c>
      <c r="EH34">
        <v>348519.33</v>
      </c>
      <c r="EI34">
        <v>1568188.72</v>
      </c>
      <c r="EJ34">
        <v>0</v>
      </c>
      <c r="EK34">
        <v>823825.425690197</v>
      </c>
      <c r="EL34">
        <v>0</v>
      </c>
      <c r="EM34">
        <v>0</v>
      </c>
      <c r="EN34">
        <v>235000</v>
      </c>
      <c r="EO34">
        <v>60000</v>
      </c>
      <c r="EP34">
        <v>60000</v>
      </c>
      <c r="EQ34">
        <v>0</v>
      </c>
      <c r="ER34">
        <v>65340</v>
      </c>
      <c r="ES34">
        <v>0</v>
      </c>
      <c r="ET34">
        <v>0</v>
      </c>
      <c r="EU34">
        <v>1200</v>
      </c>
      <c r="EV34" s="4">
        <v>183.333333333333</v>
      </c>
      <c r="EW34">
        <v>0</v>
      </c>
      <c r="EX34">
        <v>0</v>
      </c>
      <c r="EY34" s="4">
        <v>183.333333333333</v>
      </c>
      <c r="EZ34">
        <v>3305100</v>
      </c>
      <c r="FA34">
        <v>3305100</v>
      </c>
      <c r="FB34">
        <v>0</v>
      </c>
      <c r="FC34">
        <v>0</v>
      </c>
      <c r="FD34">
        <v>0</v>
      </c>
      <c r="FE34">
        <v>0</v>
      </c>
      <c r="FF34">
        <v>0</v>
      </c>
      <c r="FG34">
        <v>0</v>
      </c>
      <c r="FH34">
        <v>996758</v>
      </c>
      <c r="FI34" s="4">
        <v>4064868.25</v>
      </c>
      <c r="FJ34">
        <v>97071.49</v>
      </c>
      <c r="FK34">
        <v>97071.49</v>
      </c>
      <c r="FL34">
        <v>0</v>
      </c>
      <c r="FM34" s="4">
        <v>5630.16666666667</v>
      </c>
      <c r="FN34">
        <v>0</v>
      </c>
      <c r="FO34">
        <v>0</v>
      </c>
      <c r="FP34">
        <v>0</v>
      </c>
      <c r="FQ34">
        <v>0</v>
      </c>
      <c r="FR34">
        <v>5630.16666666667</v>
      </c>
      <c r="FS34">
        <v>0</v>
      </c>
      <c r="FT34">
        <v>161453.6</v>
      </c>
      <c r="FU34">
        <v>403634</v>
      </c>
      <c r="FV34">
        <v>60545.1</v>
      </c>
      <c r="FY34">
        <v>20181700</v>
      </c>
      <c r="FZ34">
        <v>23953791.6711808</v>
      </c>
      <c r="GA34">
        <v>4044310.52001647</v>
      </c>
      <c r="GB34">
        <v>19909481.1511644</v>
      </c>
      <c r="GC34">
        <v>272218.848835625</v>
      </c>
      <c r="GD34">
        <v>0.0134884003248302</v>
      </c>
      <c r="GE34">
        <v>-3772091.67118084</v>
      </c>
      <c r="GF34">
        <v>-0.186906537664361</v>
      </c>
      <c r="GJ34">
        <v>45374</v>
      </c>
      <c r="GL34">
        <v>45376</v>
      </c>
      <c r="GO34">
        <v>45378</v>
      </c>
      <c r="GR34">
        <v>45495</v>
      </c>
      <c r="GU34" t="s">
        <v>694</v>
      </c>
      <c r="HA34">
        <v>45531</v>
      </c>
      <c r="HB34">
        <v>45537</v>
      </c>
      <c r="HE34">
        <v>44</v>
      </c>
      <c r="HF34">
        <v>6</v>
      </c>
      <c r="HG34">
        <v>15</v>
      </c>
      <c r="HH34">
        <v>23</v>
      </c>
      <c r="HK34">
        <v>529</v>
      </c>
      <c r="HL34">
        <v>154</v>
      </c>
      <c r="HM34">
        <v>46</v>
      </c>
      <c r="HN34">
        <v>146</v>
      </c>
      <c r="HO34">
        <v>6</v>
      </c>
      <c r="HP34">
        <v>59</v>
      </c>
      <c r="HQ34">
        <v>254</v>
      </c>
      <c r="HR34">
        <v>27</v>
      </c>
      <c r="HU34" s="10"/>
    </row>
    <row r="35" spans="1:229">
      <c r="A35" s="1">
        <f t="shared" si="0"/>
        <v>34</v>
      </c>
      <c r="B35" s="2">
        <v>2024</v>
      </c>
      <c r="C35" s="2" t="s">
        <v>39</v>
      </c>
      <c r="D35" s="2" t="s">
        <v>27</v>
      </c>
      <c r="E35" s="9" t="s">
        <v>468</v>
      </c>
      <c r="F35" s="2" t="s">
        <v>746</v>
      </c>
      <c r="G35" s="2" t="s">
        <v>28</v>
      </c>
      <c r="H35" s="2" t="s">
        <v>743</v>
      </c>
      <c r="I35" s="2" t="s">
        <v>750</v>
      </c>
      <c r="J35" t="s">
        <v>323</v>
      </c>
      <c r="K35" t="s">
        <v>31</v>
      </c>
      <c r="L35" t="s">
        <v>38</v>
      </c>
      <c r="M35">
        <v>3</v>
      </c>
      <c r="N35">
        <v>6167</v>
      </c>
      <c r="O35" s="3">
        <v>6168</v>
      </c>
      <c r="P35" s="4">
        <v>3</v>
      </c>
      <c r="Q35" s="4">
        <v>0</v>
      </c>
      <c r="R35" s="4">
        <v>48</v>
      </c>
      <c r="S35" s="4">
        <v>5</v>
      </c>
      <c r="T35" s="4">
        <v>53</v>
      </c>
      <c r="U35" s="4">
        <v>56</v>
      </c>
      <c r="V35" s="4">
        <v>0</v>
      </c>
      <c r="W35" s="4">
        <v>1.76666666666667</v>
      </c>
      <c r="X35" s="4">
        <v>1.86666666666667</v>
      </c>
      <c r="Y35" s="3">
        <v>30978300</v>
      </c>
      <c r="Z35">
        <v>-1815073.85212513</v>
      </c>
      <c r="AA35">
        <v>32793373.8521251</v>
      </c>
      <c r="AB35">
        <v>3060559.22554253</v>
      </c>
      <c r="AC35">
        <v>886666.666666667</v>
      </c>
      <c r="AD35">
        <v>886666.666666667</v>
      </c>
      <c r="AE35">
        <v>0</v>
      </c>
      <c r="AF35">
        <v>931775.593694445</v>
      </c>
      <c r="AG35">
        <v>293447.157083333</v>
      </c>
      <c r="AH35">
        <v>638328.436611112</v>
      </c>
      <c r="AI35">
        <v>32597.7935</v>
      </c>
      <c r="AJ35">
        <v>9342.14338888888</v>
      </c>
      <c r="AK35">
        <v>15824.88375</v>
      </c>
      <c r="AL35">
        <v>7430.76636111112</v>
      </c>
      <c r="AM35">
        <v>444185.838348082</v>
      </c>
      <c r="AN35">
        <v>157523.104818092</v>
      </c>
      <c r="AO35">
        <v>0</v>
      </c>
      <c r="AP35">
        <v>286662.73352999</v>
      </c>
      <c r="AQ35">
        <v>0</v>
      </c>
      <c r="AR35">
        <v>0</v>
      </c>
      <c r="AS35">
        <v>0</v>
      </c>
      <c r="AT35">
        <v>0</v>
      </c>
      <c r="AU35">
        <v>0</v>
      </c>
      <c r="AV35">
        <v>0</v>
      </c>
      <c r="AW35">
        <v>0</v>
      </c>
      <c r="AX35">
        <v>0</v>
      </c>
      <c r="AY35">
        <v>765333.333333335</v>
      </c>
      <c r="AZ35">
        <v>29732814.6265826</v>
      </c>
      <c r="BA35">
        <v>4207031.2832</v>
      </c>
      <c r="BB35">
        <v>584452.0332</v>
      </c>
      <c r="BC35">
        <v>584452.0332</v>
      </c>
      <c r="BD35">
        <v>0</v>
      </c>
      <c r="BE35">
        <v>0</v>
      </c>
      <c r="BF35">
        <v>2168974</v>
      </c>
      <c r="BG35">
        <v>2168974</v>
      </c>
      <c r="BH35">
        <v>0</v>
      </c>
      <c r="BI35">
        <v>21169.08</v>
      </c>
      <c r="BJ35">
        <v>305721</v>
      </c>
      <c r="BK35">
        <v>0</v>
      </c>
      <c r="BL35">
        <v>0</v>
      </c>
      <c r="BM35">
        <v>0</v>
      </c>
      <c r="BN35">
        <v>188790.94</v>
      </c>
      <c r="BO35">
        <v>215645.37</v>
      </c>
      <c r="BP35">
        <v>84800</v>
      </c>
      <c r="BQ35">
        <v>0</v>
      </c>
      <c r="BR35">
        <v>0</v>
      </c>
      <c r="BS35">
        <v>130845.37</v>
      </c>
      <c r="BT35">
        <v>722278.86</v>
      </c>
      <c r="BU35">
        <v>641472</v>
      </c>
      <c r="BV35">
        <v>80806.86</v>
      </c>
      <c r="BW35">
        <v>0</v>
      </c>
      <c r="BX35">
        <v>0</v>
      </c>
      <c r="BY35">
        <v>350078.45</v>
      </c>
      <c r="BZ35">
        <v>262754.29</v>
      </c>
      <c r="CA35">
        <v>112184.31</v>
      </c>
      <c r="CB35">
        <v>45399.19</v>
      </c>
      <c r="CC35">
        <v>105170.79</v>
      </c>
      <c r="CD35">
        <v>87324.16</v>
      </c>
      <c r="CE35">
        <v>0</v>
      </c>
      <c r="CF35">
        <v>87324.16</v>
      </c>
      <c r="CG35">
        <v>0</v>
      </c>
      <c r="CH35">
        <v>25175704.8933826</v>
      </c>
      <c r="CI35">
        <v>418266</v>
      </c>
      <c r="CJ35">
        <v>0</v>
      </c>
      <c r="CK35">
        <v>27647</v>
      </c>
      <c r="CL35">
        <v>0</v>
      </c>
      <c r="CM35">
        <v>133260</v>
      </c>
      <c r="CN35">
        <v>16985</v>
      </c>
      <c r="CO35">
        <v>240374</v>
      </c>
      <c r="CP35">
        <v>644000.000000001</v>
      </c>
      <c r="CQ35">
        <v>46672.06</v>
      </c>
      <c r="CR35">
        <v>16536.06</v>
      </c>
      <c r="CS35">
        <v>27878</v>
      </c>
      <c r="CT35">
        <v>0</v>
      </c>
      <c r="CU35">
        <v>1458</v>
      </c>
      <c r="CV35">
        <v>0</v>
      </c>
      <c r="CW35">
        <v>0</v>
      </c>
      <c r="CX35">
        <v>800</v>
      </c>
      <c r="CY35">
        <v>35371.3797169811</v>
      </c>
      <c r="CZ35">
        <v>8159.33333333333</v>
      </c>
      <c r="DA35">
        <v>0</v>
      </c>
      <c r="DB35">
        <v>507.861666666667</v>
      </c>
      <c r="DC35">
        <v>145</v>
      </c>
      <c r="DD35">
        <v>0</v>
      </c>
      <c r="DE35">
        <v>0</v>
      </c>
      <c r="DF35">
        <v>26559.1847169811</v>
      </c>
      <c r="DG35">
        <v>0</v>
      </c>
      <c r="DH35" s="3">
        <v>1143556</v>
      </c>
      <c r="DI35">
        <v>652740.93</v>
      </c>
      <c r="DJ35">
        <v>0</v>
      </c>
      <c r="DK35">
        <v>332641.06</v>
      </c>
      <c r="DL35">
        <v>0</v>
      </c>
      <c r="DM35">
        <v>0</v>
      </c>
      <c r="DN35">
        <v>0</v>
      </c>
      <c r="DO35">
        <v>0</v>
      </c>
      <c r="DP35">
        <v>320099.87</v>
      </c>
      <c r="DQ35">
        <v>144237.3</v>
      </c>
      <c r="DR35">
        <v>0</v>
      </c>
      <c r="DS35">
        <v>0</v>
      </c>
      <c r="DT35">
        <v>0</v>
      </c>
      <c r="DU35">
        <v>0</v>
      </c>
      <c r="DV35">
        <v>0</v>
      </c>
      <c r="DW35">
        <v>0</v>
      </c>
      <c r="DX35">
        <v>0</v>
      </c>
      <c r="DY35">
        <v>144237.3</v>
      </c>
      <c r="DZ35">
        <v>0</v>
      </c>
      <c r="EA35">
        <v>0</v>
      </c>
      <c r="EB35">
        <v>0</v>
      </c>
      <c r="EC35">
        <v>0</v>
      </c>
      <c r="ED35">
        <v>0</v>
      </c>
      <c r="EE35">
        <v>0</v>
      </c>
      <c r="EF35">
        <v>268177</v>
      </c>
      <c r="EG35">
        <v>0</v>
      </c>
      <c r="EH35">
        <v>223600</v>
      </c>
      <c r="EI35">
        <v>1598422.66</v>
      </c>
      <c r="EJ35">
        <v>0</v>
      </c>
      <c r="EK35">
        <v>832937.510332286</v>
      </c>
      <c r="EL35">
        <v>0</v>
      </c>
      <c r="EM35">
        <v>0</v>
      </c>
      <c r="EN35">
        <v>85000</v>
      </c>
      <c r="EO35">
        <v>60000</v>
      </c>
      <c r="EP35">
        <v>60000</v>
      </c>
      <c r="EQ35">
        <v>0</v>
      </c>
      <c r="ER35">
        <v>63504</v>
      </c>
      <c r="ES35">
        <v>0</v>
      </c>
      <c r="ET35">
        <v>0</v>
      </c>
      <c r="EU35">
        <v>7080</v>
      </c>
      <c r="EV35" s="4">
        <v>186.666666666667</v>
      </c>
      <c r="EW35">
        <v>0</v>
      </c>
      <c r="EX35">
        <v>0</v>
      </c>
      <c r="EY35" s="4">
        <v>186.666666666667</v>
      </c>
      <c r="EZ35">
        <v>12885100</v>
      </c>
      <c r="FA35">
        <v>12885100</v>
      </c>
      <c r="FB35">
        <v>0</v>
      </c>
      <c r="FC35">
        <v>0</v>
      </c>
      <c r="FD35">
        <v>0</v>
      </c>
      <c r="FE35">
        <v>0</v>
      </c>
      <c r="FF35">
        <v>0</v>
      </c>
      <c r="FG35">
        <v>0</v>
      </c>
      <c r="FH35">
        <v>880908</v>
      </c>
      <c r="FI35" s="4">
        <v>4140446.66</v>
      </c>
      <c r="FJ35">
        <v>79541.26</v>
      </c>
      <c r="FK35">
        <v>79541.26</v>
      </c>
      <c r="FL35">
        <v>0</v>
      </c>
      <c r="FM35" s="4">
        <v>5630.16666666667</v>
      </c>
      <c r="FN35">
        <v>0</v>
      </c>
      <c r="FO35">
        <v>0</v>
      </c>
      <c r="FP35">
        <v>0</v>
      </c>
      <c r="FQ35">
        <v>0</v>
      </c>
      <c r="FR35">
        <v>5630.16666666667</v>
      </c>
      <c r="FS35">
        <v>0</v>
      </c>
      <c r="FT35">
        <v>247826.4</v>
      </c>
      <c r="FU35">
        <v>619566</v>
      </c>
      <c r="FV35">
        <v>92934.9</v>
      </c>
      <c r="FY35">
        <v>30978300</v>
      </c>
      <c r="FZ35">
        <v>32793373.8521251</v>
      </c>
      <c r="GA35">
        <v>3060559.22554253</v>
      </c>
      <c r="GB35">
        <v>29732814.6265826</v>
      </c>
      <c r="GC35">
        <v>1245485.3734174</v>
      </c>
      <c r="GD35">
        <v>0.0402050910933589</v>
      </c>
      <c r="GE35">
        <v>-1815073.85212513</v>
      </c>
      <c r="GF35">
        <v>-0.0585917836719617</v>
      </c>
      <c r="GJ35">
        <v>45350</v>
      </c>
      <c r="GL35">
        <v>45352</v>
      </c>
      <c r="GO35">
        <v>45356</v>
      </c>
      <c r="GR35">
        <v>45391</v>
      </c>
      <c r="GU35" t="s">
        <v>694</v>
      </c>
      <c r="HA35">
        <v>45428</v>
      </c>
      <c r="HB35">
        <v>45433</v>
      </c>
      <c r="HE35">
        <v>42</v>
      </c>
      <c r="HF35">
        <v>6</v>
      </c>
      <c r="HG35">
        <v>13</v>
      </c>
      <c r="HH35">
        <v>23</v>
      </c>
      <c r="HK35">
        <v>428</v>
      </c>
      <c r="HL35">
        <v>289</v>
      </c>
      <c r="HM35">
        <v>294</v>
      </c>
      <c r="HN35">
        <v>0</v>
      </c>
      <c r="HO35">
        <v>0</v>
      </c>
      <c r="HP35">
        <v>0</v>
      </c>
      <c r="HQ35">
        <v>229</v>
      </c>
      <c r="HR35">
        <v>37</v>
      </c>
      <c r="HU35" s="10"/>
    </row>
    <row r="36" spans="1:229">
      <c r="A36" s="1">
        <f t="shared" si="0"/>
        <v>35</v>
      </c>
      <c r="B36" s="2">
        <v>2024</v>
      </c>
      <c r="C36" s="2" t="s">
        <v>47</v>
      </c>
      <c r="D36" s="2" t="s">
        <v>27</v>
      </c>
      <c r="E36" s="9">
        <v>70592</v>
      </c>
      <c r="F36" s="2" t="s">
        <v>709</v>
      </c>
      <c r="G36" s="2" t="s">
        <v>28</v>
      </c>
      <c r="H36" s="2" t="s">
        <v>743</v>
      </c>
      <c r="I36" s="2" t="s">
        <v>751</v>
      </c>
      <c r="J36" t="s">
        <v>323</v>
      </c>
      <c r="K36" t="s">
        <v>31</v>
      </c>
      <c r="L36" t="s">
        <v>38</v>
      </c>
      <c r="M36">
        <v>3</v>
      </c>
      <c r="N36">
        <v>6140</v>
      </c>
      <c r="O36" s="3">
        <v>6140</v>
      </c>
      <c r="P36" s="4">
        <v>2</v>
      </c>
      <c r="Q36" s="4">
        <v>0</v>
      </c>
      <c r="R36" s="4">
        <v>47</v>
      </c>
      <c r="S36" s="4">
        <v>9</v>
      </c>
      <c r="T36" s="4">
        <v>56</v>
      </c>
      <c r="U36" s="4">
        <v>58</v>
      </c>
      <c r="V36" s="4">
        <v>0</v>
      </c>
      <c r="W36" s="4">
        <v>1.86666666666667</v>
      </c>
      <c r="X36" s="4">
        <v>1.93333333333333</v>
      </c>
      <c r="Y36" s="3">
        <v>26994500</v>
      </c>
      <c r="Z36">
        <v>-1449169.44165427</v>
      </c>
      <c r="AA36">
        <v>28443669.4416543</v>
      </c>
      <c r="AB36">
        <v>2149263.4328235</v>
      </c>
      <c r="AC36">
        <v>628333.333333333</v>
      </c>
      <c r="AD36">
        <v>628333.333333333</v>
      </c>
      <c r="AE36">
        <v>0</v>
      </c>
      <c r="AF36">
        <v>518022.2735</v>
      </c>
      <c r="AG36">
        <v>518022.2735</v>
      </c>
      <c r="AH36">
        <v>0</v>
      </c>
      <c r="AI36">
        <v>47092.2293333333</v>
      </c>
      <c r="AJ36">
        <v>36284.7293333333</v>
      </c>
      <c r="AK36">
        <v>10807.5</v>
      </c>
      <c r="AL36">
        <v>0</v>
      </c>
      <c r="AM36">
        <v>163148.929990167</v>
      </c>
      <c r="AN36">
        <v>163148.929990167</v>
      </c>
      <c r="AO36">
        <v>0</v>
      </c>
      <c r="AP36">
        <v>0</v>
      </c>
      <c r="AQ36">
        <v>0</v>
      </c>
      <c r="AR36">
        <v>0</v>
      </c>
      <c r="AS36">
        <v>0</v>
      </c>
      <c r="AT36">
        <v>0</v>
      </c>
      <c r="AU36">
        <v>0</v>
      </c>
      <c r="AV36">
        <v>0</v>
      </c>
      <c r="AW36">
        <v>0</v>
      </c>
      <c r="AX36">
        <v>0</v>
      </c>
      <c r="AY36">
        <v>792666.666666665</v>
      </c>
      <c r="AZ36">
        <v>26294406.0088308</v>
      </c>
      <c r="BA36">
        <v>4615510.986</v>
      </c>
      <c r="BB36">
        <v>507169.9008</v>
      </c>
      <c r="BC36">
        <v>507169.9008</v>
      </c>
      <c r="BD36">
        <v>0</v>
      </c>
      <c r="BE36">
        <v>0</v>
      </c>
      <c r="BF36">
        <v>2266988</v>
      </c>
      <c r="BG36">
        <v>2266988</v>
      </c>
      <c r="BH36">
        <v>0</v>
      </c>
      <c r="BI36">
        <v>6205.68</v>
      </c>
      <c r="BJ36">
        <v>705172</v>
      </c>
      <c r="BK36">
        <v>0</v>
      </c>
      <c r="BL36">
        <v>0</v>
      </c>
      <c r="BM36">
        <v>0</v>
      </c>
      <c r="BN36">
        <v>211802.8952</v>
      </c>
      <c r="BO36">
        <v>189654.61</v>
      </c>
      <c r="BP36">
        <v>89600</v>
      </c>
      <c r="BQ36">
        <v>0</v>
      </c>
      <c r="BR36">
        <v>0</v>
      </c>
      <c r="BS36">
        <v>100054.61</v>
      </c>
      <c r="BT36">
        <v>728517.9</v>
      </c>
      <c r="BU36">
        <v>638560</v>
      </c>
      <c r="BV36">
        <v>89957.9</v>
      </c>
      <c r="BW36">
        <v>0</v>
      </c>
      <c r="BX36">
        <v>0</v>
      </c>
      <c r="BY36">
        <v>173199.05</v>
      </c>
      <c r="BZ36">
        <v>106734.93</v>
      </c>
      <c r="CA36">
        <v>14507.77</v>
      </c>
      <c r="CB36">
        <v>19444.85</v>
      </c>
      <c r="CC36">
        <v>72782.31</v>
      </c>
      <c r="CD36">
        <v>66464.12</v>
      </c>
      <c r="CE36">
        <v>0</v>
      </c>
      <c r="CF36">
        <v>66464.12</v>
      </c>
      <c r="CG36">
        <v>0</v>
      </c>
      <c r="CH36">
        <v>21505695.9728308</v>
      </c>
      <c r="CI36">
        <v>352333</v>
      </c>
      <c r="CJ36">
        <v>0</v>
      </c>
      <c r="CK36">
        <v>22803</v>
      </c>
      <c r="CL36">
        <v>0</v>
      </c>
      <c r="CM36">
        <v>78240</v>
      </c>
      <c r="CN36">
        <v>22444</v>
      </c>
      <c r="CO36">
        <v>228846</v>
      </c>
      <c r="CP36">
        <v>695999.999999999</v>
      </c>
      <c r="CQ36">
        <v>30037.69</v>
      </c>
      <c r="CR36">
        <v>6430.69</v>
      </c>
      <c r="CS36">
        <v>21597</v>
      </c>
      <c r="CT36">
        <v>0</v>
      </c>
      <c r="CU36">
        <v>1050</v>
      </c>
      <c r="CV36">
        <v>0</v>
      </c>
      <c r="CW36">
        <v>0</v>
      </c>
      <c r="CX36">
        <v>960</v>
      </c>
      <c r="CY36">
        <v>10305.03</v>
      </c>
      <c r="CZ36">
        <v>3026.7</v>
      </c>
      <c r="DA36">
        <v>0</v>
      </c>
      <c r="DB36">
        <v>633.962</v>
      </c>
      <c r="DC36">
        <v>240</v>
      </c>
      <c r="DD36">
        <v>0</v>
      </c>
      <c r="DE36">
        <v>0</v>
      </c>
      <c r="DF36">
        <v>6404.368</v>
      </c>
      <c r="DG36">
        <v>0</v>
      </c>
      <c r="DH36" s="3">
        <v>319076</v>
      </c>
      <c r="DI36">
        <v>453777.79</v>
      </c>
      <c r="DJ36">
        <v>0</v>
      </c>
      <c r="DK36">
        <v>204451.1</v>
      </c>
      <c r="DL36">
        <v>0</v>
      </c>
      <c r="DM36">
        <v>0</v>
      </c>
      <c r="DN36">
        <v>0</v>
      </c>
      <c r="DO36">
        <v>0</v>
      </c>
      <c r="DP36">
        <v>249326.69</v>
      </c>
      <c r="DQ36">
        <v>134930.58</v>
      </c>
      <c r="DR36">
        <v>0</v>
      </c>
      <c r="DS36">
        <v>0</v>
      </c>
      <c r="DT36">
        <v>0</v>
      </c>
      <c r="DU36">
        <v>0</v>
      </c>
      <c r="DV36">
        <v>0</v>
      </c>
      <c r="DW36">
        <v>0</v>
      </c>
      <c r="DX36">
        <v>0</v>
      </c>
      <c r="DY36">
        <v>134930.58</v>
      </c>
      <c r="DZ36">
        <v>0</v>
      </c>
      <c r="EA36">
        <v>0</v>
      </c>
      <c r="EB36">
        <v>0</v>
      </c>
      <c r="EC36">
        <v>0</v>
      </c>
      <c r="ED36">
        <v>0</v>
      </c>
      <c r="EE36">
        <v>0</v>
      </c>
      <c r="EF36">
        <v>251445</v>
      </c>
      <c r="EG36">
        <v>0</v>
      </c>
      <c r="EH36">
        <v>226214.05</v>
      </c>
      <c r="EI36">
        <v>1556691.36</v>
      </c>
      <c r="EJ36">
        <v>0</v>
      </c>
      <c r="EK36">
        <v>810004.959497437</v>
      </c>
      <c r="EL36">
        <v>0</v>
      </c>
      <c r="EM36">
        <v>0</v>
      </c>
      <c r="EN36">
        <v>85000</v>
      </c>
      <c r="EO36">
        <v>60000</v>
      </c>
      <c r="EP36">
        <v>60000</v>
      </c>
      <c r="EQ36">
        <v>0</v>
      </c>
      <c r="ER36">
        <v>57942</v>
      </c>
      <c r="ES36">
        <v>0</v>
      </c>
      <c r="ET36">
        <v>0</v>
      </c>
      <c r="EU36">
        <v>0</v>
      </c>
      <c r="EV36" s="4">
        <v>286.133333333333</v>
      </c>
      <c r="EW36">
        <v>0</v>
      </c>
      <c r="EX36">
        <v>0</v>
      </c>
      <c r="EY36" s="4">
        <v>286.133333333333</v>
      </c>
      <c r="EZ36">
        <v>10047100</v>
      </c>
      <c r="FA36">
        <v>10047100</v>
      </c>
      <c r="FB36">
        <v>0</v>
      </c>
      <c r="FC36">
        <v>0</v>
      </c>
      <c r="FD36">
        <v>0</v>
      </c>
      <c r="FE36">
        <v>0</v>
      </c>
      <c r="FF36">
        <v>0</v>
      </c>
      <c r="FG36">
        <v>0</v>
      </c>
      <c r="FH36">
        <v>1024216</v>
      </c>
      <c r="FI36" s="4">
        <v>4442103.24</v>
      </c>
      <c r="FJ36">
        <v>80332.64</v>
      </c>
      <c r="FK36">
        <v>80332.64</v>
      </c>
      <c r="FL36">
        <v>0</v>
      </c>
      <c r="FM36" s="4">
        <v>31071</v>
      </c>
      <c r="FN36">
        <v>0</v>
      </c>
      <c r="FO36">
        <v>0</v>
      </c>
      <c r="FP36">
        <v>0</v>
      </c>
      <c r="FQ36">
        <v>0</v>
      </c>
      <c r="FR36">
        <v>31071</v>
      </c>
      <c r="FS36">
        <v>0</v>
      </c>
      <c r="FT36">
        <v>215956</v>
      </c>
      <c r="FU36">
        <v>539890</v>
      </c>
      <c r="FV36">
        <v>80983.5</v>
      </c>
      <c r="FY36">
        <v>26994500</v>
      </c>
      <c r="FZ36">
        <v>28443669.4416543</v>
      </c>
      <c r="GA36">
        <v>2149263.4328235</v>
      </c>
      <c r="GB36">
        <v>26294406.0088308</v>
      </c>
      <c r="GC36">
        <v>700093.991169229</v>
      </c>
      <c r="GD36">
        <v>0.0259346900727641</v>
      </c>
      <c r="GE36">
        <v>-1449169.44165427</v>
      </c>
      <c r="GF36">
        <v>-0.0536838778882466</v>
      </c>
      <c r="GJ36">
        <v>45350</v>
      </c>
      <c r="GL36">
        <v>45352</v>
      </c>
      <c r="GO36">
        <v>45356</v>
      </c>
      <c r="GR36">
        <v>45446</v>
      </c>
      <c r="GU36" t="s">
        <v>694</v>
      </c>
      <c r="HA36">
        <v>45472</v>
      </c>
      <c r="HB36">
        <v>45481</v>
      </c>
      <c r="HE36">
        <v>37</v>
      </c>
      <c r="HF36">
        <v>1</v>
      </c>
      <c r="HG36">
        <v>12</v>
      </c>
      <c r="HH36">
        <v>24</v>
      </c>
      <c r="HK36">
        <v>522</v>
      </c>
      <c r="HL36">
        <v>240</v>
      </c>
      <c r="HM36">
        <v>189</v>
      </c>
      <c r="HN36">
        <v>0</v>
      </c>
      <c r="HO36">
        <v>0</v>
      </c>
      <c r="HP36">
        <v>0</v>
      </c>
      <c r="HQ36">
        <v>328</v>
      </c>
      <c r="HR36">
        <v>57</v>
      </c>
      <c r="HU36" s="10"/>
    </row>
    <row r="37" spans="1:229">
      <c r="A37" s="1">
        <f t="shared" si="0"/>
        <v>36</v>
      </c>
      <c r="B37" s="2">
        <v>2024</v>
      </c>
      <c r="C37" s="2" t="s">
        <v>741</v>
      </c>
      <c r="D37" s="2" t="s">
        <v>27</v>
      </c>
      <c r="E37" s="9">
        <v>70592</v>
      </c>
      <c r="F37" s="2" t="s">
        <v>709</v>
      </c>
      <c r="G37" s="2" t="s">
        <v>28</v>
      </c>
      <c r="H37" s="2" t="s">
        <v>743</v>
      </c>
      <c r="I37" s="2" t="s">
        <v>752</v>
      </c>
      <c r="J37" t="s">
        <v>323</v>
      </c>
      <c r="K37" t="s">
        <v>31</v>
      </c>
      <c r="L37" t="s">
        <v>38</v>
      </c>
      <c r="M37">
        <v>3</v>
      </c>
      <c r="N37">
        <v>6106</v>
      </c>
      <c r="O37" s="3">
        <v>6182</v>
      </c>
      <c r="P37" s="4">
        <v>8</v>
      </c>
      <c r="Q37" s="4">
        <v>0</v>
      </c>
      <c r="R37" s="4">
        <v>52</v>
      </c>
      <c r="S37" s="4">
        <v>6</v>
      </c>
      <c r="T37" s="4">
        <v>58</v>
      </c>
      <c r="U37" s="4">
        <v>66</v>
      </c>
      <c r="V37" s="4">
        <v>0</v>
      </c>
      <c r="W37" s="4">
        <v>1.93333333333333</v>
      </c>
      <c r="X37" s="4">
        <v>2.2</v>
      </c>
      <c r="Y37" s="3">
        <v>31312700</v>
      </c>
      <c r="Z37">
        <v>-6600876.57002667</v>
      </c>
      <c r="AA37">
        <v>37913576.5700267</v>
      </c>
      <c r="AB37">
        <v>2717188.6780118</v>
      </c>
      <c r="AC37">
        <v>715000</v>
      </c>
      <c r="AD37">
        <v>715000</v>
      </c>
      <c r="AE37">
        <v>0</v>
      </c>
      <c r="AF37">
        <v>838326.122</v>
      </c>
      <c r="AG37">
        <v>838326.122</v>
      </c>
      <c r="AH37">
        <v>0</v>
      </c>
      <c r="AI37">
        <v>76210.3253333333</v>
      </c>
      <c r="AJ37">
        <v>58720.3253333333</v>
      </c>
      <c r="AK37">
        <v>17490</v>
      </c>
      <c r="AL37">
        <v>0</v>
      </c>
      <c r="AM37">
        <v>185652.230678466</v>
      </c>
      <c r="AN37">
        <v>185652.230678466</v>
      </c>
      <c r="AO37">
        <v>0</v>
      </c>
      <c r="AP37">
        <v>0</v>
      </c>
      <c r="AQ37">
        <v>0</v>
      </c>
      <c r="AR37">
        <v>0</v>
      </c>
      <c r="AS37">
        <v>0</v>
      </c>
      <c r="AT37">
        <v>0</v>
      </c>
      <c r="AU37">
        <v>0</v>
      </c>
      <c r="AV37">
        <v>0</v>
      </c>
      <c r="AW37">
        <v>0</v>
      </c>
      <c r="AX37">
        <v>0</v>
      </c>
      <c r="AY37">
        <v>902000</v>
      </c>
      <c r="AZ37">
        <v>35196387.8920149</v>
      </c>
      <c r="BA37">
        <v>6453365.162</v>
      </c>
      <c r="BB37">
        <v>727571.97</v>
      </c>
      <c r="BC37">
        <v>727571.97</v>
      </c>
      <c r="BD37">
        <v>0</v>
      </c>
      <c r="BE37">
        <v>0</v>
      </c>
      <c r="BF37">
        <v>2275126</v>
      </c>
      <c r="BG37">
        <v>2275126</v>
      </c>
      <c r="BH37">
        <v>0</v>
      </c>
      <c r="BI37">
        <v>0</v>
      </c>
      <c r="BJ37">
        <v>1568827</v>
      </c>
      <c r="BK37">
        <v>495285.71</v>
      </c>
      <c r="BL37">
        <v>495285.71</v>
      </c>
      <c r="BM37">
        <v>0</v>
      </c>
      <c r="BN37">
        <v>455469.822</v>
      </c>
      <c r="BO37">
        <v>203527.43</v>
      </c>
      <c r="BP37">
        <v>92800</v>
      </c>
      <c r="BQ37">
        <v>0</v>
      </c>
      <c r="BR37">
        <v>0</v>
      </c>
      <c r="BS37">
        <v>110727.43</v>
      </c>
      <c r="BT37">
        <v>727557.23</v>
      </c>
      <c r="BU37">
        <v>642928</v>
      </c>
      <c r="BV37">
        <v>84629.23</v>
      </c>
      <c r="BW37">
        <v>0</v>
      </c>
      <c r="BX37">
        <v>0</v>
      </c>
      <c r="BY37">
        <v>905591.11</v>
      </c>
      <c r="BZ37">
        <v>800948.55</v>
      </c>
      <c r="CA37">
        <v>225632.39</v>
      </c>
      <c r="CB37">
        <v>216248.25</v>
      </c>
      <c r="CC37">
        <v>359067.91</v>
      </c>
      <c r="CD37">
        <v>104642.56</v>
      </c>
      <c r="CE37">
        <v>0</v>
      </c>
      <c r="CF37">
        <v>104642.56</v>
      </c>
      <c r="CG37">
        <v>0</v>
      </c>
      <c r="CH37">
        <v>27837431.6200149</v>
      </c>
      <c r="CI37">
        <v>1653785</v>
      </c>
      <c r="CJ37">
        <v>0</v>
      </c>
      <c r="CK37">
        <v>0</v>
      </c>
      <c r="CL37">
        <v>672161</v>
      </c>
      <c r="CM37">
        <v>481188</v>
      </c>
      <c r="CN37">
        <v>69455</v>
      </c>
      <c r="CO37">
        <v>430981</v>
      </c>
      <c r="CP37">
        <v>792000</v>
      </c>
      <c r="CQ37">
        <v>82297.08</v>
      </c>
      <c r="CR37">
        <v>22048.08</v>
      </c>
      <c r="CS37">
        <v>58239</v>
      </c>
      <c r="CT37">
        <v>0</v>
      </c>
      <c r="CU37">
        <v>1050</v>
      </c>
      <c r="CV37">
        <v>0</v>
      </c>
      <c r="CW37">
        <v>0</v>
      </c>
      <c r="CX37">
        <v>960</v>
      </c>
      <c r="CY37">
        <v>10305.03</v>
      </c>
      <c r="CZ37">
        <v>3026.7</v>
      </c>
      <c r="DA37">
        <v>0</v>
      </c>
      <c r="DB37">
        <v>633.962</v>
      </c>
      <c r="DC37">
        <v>240</v>
      </c>
      <c r="DD37">
        <v>0</v>
      </c>
      <c r="DE37">
        <v>0</v>
      </c>
      <c r="DF37">
        <v>6404.368</v>
      </c>
      <c r="DG37">
        <v>0</v>
      </c>
      <c r="DH37" s="3">
        <v>384546</v>
      </c>
      <c r="DI37">
        <v>403922.44</v>
      </c>
      <c r="DJ37">
        <v>0</v>
      </c>
      <c r="DK37">
        <v>206467.56</v>
      </c>
      <c r="DL37">
        <v>0</v>
      </c>
      <c r="DM37">
        <v>0</v>
      </c>
      <c r="DN37">
        <v>0</v>
      </c>
      <c r="DO37">
        <v>0</v>
      </c>
      <c r="DP37">
        <v>197454.88</v>
      </c>
      <c r="DQ37">
        <v>132384.72</v>
      </c>
      <c r="DR37">
        <v>0</v>
      </c>
      <c r="DS37">
        <v>0</v>
      </c>
      <c r="DT37">
        <v>0</v>
      </c>
      <c r="DU37">
        <v>0</v>
      </c>
      <c r="DV37">
        <v>0</v>
      </c>
      <c r="DW37">
        <v>0</v>
      </c>
      <c r="DX37">
        <v>0</v>
      </c>
      <c r="DY37">
        <v>132384.72</v>
      </c>
      <c r="DZ37">
        <v>0</v>
      </c>
      <c r="EA37">
        <v>0</v>
      </c>
      <c r="EB37">
        <v>0</v>
      </c>
      <c r="EC37">
        <v>0</v>
      </c>
      <c r="ED37">
        <v>0</v>
      </c>
      <c r="EE37">
        <v>0</v>
      </c>
      <c r="EF37">
        <v>248595</v>
      </c>
      <c r="EG37">
        <v>0</v>
      </c>
      <c r="EH37">
        <v>177273.51</v>
      </c>
      <c r="EI37">
        <v>1550950.8</v>
      </c>
      <c r="EJ37">
        <v>0</v>
      </c>
      <c r="EK37">
        <v>805519.590014878</v>
      </c>
      <c r="EL37">
        <v>0</v>
      </c>
      <c r="EM37">
        <v>0</v>
      </c>
      <c r="EN37">
        <v>155000</v>
      </c>
      <c r="EO37">
        <v>60000</v>
      </c>
      <c r="EP37">
        <v>60000</v>
      </c>
      <c r="EQ37">
        <v>0</v>
      </c>
      <c r="ER37">
        <v>65934</v>
      </c>
      <c r="ES37">
        <v>0</v>
      </c>
      <c r="ET37">
        <v>0</v>
      </c>
      <c r="EU37">
        <v>1920</v>
      </c>
      <c r="EV37" s="4">
        <v>325.6</v>
      </c>
      <c r="EW37">
        <v>0</v>
      </c>
      <c r="EX37">
        <v>0</v>
      </c>
      <c r="EY37" s="4">
        <v>325.6</v>
      </c>
      <c r="EZ37">
        <v>14472100</v>
      </c>
      <c r="FA37">
        <v>14472100</v>
      </c>
      <c r="FB37">
        <v>0</v>
      </c>
      <c r="FC37">
        <v>0</v>
      </c>
      <c r="FD37">
        <v>0</v>
      </c>
      <c r="FE37">
        <v>114306</v>
      </c>
      <c r="FF37">
        <v>0</v>
      </c>
      <c r="FG37">
        <v>114306</v>
      </c>
      <c r="FH37">
        <v>1067847</v>
      </c>
      <c r="FI37" s="4">
        <v>4544755.42</v>
      </c>
      <c r="FJ37">
        <v>111899.73</v>
      </c>
      <c r="FK37">
        <v>111899.73</v>
      </c>
      <c r="FL37">
        <v>0</v>
      </c>
      <c r="FM37" s="4">
        <v>31071</v>
      </c>
      <c r="FN37">
        <v>0</v>
      </c>
      <c r="FO37">
        <v>0</v>
      </c>
      <c r="FP37">
        <v>0</v>
      </c>
      <c r="FQ37">
        <v>0</v>
      </c>
      <c r="FR37">
        <v>31071</v>
      </c>
      <c r="FS37">
        <v>0</v>
      </c>
      <c r="FT37">
        <v>250501.6</v>
      </c>
      <c r="FU37">
        <v>626254</v>
      </c>
      <c r="FV37">
        <v>93938.1</v>
      </c>
      <c r="FY37">
        <v>31312700</v>
      </c>
      <c r="FZ37">
        <v>37913576.5700267</v>
      </c>
      <c r="GA37">
        <v>2717188.6780118</v>
      </c>
      <c r="GB37">
        <v>35196387.8920149</v>
      </c>
      <c r="GC37">
        <v>-3883687.89201488</v>
      </c>
      <c r="GD37">
        <v>-0.124029160436975</v>
      </c>
      <c r="GE37">
        <v>-6600876.57002667</v>
      </c>
      <c r="GF37">
        <v>-0.210805090906459</v>
      </c>
      <c r="GJ37">
        <v>45312</v>
      </c>
      <c r="GL37">
        <v>45320</v>
      </c>
      <c r="GO37">
        <v>45325</v>
      </c>
      <c r="GR37">
        <v>45495</v>
      </c>
      <c r="GU37" t="s">
        <v>694</v>
      </c>
      <c r="HA37">
        <v>45518</v>
      </c>
      <c r="HB37">
        <v>45524</v>
      </c>
      <c r="HE37">
        <v>37</v>
      </c>
      <c r="HF37">
        <v>1</v>
      </c>
      <c r="HG37">
        <v>12</v>
      </c>
      <c r="HH37">
        <v>24</v>
      </c>
      <c r="HK37">
        <v>567</v>
      </c>
      <c r="HL37">
        <v>227</v>
      </c>
      <c r="HM37">
        <v>83</v>
      </c>
      <c r="HN37">
        <v>123</v>
      </c>
      <c r="HO37">
        <v>0</v>
      </c>
      <c r="HP37">
        <v>47</v>
      </c>
      <c r="HQ37">
        <v>331</v>
      </c>
      <c r="HR37">
        <v>30</v>
      </c>
      <c r="HU37" s="10"/>
    </row>
    <row r="38" spans="1:229">
      <c r="A38" s="1">
        <f t="shared" si="0"/>
        <v>37</v>
      </c>
      <c r="B38" s="2">
        <v>2024</v>
      </c>
      <c r="C38" s="2" t="s">
        <v>33</v>
      </c>
      <c r="D38" s="2" t="s">
        <v>27</v>
      </c>
      <c r="E38" s="9">
        <v>50639</v>
      </c>
      <c r="F38" s="2" t="s">
        <v>723</v>
      </c>
      <c r="G38" s="2" t="s">
        <v>36</v>
      </c>
      <c r="H38" s="2" t="s">
        <v>711</v>
      </c>
      <c r="I38" s="2" t="s">
        <v>753</v>
      </c>
      <c r="J38" t="s">
        <v>313</v>
      </c>
      <c r="K38" t="s">
        <v>41</v>
      </c>
      <c r="L38" t="s">
        <v>32</v>
      </c>
      <c r="M38">
        <v>2</v>
      </c>
      <c r="N38">
        <v>1785</v>
      </c>
      <c r="O38" s="3">
        <v>1785</v>
      </c>
      <c r="P38" s="4">
        <v>16</v>
      </c>
      <c r="Q38" s="4">
        <v>0</v>
      </c>
      <c r="R38" s="4">
        <v>4</v>
      </c>
      <c r="S38" s="4">
        <v>6</v>
      </c>
      <c r="T38" s="4">
        <v>10</v>
      </c>
      <c r="U38" s="4">
        <v>26</v>
      </c>
      <c r="V38" s="4">
        <v>0</v>
      </c>
      <c r="W38" s="4">
        <v>0.333333333333333</v>
      </c>
      <c r="X38" s="4">
        <v>0.866666666666667</v>
      </c>
      <c r="Y38" s="3">
        <v>3139387</v>
      </c>
      <c r="Z38">
        <v>-1734730.825359</v>
      </c>
      <c r="AA38">
        <v>4874117.825359</v>
      </c>
      <c r="AB38">
        <v>679843.228277778</v>
      </c>
      <c r="AC38">
        <v>281666.666666667</v>
      </c>
      <c r="AD38">
        <v>281666.666666667</v>
      </c>
      <c r="AE38">
        <v>0</v>
      </c>
      <c r="AF38">
        <v>32357.5380555555</v>
      </c>
      <c r="AG38">
        <v>32357.5380555555</v>
      </c>
      <c r="AH38">
        <v>0</v>
      </c>
      <c r="AI38">
        <v>10485.6902222222</v>
      </c>
      <c r="AJ38">
        <v>3889.29161111111</v>
      </c>
      <c r="AK38">
        <v>3688.33544444445</v>
      </c>
      <c r="AL38">
        <v>2908.06316666667</v>
      </c>
      <c r="AM38">
        <v>0</v>
      </c>
      <c r="AN38">
        <v>0</v>
      </c>
      <c r="AO38">
        <v>0</v>
      </c>
      <c r="AP38">
        <v>0</v>
      </c>
      <c r="AQ38">
        <v>0</v>
      </c>
      <c r="AR38">
        <v>0</v>
      </c>
      <c r="AS38">
        <v>0</v>
      </c>
      <c r="AT38">
        <v>0</v>
      </c>
      <c r="AU38">
        <v>0</v>
      </c>
      <c r="AV38">
        <v>0</v>
      </c>
      <c r="AW38">
        <v>0</v>
      </c>
      <c r="AX38">
        <v>0</v>
      </c>
      <c r="AY38">
        <v>355333.333333333</v>
      </c>
      <c r="AZ38">
        <v>4194274.59708122</v>
      </c>
      <c r="BA38">
        <v>730719.3608</v>
      </c>
      <c r="BB38">
        <v>41575.2156</v>
      </c>
      <c r="BC38">
        <v>41575.2156</v>
      </c>
      <c r="BD38">
        <v>0</v>
      </c>
      <c r="BE38">
        <v>0</v>
      </c>
      <c r="BF38">
        <v>143854</v>
      </c>
      <c r="BG38">
        <v>143854</v>
      </c>
      <c r="BH38">
        <v>0</v>
      </c>
      <c r="BI38">
        <v>0</v>
      </c>
      <c r="BJ38">
        <v>312767</v>
      </c>
      <c r="BK38">
        <v>0</v>
      </c>
      <c r="BL38">
        <v>0</v>
      </c>
      <c r="BM38">
        <v>0</v>
      </c>
      <c r="BN38">
        <v>32190.5452</v>
      </c>
      <c r="BO38">
        <v>93430.39</v>
      </c>
      <c r="BP38">
        <v>16000</v>
      </c>
      <c r="BQ38">
        <v>0</v>
      </c>
      <c r="BR38">
        <v>0</v>
      </c>
      <c r="BS38">
        <v>77430.39</v>
      </c>
      <c r="BT38">
        <v>106902.21</v>
      </c>
      <c r="BU38">
        <v>96390</v>
      </c>
      <c r="BV38">
        <v>10512.21</v>
      </c>
      <c r="BW38">
        <v>0</v>
      </c>
      <c r="BX38">
        <v>0</v>
      </c>
      <c r="BY38">
        <v>1026500.8</v>
      </c>
      <c r="BZ38">
        <v>34397.53</v>
      </c>
      <c r="CA38">
        <v>23100.41</v>
      </c>
      <c r="CB38">
        <v>1993.05</v>
      </c>
      <c r="CC38">
        <v>9304.07</v>
      </c>
      <c r="CD38">
        <v>992103.27</v>
      </c>
      <c r="CE38">
        <v>992103.27</v>
      </c>
      <c r="CF38">
        <v>0</v>
      </c>
      <c r="CG38">
        <v>0</v>
      </c>
      <c r="CH38">
        <v>2437054.43628122</v>
      </c>
      <c r="CI38">
        <v>366515</v>
      </c>
      <c r="CJ38">
        <v>0</v>
      </c>
      <c r="CK38">
        <v>0</v>
      </c>
      <c r="CL38">
        <v>220331</v>
      </c>
      <c r="CM38">
        <v>61551</v>
      </c>
      <c r="CN38">
        <v>6178</v>
      </c>
      <c r="CO38">
        <v>78455</v>
      </c>
      <c r="CP38">
        <v>442000</v>
      </c>
      <c r="CQ38">
        <v>13601.7928571429</v>
      </c>
      <c r="CR38">
        <v>3210.35</v>
      </c>
      <c r="CS38">
        <v>9284.3</v>
      </c>
      <c r="CT38">
        <v>0</v>
      </c>
      <c r="CU38">
        <v>250</v>
      </c>
      <c r="CV38">
        <v>0</v>
      </c>
      <c r="CW38">
        <v>0</v>
      </c>
      <c r="CX38">
        <v>857.142857142857</v>
      </c>
      <c r="CY38">
        <v>8452.07690026954</v>
      </c>
      <c r="CZ38">
        <v>5465.5</v>
      </c>
      <c r="DA38">
        <v>0</v>
      </c>
      <c r="DB38">
        <v>414</v>
      </c>
      <c r="DC38">
        <v>47.1428571428571</v>
      </c>
      <c r="DD38">
        <v>0</v>
      </c>
      <c r="DE38">
        <v>0</v>
      </c>
      <c r="DF38">
        <v>2525.43404312668</v>
      </c>
      <c r="DG38">
        <v>0</v>
      </c>
      <c r="DH38" s="3">
        <v>110060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18748</v>
      </c>
      <c r="EG38">
        <v>0</v>
      </c>
      <c r="EH38">
        <v>5311</v>
      </c>
      <c r="EI38">
        <v>350988.29</v>
      </c>
      <c r="EJ38">
        <v>0</v>
      </c>
      <c r="EK38">
        <v>0</v>
      </c>
      <c r="EL38">
        <v>0</v>
      </c>
      <c r="EM38">
        <v>50369</v>
      </c>
      <c r="EN38">
        <v>25000</v>
      </c>
      <c r="EO38">
        <v>42300</v>
      </c>
      <c r="EP38">
        <v>42300</v>
      </c>
      <c r="EQ38">
        <v>0</v>
      </c>
      <c r="ER38">
        <v>32994</v>
      </c>
      <c r="ES38">
        <v>0</v>
      </c>
      <c r="ET38">
        <v>0</v>
      </c>
      <c r="EU38">
        <v>3420</v>
      </c>
      <c r="EV38" s="4">
        <v>86.6666666666667</v>
      </c>
      <c r="EW38">
        <v>0</v>
      </c>
      <c r="EX38">
        <v>0</v>
      </c>
      <c r="EY38" s="4">
        <v>86.6666666666667</v>
      </c>
      <c r="EZ38">
        <v>0</v>
      </c>
      <c r="FA38">
        <v>0</v>
      </c>
      <c r="FB38">
        <v>0</v>
      </c>
      <c r="FC38">
        <v>0</v>
      </c>
      <c r="FD38">
        <v>0</v>
      </c>
      <c r="FE38">
        <v>0</v>
      </c>
      <c r="FF38">
        <v>0</v>
      </c>
      <c r="FG38">
        <v>0</v>
      </c>
      <c r="FH38">
        <v>0</v>
      </c>
      <c r="FI38" s="4">
        <v>774060.02</v>
      </c>
      <c r="FJ38">
        <v>44270.45</v>
      </c>
      <c r="FK38">
        <v>44270.45</v>
      </c>
      <c r="FL38">
        <v>0</v>
      </c>
      <c r="FM38" s="4">
        <v>51557.1428571428</v>
      </c>
      <c r="FN38">
        <v>0</v>
      </c>
      <c r="FO38">
        <v>0</v>
      </c>
      <c r="FP38">
        <v>0</v>
      </c>
      <c r="FQ38">
        <v>0</v>
      </c>
      <c r="FR38">
        <v>51557.1428571428</v>
      </c>
      <c r="FS38">
        <v>0</v>
      </c>
      <c r="FT38">
        <v>25115.096</v>
      </c>
      <c r="FU38">
        <v>62787.74</v>
      </c>
      <c r="FV38">
        <v>9418.161</v>
      </c>
      <c r="FY38">
        <v>3139387</v>
      </c>
      <c r="FZ38">
        <v>4874117.825359</v>
      </c>
      <c r="GA38">
        <v>679843.228277778</v>
      </c>
      <c r="GB38">
        <v>4194274.59708122</v>
      </c>
      <c r="GC38">
        <v>-1054887.59708122</v>
      </c>
      <c r="GD38">
        <v>-0.336017062274012</v>
      </c>
      <c r="GE38">
        <v>-1734730.825359</v>
      </c>
      <c r="GF38">
        <v>-0.552569920611572</v>
      </c>
      <c r="GJ38">
        <v>45346</v>
      </c>
      <c r="GL38">
        <v>45362</v>
      </c>
      <c r="GO38">
        <v>45365</v>
      </c>
      <c r="GR38" t="s">
        <v>694</v>
      </c>
      <c r="GU38" t="s">
        <v>694</v>
      </c>
      <c r="HA38">
        <v>45366</v>
      </c>
      <c r="HB38">
        <v>45372</v>
      </c>
      <c r="HE38">
        <v>47</v>
      </c>
      <c r="HF38">
        <v>5</v>
      </c>
      <c r="HG38">
        <v>8</v>
      </c>
      <c r="HH38">
        <v>34</v>
      </c>
      <c r="HK38">
        <v>32</v>
      </c>
      <c r="HL38">
        <v>13</v>
      </c>
      <c r="HM38">
        <v>25</v>
      </c>
      <c r="HN38">
        <v>0</v>
      </c>
      <c r="HO38">
        <v>0</v>
      </c>
      <c r="HP38">
        <v>0</v>
      </c>
      <c r="HQ38">
        <v>118</v>
      </c>
      <c r="HR38">
        <v>42</v>
      </c>
      <c r="HU38" s="10"/>
    </row>
    <row r="39" spans="1:229">
      <c r="A39" s="1">
        <f t="shared" si="0"/>
        <v>38</v>
      </c>
      <c r="B39" s="2">
        <v>2024</v>
      </c>
      <c r="C39" s="2" t="s">
        <v>35</v>
      </c>
      <c r="D39" s="2" t="s">
        <v>27</v>
      </c>
      <c r="E39" s="9">
        <v>50639</v>
      </c>
      <c r="F39" s="2" t="s">
        <v>723</v>
      </c>
      <c r="G39" s="2" t="s">
        <v>36</v>
      </c>
      <c r="H39" s="2" t="s">
        <v>711</v>
      </c>
      <c r="I39" s="2" t="s">
        <v>754</v>
      </c>
      <c r="J39" t="s">
        <v>314</v>
      </c>
      <c r="K39" t="s">
        <v>41</v>
      </c>
      <c r="L39" t="s">
        <v>32</v>
      </c>
      <c r="M39">
        <v>2</v>
      </c>
      <c r="N39">
        <v>2492</v>
      </c>
      <c r="O39" s="3">
        <v>2492</v>
      </c>
      <c r="P39" s="4">
        <v>6</v>
      </c>
      <c r="Q39" s="4">
        <v>0</v>
      </c>
      <c r="R39" s="4">
        <v>6</v>
      </c>
      <c r="S39" s="4">
        <v>6</v>
      </c>
      <c r="T39" s="4">
        <v>12</v>
      </c>
      <c r="U39" s="4">
        <v>18</v>
      </c>
      <c r="V39" s="4">
        <v>0</v>
      </c>
      <c r="W39" s="4">
        <v>0.4</v>
      </c>
      <c r="X39" s="4">
        <v>0.6</v>
      </c>
      <c r="Y39" s="3">
        <v>2517388</v>
      </c>
      <c r="Z39">
        <v>-803305.223114555</v>
      </c>
      <c r="AA39">
        <v>3320693.22311456</v>
      </c>
      <c r="AB39">
        <v>620660.6965</v>
      </c>
      <c r="AC39">
        <v>345000</v>
      </c>
      <c r="AD39">
        <v>345000</v>
      </c>
      <c r="AE39">
        <v>0</v>
      </c>
      <c r="AF39">
        <v>22401.3725</v>
      </c>
      <c r="AG39">
        <v>22401.3725</v>
      </c>
      <c r="AH39">
        <v>0</v>
      </c>
      <c r="AI39">
        <v>7259.324</v>
      </c>
      <c r="AJ39">
        <v>2692.5865</v>
      </c>
      <c r="AK39">
        <v>2553.463</v>
      </c>
      <c r="AL39">
        <v>2013.2745</v>
      </c>
      <c r="AM39">
        <v>0</v>
      </c>
      <c r="AN39">
        <v>0</v>
      </c>
      <c r="AO39">
        <v>0</v>
      </c>
      <c r="AP39">
        <v>0</v>
      </c>
      <c r="AQ39">
        <v>0</v>
      </c>
      <c r="AR39">
        <v>0</v>
      </c>
      <c r="AS39">
        <v>0</v>
      </c>
      <c r="AT39">
        <v>0</v>
      </c>
      <c r="AU39">
        <v>0</v>
      </c>
      <c r="AV39">
        <v>0</v>
      </c>
      <c r="AW39">
        <v>0</v>
      </c>
      <c r="AX39">
        <v>0</v>
      </c>
      <c r="AY39">
        <v>246000</v>
      </c>
      <c r="AZ39">
        <v>2700032.52661456</v>
      </c>
      <c r="BA39">
        <v>582619.446</v>
      </c>
      <c r="BB39">
        <v>57153.978</v>
      </c>
      <c r="BC39">
        <v>57153.978</v>
      </c>
      <c r="BD39">
        <v>0</v>
      </c>
      <c r="BE39">
        <v>0</v>
      </c>
      <c r="BF39">
        <v>223538</v>
      </c>
      <c r="BG39">
        <v>223538</v>
      </c>
      <c r="BH39">
        <v>0</v>
      </c>
      <c r="BI39">
        <v>6789.528</v>
      </c>
      <c r="BJ39">
        <v>0</v>
      </c>
      <c r="BK39">
        <v>0</v>
      </c>
      <c r="BL39">
        <v>0</v>
      </c>
      <c r="BM39">
        <v>0</v>
      </c>
      <c r="BN39">
        <v>26640.18</v>
      </c>
      <c r="BO39">
        <v>95572.43</v>
      </c>
      <c r="BP39">
        <v>19200</v>
      </c>
      <c r="BQ39">
        <v>0</v>
      </c>
      <c r="BR39">
        <v>0</v>
      </c>
      <c r="BS39">
        <v>76372.43</v>
      </c>
      <c r="BT39">
        <v>172925.33</v>
      </c>
      <c r="BU39">
        <v>156996</v>
      </c>
      <c r="BV39">
        <v>15929.33</v>
      </c>
      <c r="BW39">
        <v>0</v>
      </c>
      <c r="BX39">
        <v>0</v>
      </c>
      <c r="BY39">
        <v>981888.95</v>
      </c>
      <c r="BZ39">
        <v>6425.81</v>
      </c>
      <c r="CA39">
        <v>1029.45</v>
      </c>
      <c r="CB39">
        <v>1013</v>
      </c>
      <c r="CC39">
        <v>4383.36</v>
      </c>
      <c r="CD39">
        <v>975463.14</v>
      </c>
      <c r="CE39">
        <v>965743.54</v>
      </c>
      <c r="CF39">
        <v>9719.6</v>
      </c>
      <c r="CG39">
        <v>0</v>
      </c>
      <c r="CH39">
        <v>1135524.13061456</v>
      </c>
      <c r="CI39">
        <v>359409</v>
      </c>
      <c r="CJ39">
        <v>0</v>
      </c>
      <c r="CK39">
        <v>0</v>
      </c>
      <c r="CL39">
        <v>200115</v>
      </c>
      <c r="CM39">
        <v>56716</v>
      </c>
      <c r="CN39">
        <v>21378</v>
      </c>
      <c r="CO39">
        <v>81200</v>
      </c>
      <c r="CP39">
        <v>135000</v>
      </c>
      <c r="CQ39">
        <v>11091.9428571429</v>
      </c>
      <c r="CR39">
        <v>2334.8</v>
      </c>
      <c r="CS39">
        <v>7650</v>
      </c>
      <c r="CT39">
        <v>0</v>
      </c>
      <c r="CU39">
        <v>250</v>
      </c>
      <c r="CV39">
        <v>0</v>
      </c>
      <c r="CW39">
        <v>0</v>
      </c>
      <c r="CX39">
        <v>857.142857142857</v>
      </c>
      <c r="CY39">
        <v>8452.07690026954</v>
      </c>
      <c r="CZ39">
        <v>5465.5</v>
      </c>
      <c r="DA39">
        <v>0</v>
      </c>
      <c r="DB39">
        <v>414</v>
      </c>
      <c r="DC39">
        <v>47.1428571428571</v>
      </c>
      <c r="DD39">
        <v>0</v>
      </c>
      <c r="DE39">
        <v>0</v>
      </c>
      <c r="DF39">
        <v>2525.43404312668</v>
      </c>
      <c r="DG39">
        <v>0</v>
      </c>
      <c r="DH39" s="3">
        <v>126441</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3212</v>
      </c>
      <c r="EG39">
        <v>0</v>
      </c>
      <c r="EH39">
        <v>3794</v>
      </c>
      <c r="EI39">
        <v>93962.44</v>
      </c>
      <c r="EJ39">
        <v>0</v>
      </c>
      <c r="EK39">
        <v>0</v>
      </c>
      <c r="EL39">
        <v>0</v>
      </c>
      <c r="EM39">
        <v>50369</v>
      </c>
      <c r="EN39">
        <v>36000</v>
      </c>
      <c r="EO39">
        <v>20000</v>
      </c>
      <c r="EP39">
        <v>20000</v>
      </c>
      <c r="EQ39">
        <v>0</v>
      </c>
      <c r="ER39">
        <v>18468</v>
      </c>
      <c r="ES39">
        <v>0</v>
      </c>
      <c r="ET39">
        <v>0</v>
      </c>
      <c r="EU39">
        <v>0</v>
      </c>
      <c r="EV39" s="4">
        <v>60</v>
      </c>
      <c r="EW39">
        <v>0</v>
      </c>
      <c r="EX39">
        <v>0</v>
      </c>
      <c r="EY39" s="4">
        <v>60</v>
      </c>
      <c r="EZ39">
        <v>0</v>
      </c>
      <c r="FA39">
        <v>0</v>
      </c>
      <c r="FB39">
        <v>0</v>
      </c>
      <c r="FC39">
        <v>0</v>
      </c>
      <c r="FD39">
        <v>0</v>
      </c>
      <c r="FE39">
        <v>0</v>
      </c>
      <c r="FF39">
        <v>0</v>
      </c>
      <c r="FG39">
        <v>0</v>
      </c>
      <c r="FH39">
        <v>0</v>
      </c>
      <c r="FI39" s="4">
        <v>95398.05</v>
      </c>
      <c r="FJ39">
        <v>44270.45</v>
      </c>
      <c r="FK39">
        <v>44270.45</v>
      </c>
      <c r="FL39">
        <v>0</v>
      </c>
      <c r="FM39" s="4">
        <v>51557.1428571428</v>
      </c>
      <c r="FN39">
        <v>0</v>
      </c>
      <c r="FO39">
        <v>0</v>
      </c>
      <c r="FP39">
        <v>0</v>
      </c>
      <c r="FQ39">
        <v>0</v>
      </c>
      <c r="FR39">
        <v>51557.1428571428</v>
      </c>
      <c r="FS39">
        <v>0</v>
      </c>
      <c r="FT39">
        <v>20139.104</v>
      </c>
      <c r="FU39">
        <v>50347.76</v>
      </c>
      <c r="FV39">
        <v>7552.164</v>
      </c>
      <c r="FY39">
        <v>2517388</v>
      </c>
      <c r="FZ39">
        <v>3320693.22311456</v>
      </c>
      <c r="GA39">
        <v>620660.6965</v>
      </c>
      <c r="GB39">
        <v>2700032.52661456</v>
      </c>
      <c r="GC39">
        <v>-182644.526614555</v>
      </c>
      <c r="GD39">
        <v>-0.0725531887077221</v>
      </c>
      <c r="GE39">
        <v>-803305.223114555</v>
      </c>
      <c r="GF39">
        <v>-0.319102666380612</v>
      </c>
      <c r="GJ39">
        <v>45377</v>
      </c>
      <c r="GL39">
        <v>45383</v>
      </c>
      <c r="GO39">
        <v>45384</v>
      </c>
      <c r="GR39" t="s">
        <v>694</v>
      </c>
      <c r="GU39" t="s">
        <v>694</v>
      </c>
      <c r="HA39">
        <v>45389</v>
      </c>
      <c r="HB39">
        <v>45395</v>
      </c>
      <c r="HE39">
        <v>38</v>
      </c>
      <c r="HF39">
        <v>9</v>
      </c>
      <c r="HG39">
        <v>14</v>
      </c>
      <c r="HH39">
        <v>15</v>
      </c>
      <c r="HK39">
        <v>61</v>
      </c>
      <c r="HL39">
        <v>13</v>
      </c>
      <c r="HM39">
        <v>34</v>
      </c>
      <c r="HN39">
        <v>0</v>
      </c>
      <c r="HO39">
        <v>0</v>
      </c>
      <c r="HP39">
        <v>0</v>
      </c>
      <c r="HQ39">
        <v>121</v>
      </c>
      <c r="HR39">
        <v>51</v>
      </c>
      <c r="HU39" s="10"/>
    </row>
    <row r="40" spans="1:229">
      <c r="A40" s="1">
        <f t="shared" si="0"/>
        <v>39</v>
      </c>
      <c r="B40" s="2">
        <v>2024</v>
      </c>
      <c r="C40" s="2" t="s">
        <v>47</v>
      </c>
      <c r="D40" s="2" t="s">
        <v>27</v>
      </c>
      <c r="E40" s="9">
        <v>50537</v>
      </c>
      <c r="F40" s="2" t="s">
        <v>736</v>
      </c>
      <c r="G40" s="2" t="s">
        <v>36</v>
      </c>
      <c r="H40" s="2" t="s">
        <v>711</v>
      </c>
      <c r="I40" s="2" t="s">
        <v>755</v>
      </c>
      <c r="J40" t="s">
        <v>320</v>
      </c>
      <c r="K40" t="s">
        <v>730</v>
      </c>
      <c r="L40" t="s">
        <v>32</v>
      </c>
      <c r="M40">
        <v>2</v>
      </c>
      <c r="N40">
        <v>2775</v>
      </c>
      <c r="O40" s="3">
        <v>2775</v>
      </c>
      <c r="P40" s="4">
        <v>8</v>
      </c>
      <c r="Q40" s="4">
        <v>0</v>
      </c>
      <c r="R40" s="4">
        <v>10</v>
      </c>
      <c r="S40" s="4">
        <v>11</v>
      </c>
      <c r="T40" s="4">
        <v>21</v>
      </c>
      <c r="U40" s="4">
        <v>29</v>
      </c>
      <c r="V40" s="4">
        <v>0</v>
      </c>
      <c r="W40" s="4">
        <v>0.7</v>
      </c>
      <c r="X40" s="4">
        <v>0.966666666666667</v>
      </c>
      <c r="Y40" s="3">
        <v>5092666</v>
      </c>
      <c r="Z40">
        <v>-206415.262687245</v>
      </c>
      <c r="AA40">
        <v>5299081.26268725</v>
      </c>
      <c r="AB40">
        <v>844337.403777778</v>
      </c>
      <c r="AC40">
        <v>410833.333333333</v>
      </c>
      <c r="AD40">
        <v>410833.333333333</v>
      </c>
      <c r="AE40">
        <v>0</v>
      </c>
      <c r="AF40">
        <v>26308.6219722222</v>
      </c>
      <c r="AG40">
        <v>26308.6219722222</v>
      </c>
      <c r="AH40">
        <v>0</v>
      </c>
      <c r="AI40">
        <v>10862.1151388889</v>
      </c>
      <c r="AJ40">
        <v>4879.19925</v>
      </c>
      <c r="AK40">
        <v>5982.91588888889</v>
      </c>
      <c r="AL40">
        <v>0</v>
      </c>
      <c r="AM40">
        <v>0</v>
      </c>
      <c r="AN40">
        <v>0</v>
      </c>
      <c r="AO40">
        <v>0</v>
      </c>
      <c r="AP40">
        <v>0</v>
      </c>
      <c r="AQ40">
        <v>0</v>
      </c>
      <c r="AR40">
        <v>0</v>
      </c>
      <c r="AS40">
        <v>0</v>
      </c>
      <c r="AT40">
        <v>0</v>
      </c>
      <c r="AU40">
        <v>0</v>
      </c>
      <c r="AV40">
        <v>0</v>
      </c>
      <c r="AW40">
        <v>0</v>
      </c>
      <c r="AX40">
        <v>0</v>
      </c>
      <c r="AY40">
        <v>396333.333333333</v>
      </c>
      <c r="AZ40">
        <v>4454743.85890947</v>
      </c>
      <c r="BA40">
        <v>1753804.8732428</v>
      </c>
      <c r="BB40">
        <v>51840</v>
      </c>
      <c r="BC40">
        <v>51840</v>
      </c>
      <c r="BD40">
        <v>0</v>
      </c>
      <c r="BE40">
        <v>0</v>
      </c>
      <c r="BF40">
        <v>667583</v>
      </c>
      <c r="BG40">
        <v>667583</v>
      </c>
      <c r="BH40">
        <v>0</v>
      </c>
      <c r="BI40">
        <v>12194.712</v>
      </c>
      <c r="BJ40">
        <v>514657</v>
      </c>
      <c r="BK40">
        <v>0</v>
      </c>
      <c r="BL40">
        <v>0</v>
      </c>
      <c r="BM40">
        <v>0</v>
      </c>
      <c r="BN40">
        <v>177312.1812428</v>
      </c>
      <c r="BO40">
        <v>124425.37</v>
      </c>
      <c r="BP40">
        <v>33600</v>
      </c>
      <c r="BQ40">
        <v>0</v>
      </c>
      <c r="BR40">
        <v>0</v>
      </c>
      <c r="BS40">
        <v>90825.37</v>
      </c>
      <c r="BT40">
        <v>205792.61</v>
      </c>
      <c r="BU40">
        <v>174825</v>
      </c>
      <c r="BV40">
        <v>30967.61</v>
      </c>
      <c r="BW40">
        <v>0</v>
      </c>
      <c r="BX40">
        <v>0</v>
      </c>
      <c r="BY40">
        <v>57194.49</v>
      </c>
      <c r="BZ40">
        <v>57194.49</v>
      </c>
      <c r="CA40">
        <v>22970.05</v>
      </c>
      <c r="CB40">
        <v>2602.83</v>
      </c>
      <c r="CC40">
        <v>31621.61</v>
      </c>
      <c r="CD40">
        <v>0</v>
      </c>
      <c r="CE40">
        <v>0</v>
      </c>
      <c r="CF40">
        <v>0</v>
      </c>
      <c r="CG40">
        <v>0</v>
      </c>
      <c r="CH40">
        <v>2643744.49566667</v>
      </c>
      <c r="CI40">
        <v>357180</v>
      </c>
      <c r="CJ40">
        <v>0</v>
      </c>
      <c r="CK40">
        <v>0</v>
      </c>
      <c r="CL40">
        <v>167416</v>
      </c>
      <c r="CM40">
        <v>70833</v>
      </c>
      <c r="CN40">
        <v>28502</v>
      </c>
      <c r="CO40">
        <v>90429</v>
      </c>
      <c r="CP40">
        <v>319000</v>
      </c>
      <c r="CQ40">
        <v>12865.9</v>
      </c>
      <c r="CR40">
        <v>4085.9</v>
      </c>
      <c r="CS40">
        <v>7830</v>
      </c>
      <c r="CT40">
        <v>0</v>
      </c>
      <c r="CU40">
        <v>350</v>
      </c>
      <c r="CV40">
        <v>0</v>
      </c>
      <c r="CW40">
        <v>0</v>
      </c>
      <c r="CX40">
        <v>600</v>
      </c>
      <c r="CY40">
        <v>8359.713</v>
      </c>
      <c r="CZ40">
        <v>3742.6</v>
      </c>
      <c r="DA40">
        <v>0</v>
      </c>
      <c r="DB40">
        <v>180</v>
      </c>
      <c r="DC40">
        <v>88</v>
      </c>
      <c r="DD40">
        <v>0</v>
      </c>
      <c r="DE40">
        <v>0</v>
      </c>
      <c r="DF40">
        <v>4349.113</v>
      </c>
      <c r="DG40">
        <v>0</v>
      </c>
      <c r="DH40" s="3">
        <v>545891</v>
      </c>
      <c r="DI40">
        <v>0</v>
      </c>
      <c r="DJ40">
        <v>0</v>
      </c>
      <c r="DK40">
        <v>0</v>
      </c>
      <c r="DL40">
        <v>0</v>
      </c>
      <c r="DM40">
        <v>0</v>
      </c>
      <c r="DN40">
        <v>0</v>
      </c>
      <c r="DO40">
        <v>0</v>
      </c>
      <c r="DP40">
        <v>0</v>
      </c>
      <c r="DQ40">
        <v>0</v>
      </c>
      <c r="DR40">
        <v>0</v>
      </c>
      <c r="DS40">
        <v>0</v>
      </c>
      <c r="DT40">
        <v>0</v>
      </c>
      <c r="DU40">
        <v>0</v>
      </c>
      <c r="DV40">
        <v>0</v>
      </c>
      <c r="DW40">
        <v>0</v>
      </c>
      <c r="DX40">
        <v>0</v>
      </c>
      <c r="DY40">
        <v>0</v>
      </c>
      <c r="DZ40">
        <v>67080.25</v>
      </c>
      <c r="EA40">
        <v>0</v>
      </c>
      <c r="EB40">
        <v>0</v>
      </c>
      <c r="EC40">
        <v>0</v>
      </c>
      <c r="ED40">
        <v>67080.25</v>
      </c>
      <c r="EE40">
        <v>0</v>
      </c>
      <c r="EF40">
        <v>17718</v>
      </c>
      <c r="EG40">
        <v>0</v>
      </c>
      <c r="EH40">
        <v>12139</v>
      </c>
      <c r="EI40">
        <v>358876.39</v>
      </c>
      <c r="EJ40">
        <v>0</v>
      </c>
      <c r="EK40">
        <v>0</v>
      </c>
      <c r="EL40">
        <v>0</v>
      </c>
      <c r="EM40">
        <v>50369</v>
      </c>
      <c r="EN40">
        <v>42000</v>
      </c>
      <c r="EO40">
        <v>54669</v>
      </c>
      <c r="EP40">
        <v>54669</v>
      </c>
      <c r="EQ40">
        <v>0</v>
      </c>
      <c r="ER40">
        <v>30537</v>
      </c>
      <c r="ES40">
        <v>0</v>
      </c>
      <c r="ET40">
        <v>0</v>
      </c>
      <c r="EU40">
        <v>0</v>
      </c>
      <c r="EV40" s="4">
        <v>96.6666666666667</v>
      </c>
      <c r="EW40">
        <v>0</v>
      </c>
      <c r="EX40">
        <v>0</v>
      </c>
      <c r="EY40" s="4">
        <v>96.6666666666667</v>
      </c>
      <c r="EZ40">
        <v>0</v>
      </c>
      <c r="FA40">
        <v>0</v>
      </c>
      <c r="FB40">
        <v>0</v>
      </c>
      <c r="FC40">
        <v>0</v>
      </c>
      <c r="FD40">
        <v>0</v>
      </c>
      <c r="FE40">
        <v>0</v>
      </c>
      <c r="FF40">
        <v>0</v>
      </c>
      <c r="FG40">
        <v>0</v>
      </c>
      <c r="FH40">
        <v>0</v>
      </c>
      <c r="FI40" s="4">
        <v>560536.88</v>
      </c>
      <c r="FJ40">
        <v>44270.45</v>
      </c>
      <c r="FK40">
        <v>44270.45</v>
      </c>
      <c r="FL40">
        <v>0</v>
      </c>
      <c r="FM40" s="4">
        <v>4282.6</v>
      </c>
      <c r="FN40">
        <v>0</v>
      </c>
      <c r="FO40">
        <v>0</v>
      </c>
      <c r="FP40">
        <v>0</v>
      </c>
      <c r="FQ40">
        <v>0</v>
      </c>
      <c r="FR40">
        <v>4282.6</v>
      </c>
      <c r="FS40">
        <v>0</v>
      </c>
      <c r="FT40">
        <v>40741.328</v>
      </c>
      <c r="FU40">
        <v>101853.32</v>
      </c>
      <c r="FV40">
        <v>15277.998</v>
      </c>
      <c r="FY40">
        <v>5092666</v>
      </c>
      <c r="FZ40">
        <v>5299081.26268725</v>
      </c>
      <c r="GA40">
        <v>844337.403777778</v>
      </c>
      <c r="GB40">
        <v>4454743.85890947</v>
      </c>
      <c r="GC40">
        <v>637922.141090533</v>
      </c>
      <c r="GD40">
        <v>0.125262905733565</v>
      </c>
      <c r="GE40">
        <v>-206415.262687245</v>
      </c>
      <c r="GF40">
        <v>-0.0405318673337787</v>
      </c>
      <c r="GJ40">
        <v>45473</v>
      </c>
      <c r="GL40">
        <v>45481</v>
      </c>
      <c r="GO40">
        <v>45485</v>
      </c>
      <c r="GR40" t="s">
        <v>694</v>
      </c>
      <c r="GU40" t="s">
        <v>694</v>
      </c>
      <c r="HA40">
        <v>45491</v>
      </c>
      <c r="HB40">
        <v>45502</v>
      </c>
      <c r="HE40">
        <v>39</v>
      </c>
      <c r="HF40">
        <v>6</v>
      </c>
      <c r="HG40">
        <v>11</v>
      </c>
      <c r="HH40">
        <v>22</v>
      </c>
      <c r="HK40">
        <v>75</v>
      </c>
      <c r="HL40">
        <v>15</v>
      </c>
      <c r="HM40">
        <v>77</v>
      </c>
      <c r="HN40">
        <v>0</v>
      </c>
      <c r="HO40">
        <v>0</v>
      </c>
      <c r="HP40">
        <v>0</v>
      </c>
      <c r="HQ40">
        <v>185</v>
      </c>
      <c r="HR40">
        <v>157</v>
      </c>
      <c r="HU40" s="10"/>
    </row>
    <row r="41" spans="1:229">
      <c r="A41" s="1">
        <f t="shared" si="0"/>
        <v>40</v>
      </c>
      <c r="B41" s="2">
        <v>2024</v>
      </c>
      <c r="C41" s="2" t="s">
        <v>695</v>
      </c>
      <c r="D41" s="2" t="s">
        <v>27</v>
      </c>
      <c r="E41" s="9">
        <v>40573</v>
      </c>
      <c r="F41" s="2" t="s">
        <v>725</v>
      </c>
      <c r="G41" s="2" t="s">
        <v>726</v>
      </c>
      <c r="H41" s="2" t="s">
        <v>711</v>
      </c>
      <c r="I41" s="2" t="s">
        <v>756</v>
      </c>
      <c r="J41" t="s">
        <v>317</v>
      </c>
      <c r="K41" t="s">
        <v>41</v>
      </c>
      <c r="L41" t="s">
        <v>32</v>
      </c>
      <c r="M41">
        <v>2</v>
      </c>
      <c r="N41">
        <v>2430</v>
      </c>
      <c r="O41" s="3">
        <v>2468</v>
      </c>
      <c r="P41" s="4">
        <v>5</v>
      </c>
      <c r="Q41" s="4">
        <v>0</v>
      </c>
      <c r="R41" s="4">
        <v>9</v>
      </c>
      <c r="S41" s="4">
        <v>7</v>
      </c>
      <c r="T41" s="4">
        <v>16</v>
      </c>
      <c r="U41" s="4">
        <v>21</v>
      </c>
      <c r="V41" s="4">
        <v>0</v>
      </c>
      <c r="W41" s="4">
        <v>0.533333333333333</v>
      </c>
      <c r="X41" s="4">
        <v>0.7</v>
      </c>
      <c r="Y41" s="3">
        <v>3594798</v>
      </c>
      <c r="Z41">
        <v>-45125.8977499995</v>
      </c>
      <c r="AA41">
        <v>3639923.89775</v>
      </c>
      <c r="AB41">
        <v>523558.613083333</v>
      </c>
      <c r="AC41">
        <v>227500</v>
      </c>
      <c r="AD41">
        <v>227500</v>
      </c>
      <c r="AE41">
        <v>0</v>
      </c>
      <c r="AF41">
        <v>6569.577</v>
      </c>
      <c r="AG41">
        <v>6569.577</v>
      </c>
      <c r="AH41">
        <v>0</v>
      </c>
      <c r="AI41">
        <v>2489.03608333334</v>
      </c>
      <c r="AJ41">
        <v>1782.49516666667</v>
      </c>
      <c r="AK41">
        <v>0</v>
      </c>
      <c r="AL41">
        <v>706.540916666669</v>
      </c>
      <c r="AM41">
        <v>0</v>
      </c>
      <c r="AN41">
        <v>0</v>
      </c>
      <c r="AO41">
        <v>0</v>
      </c>
      <c r="AP41">
        <v>0</v>
      </c>
      <c r="AQ41">
        <v>0</v>
      </c>
      <c r="AR41">
        <v>0</v>
      </c>
      <c r="AS41">
        <v>0</v>
      </c>
      <c r="AT41">
        <v>0</v>
      </c>
      <c r="AU41">
        <v>0</v>
      </c>
      <c r="AV41">
        <v>0</v>
      </c>
      <c r="AW41">
        <v>0</v>
      </c>
      <c r="AX41">
        <v>0</v>
      </c>
      <c r="AY41">
        <v>287000</v>
      </c>
      <c r="AZ41">
        <v>3116365.28466667</v>
      </c>
      <c r="BA41">
        <v>946348.19</v>
      </c>
      <c r="BB41">
        <v>51840</v>
      </c>
      <c r="BC41">
        <v>51840</v>
      </c>
      <c r="BD41">
        <v>0</v>
      </c>
      <c r="BE41">
        <v>0</v>
      </c>
      <c r="BF41">
        <v>218468</v>
      </c>
      <c r="BG41">
        <v>218468</v>
      </c>
      <c r="BH41">
        <v>0</v>
      </c>
      <c r="BI41">
        <v>0</v>
      </c>
      <c r="BJ41">
        <v>382616</v>
      </c>
      <c r="BK41">
        <v>12628.56</v>
      </c>
      <c r="BL41">
        <v>12628.56</v>
      </c>
      <c r="BM41">
        <v>0</v>
      </c>
      <c r="BN41">
        <v>5378.64</v>
      </c>
      <c r="BO41">
        <v>97974.53</v>
      </c>
      <c r="BP41">
        <v>25600</v>
      </c>
      <c r="BQ41">
        <v>0</v>
      </c>
      <c r="BR41">
        <v>0</v>
      </c>
      <c r="BS41">
        <v>72374.53</v>
      </c>
      <c r="BT41">
        <v>177442.46</v>
      </c>
      <c r="BU41">
        <v>155484</v>
      </c>
      <c r="BV41">
        <v>21958.46</v>
      </c>
      <c r="BW41">
        <v>0</v>
      </c>
      <c r="BX41">
        <v>0</v>
      </c>
      <c r="BY41">
        <v>23669.02</v>
      </c>
      <c r="BZ41">
        <v>23669.02</v>
      </c>
      <c r="CA41">
        <v>13627.58</v>
      </c>
      <c r="CB41">
        <v>7612.1</v>
      </c>
      <c r="CC41">
        <v>2429.34</v>
      </c>
      <c r="CD41">
        <v>0</v>
      </c>
      <c r="CE41">
        <v>0</v>
      </c>
      <c r="CF41">
        <v>0</v>
      </c>
      <c r="CG41">
        <v>0</v>
      </c>
      <c r="CH41">
        <v>2146348.07466667</v>
      </c>
      <c r="CI41">
        <v>257357</v>
      </c>
      <c r="CJ41">
        <v>0</v>
      </c>
      <c r="CK41">
        <v>0</v>
      </c>
      <c r="CL41">
        <v>127514</v>
      </c>
      <c r="CM41">
        <v>34671</v>
      </c>
      <c r="CN41">
        <v>20902</v>
      </c>
      <c r="CO41">
        <v>74270</v>
      </c>
      <c r="CP41">
        <v>252000</v>
      </c>
      <c r="CQ41">
        <v>9992.85</v>
      </c>
      <c r="CR41">
        <v>2333.85</v>
      </c>
      <c r="CS41">
        <v>6972</v>
      </c>
      <c r="CT41">
        <v>0</v>
      </c>
      <c r="CU41">
        <v>187</v>
      </c>
      <c r="CV41">
        <v>0</v>
      </c>
      <c r="CW41">
        <v>0</v>
      </c>
      <c r="CX41">
        <v>500</v>
      </c>
      <c r="CY41">
        <v>25855.3866666667</v>
      </c>
      <c r="CZ41">
        <v>23491.5</v>
      </c>
      <c r="DA41">
        <v>0</v>
      </c>
      <c r="DB41">
        <v>200</v>
      </c>
      <c r="DC41">
        <v>82.5</v>
      </c>
      <c r="DD41">
        <v>0</v>
      </c>
      <c r="DE41">
        <v>0</v>
      </c>
      <c r="DF41">
        <v>2081.38666666667</v>
      </c>
      <c r="DG41">
        <v>0</v>
      </c>
      <c r="DH41" s="3">
        <v>269381</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22556</v>
      </c>
      <c r="EG41">
        <v>0</v>
      </c>
      <c r="EH41">
        <v>9104</v>
      </c>
      <c r="EI41">
        <v>335150.83</v>
      </c>
      <c r="EJ41">
        <v>0</v>
      </c>
      <c r="EK41">
        <v>0</v>
      </c>
      <c r="EL41">
        <v>0</v>
      </c>
      <c r="EM41">
        <v>44900</v>
      </c>
      <c r="EN41">
        <v>53800</v>
      </c>
      <c r="EO41">
        <v>23760</v>
      </c>
      <c r="EP41">
        <v>23760</v>
      </c>
      <c r="EQ41">
        <v>0</v>
      </c>
      <c r="ER41">
        <v>20979</v>
      </c>
      <c r="ES41">
        <v>0</v>
      </c>
      <c r="ET41">
        <v>0</v>
      </c>
      <c r="EU41">
        <v>0</v>
      </c>
      <c r="EV41" s="4">
        <v>70</v>
      </c>
      <c r="EW41">
        <v>0</v>
      </c>
      <c r="EX41">
        <v>0</v>
      </c>
      <c r="EY41" s="4">
        <v>70</v>
      </c>
      <c r="EZ41">
        <v>0</v>
      </c>
      <c r="FA41">
        <v>0</v>
      </c>
      <c r="FB41">
        <v>0</v>
      </c>
      <c r="FC41">
        <v>0</v>
      </c>
      <c r="FD41">
        <v>0</v>
      </c>
      <c r="FE41">
        <v>0</v>
      </c>
      <c r="FF41">
        <v>0</v>
      </c>
      <c r="FG41">
        <v>0</v>
      </c>
      <c r="FH41">
        <v>0</v>
      </c>
      <c r="FI41" s="4">
        <v>662920.32</v>
      </c>
      <c r="FJ41">
        <v>44270.45</v>
      </c>
      <c r="FK41">
        <v>44270.45</v>
      </c>
      <c r="FL41">
        <v>0</v>
      </c>
      <c r="FM41" s="4">
        <v>2812.5</v>
      </c>
      <c r="FN41">
        <v>0</v>
      </c>
      <c r="FO41">
        <v>0</v>
      </c>
      <c r="FP41">
        <v>0</v>
      </c>
      <c r="FQ41">
        <v>0</v>
      </c>
      <c r="FR41">
        <v>2812.5</v>
      </c>
      <c r="FS41">
        <v>0</v>
      </c>
      <c r="FT41">
        <v>28758.384</v>
      </c>
      <c r="FU41">
        <v>71895.96</v>
      </c>
      <c r="FV41">
        <v>10784.394</v>
      </c>
      <c r="FY41">
        <v>3594798</v>
      </c>
      <c r="FZ41">
        <v>3639923.89775</v>
      </c>
      <c r="GA41">
        <v>523558.613083333</v>
      </c>
      <c r="GB41">
        <v>3116365.28466667</v>
      </c>
      <c r="GC41">
        <v>478432.715333333</v>
      </c>
      <c r="GD41">
        <v>0.133090291953354</v>
      </c>
      <c r="GE41">
        <v>-45125.8977499995</v>
      </c>
      <c r="GF41">
        <v>-0.0125531108423893</v>
      </c>
      <c r="GJ41">
        <v>45586</v>
      </c>
      <c r="GL41">
        <v>45591</v>
      </c>
      <c r="GO41">
        <v>45594</v>
      </c>
      <c r="GR41" t="s">
        <v>694</v>
      </c>
      <c r="GU41" t="s">
        <v>694</v>
      </c>
      <c r="HA41">
        <v>45600</v>
      </c>
      <c r="HB41">
        <v>45607</v>
      </c>
      <c r="HE41">
        <v>37</v>
      </c>
      <c r="HF41">
        <v>4</v>
      </c>
      <c r="HG41">
        <v>9</v>
      </c>
      <c r="HH41">
        <v>24</v>
      </c>
      <c r="HK41">
        <v>92</v>
      </c>
      <c r="HL41">
        <v>16</v>
      </c>
      <c r="HM41">
        <v>20</v>
      </c>
      <c r="HN41">
        <v>3</v>
      </c>
      <c r="HO41">
        <v>0</v>
      </c>
      <c r="HP41">
        <v>16</v>
      </c>
      <c r="HQ41">
        <v>146</v>
      </c>
      <c r="HR41">
        <v>74</v>
      </c>
      <c r="HU41" s="10"/>
    </row>
    <row r="42" spans="1:229">
      <c r="A42" s="1">
        <f t="shared" si="0"/>
        <v>41</v>
      </c>
      <c r="B42" s="2">
        <v>2024</v>
      </c>
      <c r="C42" s="2" t="s">
        <v>26</v>
      </c>
      <c r="D42" s="2" t="s">
        <v>27</v>
      </c>
      <c r="E42" s="9">
        <v>40573</v>
      </c>
      <c r="F42" s="2" t="s">
        <v>725</v>
      </c>
      <c r="G42" s="2" t="s">
        <v>726</v>
      </c>
      <c r="H42" s="2" t="s">
        <v>711</v>
      </c>
      <c r="I42" s="1" t="s">
        <v>757</v>
      </c>
      <c r="J42" t="s">
        <v>311</v>
      </c>
      <c r="K42" t="s">
        <v>41</v>
      </c>
      <c r="L42" t="s">
        <v>32</v>
      </c>
      <c r="M42">
        <v>2</v>
      </c>
      <c r="N42">
        <v>1449</v>
      </c>
      <c r="O42" s="3">
        <v>1449</v>
      </c>
      <c r="P42" s="4">
        <v>8</v>
      </c>
      <c r="Q42" s="4">
        <v>0</v>
      </c>
      <c r="R42" s="4">
        <v>6</v>
      </c>
      <c r="S42" s="4">
        <v>5</v>
      </c>
      <c r="T42" s="4">
        <v>11</v>
      </c>
      <c r="U42" s="4">
        <v>19</v>
      </c>
      <c r="V42" s="4">
        <v>0</v>
      </c>
      <c r="W42" s="4">
        <v>0.366666666666667</v>
      </c>
      <c r="X42" s="4">
        <v>0.633333333333333</v>
      </c>
      <c r="Y42" s="3">
        <v>2964016</v>
      </c>
      <c r="Z42">
        <v>-275051.214027777</v>
      </c>
      <c r="AA42">
        <v>3239067.21402778</v>
      </c>
      <c r="AB42">
        <v>473695.888027777</v>
      </c>
      <c r="AC42">
        <v>205833.333333333</v>
      </c>
      <c r="AD42">
        <v>205833.333333333</v>
      </c>
      <c r="AE42">
        <v>0</v>
      </c>
      <c r="AF42">
        <v>5943.903</v>
      </c>
      <c r="AG42">
        <v>5943.903</v>
      </c>
      <c r="AH42">
        <v>0</v>
      </c>
      <c r="AI42">
        <v>2251.98502777778</v>
      </c>
      <c r="AJ42">
        <v>1612.73372222222</v>
      </c>
      <c r="AK42">
        <v>0</v>
      </c>
      <c r="AL42">
        <v>639.251305555558</v>
      </c>
      <c r="AM42">
        <v>0</v>
      </c>
      <c r="AN42">
        <v>0</v>
      </c>
      <c r="AO42">
        <v>0</v>
      </c>
      <c r="AP42">
        <v>0</v>
      </c>
      <c r="AQ42">
        <v>0</v>
      </c>
      <c r="AR42">
        <v>0</v>
      </c>
      <c r="AS42">
        <v>0</v>
      </c>
      <c r="AT42">
        <v>0</v>
      </c>
      <c r="AU42">
        <v>0</v>
      </c>
      <c r="AV42">
        <v>0</v>
      </c>
      <c r="AW42">
        <v>0</v>
      </c>
      <c r="AX42">
        <v>0</v>
      </c>
      <c r="AY42">
        <v>259666.666666667</v>
      </c>
      <c r="AZ42">
        <v>2765371.326</v>
      </c>
      <c r="BA42">
        <v>754885.73</v>
      </c>
      <c r="BB42">
        <v>51840</v>
      </c>
      <c r="BC42">
        <v>51840</v>
      </c>
      <c r="BD42">
        <v>0</v>
      </c>
      <c r="BE42">
        <v>0</v>
      </c>
      <c r="BF42">
        <v>214318</v>
      </c>
      <c r="BG42">
        <v>214318</v>
      </c>
      <c r="BH42">
        <v>0</v>
      </c>
      <c r="BI42">
        <v>0</v>
      </c>
      <c r="BJ42">
        <v>304941</v>
      </c>
      <c r="BK42">
        <v>0</v>
      </c>
      <c r="BL42">
        <v>0</v>
      </c>
      <c r="BM42">
        <v>0</v>
      </c>
      <c r="BN42">
        <v>1392.17</v>
      </c>
      <c r="BO42">
        <v>92812.68</v>
      </c>
      <c r="BP42">
        <v>17600</v>
      </c>
      <c r="BQ42">
        <v>0</v>
      </c>
      <c r="BR42">
        <v>0</v>
      </c>
      <c r="BS42">
        <v>75212.68</v>
      </c>
      <c r="BT42">
        <v>89581.88</v>
      </c>
      <c r="BU42">
        <v>78246</v>
      </c>
      <c r="BV42">
        <v>11335.88</v>
      </c>
      <c r="BW42">
        <v>0</v>
      </c>
      <c r="BX42">
        <v>0</v>
      </c>
      <c r="BY42">
        <v>8684.35</v>
      </c>
      <c r="BZ42">
        <v>8684.35</v>
      </c>
      <c r="CA42">
        <v>768.54</v>
      </c>
      <c r="CB42">
        <v>7679.53</v>
      </c>
      <c r="CC42">
        <v>236.28</v>
      </c>
      <c r="CD42">
        <v>0</v>
      </c>
      <c r="CE42">
        <v>0</v>
      </c>
      <c r="CF42">
        <v>0</v>
      </c>
      <c r="CG42">
        <v>0</v>
      </c>
      <c r="CH42">
        <v>2001801.246</v>
      </c>
      <c r="CI42">
        <v>127998</v>
      </c>
      <c r="CJ42">
        <v>0</v>
      </c>
      <c r="CK42">
        <v>0</v>
      </c>
      <c r="CL42">
        <v>66532</v>
      </c>
      <c r="CM42">
        <v>36220</v>
      </c>
      <c r="CN42">
        <v>2138</v>
      </c>
      <c r="CO42">
        <v>23108</v>
      </c>
      <c r="CP42">
        <v>247000</v>
      </c>
      <c r="CQ42">
        <v>4152.55</v>
      </c>
      <c r="CR42">
        <v>2132.33</v>
      </c>
      <c r="CS42">
        <v>1333.22</v>
      </c>
      <c r="CT42">
        <v>0</v>
      </c>
      <c r="CU42">
        <v>187</v>
      </c>
      <c r="CV42">
        <v>0</v>
      </c>
      <c r="CW42">
        <v>0</v>
      </c>
      <c r="CX42">
        <v>500</v>
      </c>
      <c r="CY42">
        <v>25859.3866666667</v>
      </c>
      <c r="CZ42">
        <v>23492.5</v>
      </c>
      <c r="DA42">
        <v>0</v>
      </c>
      <c r="DB42">
        <v>201</v>
      </c>
      <c r="DC42">
        <v>83.5</v>
      </c>
      <c r="DD42">
        <v>0</v>
      </c>
      <c r="DE42">
        <v>0</v>
      </c>
      <c r="DF42">
        <v>2082.38666666667</v>
      </c>
      <c r="DG42">
        <v>0</v>
      </c>
      <c r="DH42" s="3">
        <v>172261</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16757</v>
      </c>
      <c r="EG42">
        <v>0</v>
      </c>
      <c r="EH42">
        <v>7493</v>
      </c>
      <c r="EI42">
        <v>605710.31</v>
      </c>
      <c r="EJ42">
        <v>0</v>
      </c>
      <c r="EK42">
        <v>0</v>
      </c>
      <c r="EL42">
        <v>0</v>
      </c>
      <c r="EM42">
        <v>50293</v>
      </c>
      <c r="EN42">
        <v>94224</v>
      </c>
      <c r="EO42">
        <v>6636</v>
      </c>
      <c r="EP42">
        <v>0</v>
      </c>
      <c r="EQ42">
        <v>6636</v>
      </c>
      <c r="ER42">
        <v>20007</v>
      </c>
      <c r="ES42">
        <v>0</v>
      </c>
      <c r="ET42">
        <v>0</v>
      </c>
      <c r="EU42">
        <v>2520</v>
      </c>
      <c r="EV42" s="4">
        <v>63.3333333333333</v>
      </c>
      <c r="EW42">
        <v>0</v>
      </c>
      <c r="EX42">
        <v>0</v>
      </c>
      <c r="EY42" s="4">
        <v>63.3333333333333</v>
      </c>
      <c r="EZ42">
        <v>0</v>
      </c>
      <c r="FA42">
        <v>0</v>
      </c>
      <c r="FB42">
        <v>0</v>
      </c>
      <c r="FC42">
        <v>0</v>
      </c>
      <c r="FD42">
        <v>0</v>
      </c>
      <c r="FE42">
        <v>0</v>
      </c>
      <c r="FF42">
        <v>0</v>
      </c>
      <c r="FG42">
        <v>0</v>
      </c>
      <c r="FH42">
        <v>0</v>
      </c>
      <c r="FI42" s="4">
        <v>484917.63</v>
      </c>
      <c r="FJ42">
        <v>41212.04</v>
      </c>
      <c r="FK42">
        <v>41212.04</v>
      </c>
      <c r="FL42">
        <v>0</v>
      </c>
      <c r="FM42" s="4">
        <v>2812.5</v>
      </c>
      <c r="FN42">
        <v>0</v>
      </c>
      <c r="FO42">
        <v>0</v>
      </c>
      <c r="FP42">
        <v>0</v>
      </c>
      <c r="FQ42">
        <v>0</v>
      </c>
      <c r="FR42">
        <v>2812.5</v>
      </c>
      <c r="FS42">
        <v>0</v>
      </c>
      <c r="FT42">
        <v>23712.128</v>
      </c>
      <c r="FU42">
        <v>59280.32</v>
      </c>
      <c r="FV42">
        <v>8892.048</v>
      </c>
      <c r="FY42">
        <v>2964016</v>
      </c>
      <c r="FZ42">
        <v>3239067.21402778</v>
      </c>
      <c r="GA42">
        <v>473695.888027777</v>
      </c>
      <c r="GB42">
        <v>2765371.326</v>
      </c>
      <c r="GC42">
        <v>198644.674</v>
      </c>
      <c r="GD42">
        <v>0.0670187590080486</v>
      </c>
      <c r="GE42">
        <v>-275051.214027777</v>
      </c>
      <c r="GF42">
        <v>-0.0927968047499665</v>
      </c>
      <c r="GJ42">
        <v>45281</v>
      </c>
      <c r="GL42">
        <v>45289</v>
      </c>
      <c r="GO42">
        <v>45291</v>
      </c>
      <c r="GR42" t="s">
        <v>694</v>
      </c>
      <c r="GU42" t="s">
        <v>694</v>
      </c>
      <c r="HA42">
        <v>45295</v>
      </c>
      <c r="HB42">
        <v>45300</v>
      </c>
      <c r="HE42">
        <v>39</v>
      </c>
      <c r="HF42">
        <v>4</v>
      </c>
      <c r="HG42">
        <v>9</v>
      </c>
      <c r="HH42">
        <v>26</v>
      </c>
      <c r="HK42">
        <v>65</v>
      </c>
      <c r="HL42">
        <v>49</v>
      </c>
      <c r="HM42">
        <v>34</v>
      </c>
      <c r="HN42">
        <v>0</v>
      </c>
      <c r="HO42">
        <v>0</v>
      </c>
      <c r="HP42">
        <v>0</v>
      </c>
      <c r="HQ42">
        <v>100</v>
      </c>
      <c r="HR42">
        <v>27</v>
      </c>
      <c r="HU42" s="10"/>
    </row>
    <row r="43" spans="1:229">
      <c r="A43" s="1">
        <f t="shared" si="0"/>
        <v>42</v>
      </c>
      <c r="B43" s="2">
        <v>2024</v>
      </c>
      <c r="C43" s="2" t="s">
        <v>39</v>
      </c>
      <c r="D43" s="2" t="s">
        <v>27</v>
      </c>
      <c r="E43" s="9">
        <v>40573</v>
      </c>
      <c r="F43" s="2" t="s">
        <v>725</v>
      </c>
      <c r="G43" s="2" t="s">
        <v>726</v>
      </c>
      <c r="H43" s="2" t="s">
        <v>711</v>
      </c>
      <c r="I43" s="1" t="s">
        <v>758</v>
      </c>
      <c r="J43" t="s">
        <v>311</v>
      </c>
      <c r="K43" t="s">
        <v>41</v>
      </c>
      <c r="L43" t="s">
        <v>32</v>
      </c>
      <c r="M43">
        <v>2</v>
      </c>
      <c r="N43">
        <v>1557</v>
      </c>
      <c r="O43" s="3">
        <v>1562</v>
      </c>
      <c r="P43" s="4">
        <v>4</v>
      </c>
      <c r="Q43" s="4">
        <v>0</v>
      </c>
      <c r="R43" s="4">
        <v>5</v>
      </c>
      <c r="S43" s="4">
        <v>6</v>
      </c>
      <c r="T43" s="4">
        <v>11</v>
      </c>
      <c r="U43" s="4">
        <v>15</v>
      </c>
      <c r="V43" s="4">
        <v>0</v>
      </c>
      <c r="W43" s="4">
        <v>0.366666666666667</v>
      </c>
      <c r="X43" s="4">
        <v>0.5</v>
      </c>
      <c r="Y43" s="3">
        <v>3040378</v>
      </c>
      <c r="Z43">
        <v>93828.4254166661</v>
      </c>
      <c r="AA43">
        <v>2946549.57458333</v>
      </c>
      <c r="AB43">
        <v>373970.437916667</v>
      </c>
      <c r="AC43">
        <v>162500</v>
      </c>
      <c r="AD43">
        <v>162500</v>
      </c>
      <c r="AE43">
        <v>0</v>
      </c>
      <c r="AF43">
        <v>4692.555</v>
      </c>
      <c r="AG43">
        <v>4692.555</v>
      </c>
      <c r="AH43">
        <v>0</v>
      </c>
      <c r="AI43">
        <v>1777.88291666666</v>
      </c>
      <c r="AJ43">
        <v>1273.21083333333</v>
      </c>
      <c r="AK43">
        <v>0</v>
      </c>
      <c r="AL43">
        <v>504.672083333335</v>
      </c>
      <c r="AM43">
        <v>0</v>
      </c>
      <c r="AN43">
        <v>0</v>
      </c>
      <c r="AO43">
        <v>0</v>
      </c>
      <c r="AP43">
        <v>0</v>
      </c>
      <c r="AQ43">
        <v>0</v>
      </c>
      <c r="AR43">
        <v>0</v>
      </c>
      <c r="AS43">
        <v>0</v>
      </c>
      <c r="AT43">
        <v>0</v>
      </c>
      <c r="AU43">
        <v>0</v>
      </c>
      <c r="AV43">
        <v>0</v>
      </c>
      <c r="AW43">
        <v>0</v>
      </c>
      <c r="AX43">
        <v>0</v>
      </c>
      <c r="AY43">
        <v>205000</v>
      </c>
      <c r="AZ43">
        <v>2572579.13666667</v>
      </c>
      <c r="BA43">
        <v>723320.56</v>
      </c>
      <c r="BB43">
        <v>62640</v>
      </c>
      <c r="BC43">
        <v>62640</v>
      </c>
      <c r="BD43">
        <v>0</v>
      </c>
      <c r="BE43">
        <v>0</v>
      </c>
      <c r="BF43">
        <v>215626</v>
      </c>
      <c r="BG43">
        <v>215626</v>
      </c>
      <c r="BH43">
        <v>0</v>
      </c>
      <c r="BI43">
        <v>0</v>
      </c>
      <c r="BJ43">
        <v>210418</v>
      </c>
      <c r="BK43">
        <v>0</v>
      </c>
      <c r="BL43">
        <v>0</v>
      </c>
      <c r="BM43">
        <v>0</v>
      </c>
      <c r="BN43">
        <v>49390.05</v>
      </c>
      <c r="BO43">
        <v>90006.11</v>
      </c>
      <c r="BP43">
        <v>17600</v>
      </c>
      <c r="BQ43">
        <v>0</v>
      </c>
      <c r="BR43">
        <v>0</v>
      </c>
      <c r="BS43">
        <v>72406.11</v>
      </c>
      <c r="BT43">
        <v>95240.4</v>
      </c>
      <c r="BU43">
        <v>84348</v>
      </c>
      <c r="BV43">
        <v>10892.4</v>
      </c>
      <c r="BW43">
        <v>0</v>
      </c>
      <c r="BX43">
        <v>0</v>
      </c>
      <c r="BY43">
        <v>243.5</v>
      </c>
      <c r="BZ43">
        <v>243.5</v>
      </c>
      <c r="CA43">
        <v>0</v>
      </c>
      <c r="CB43">
        <v>107.5</v>
      </c>
      <c r="CC43">
        <v>136</v>
      </c>
      <c r="CD43">
        <v>0</v>
      </c>
      <c r="CE43">
        <v>0</v>
      </c>
      <c r="CF43">
        <v>0</v>
      </c>
      <c r="CG43">
        <v>0</v>
      </c>
      <c r="CH43">
        <v>1849015.07666667</v>
      </c>
      <c r="CI43">
        <v>162571</v>
      </c>
      <c r="CJ43">
        <v>0</v>
      </c>
      <c r="CK43">
        <v>0</v>
      </c>
      <c r="CL43">
        <v>71996</v>
      </c>
      <c r="CM43">
        <v>32233</v>
      </c>
      <c r="CN43">
        <v>5465</v>
      </c>
      <c r="CO43">
        <v>52877</v>
      </c>
      <c r="CP43">
        <v>180000</v>
      </c>
      <c r="CQ43">
        <v>5078.392</v>
      </c>
      <c r="CR43">
        <v>3045.492</v>
      </c>
      <c r="CS43">
        <v>1345.9</v>
      </c>
      <c r="CT43">
        <v>0</v>
      </c>
      <c r="CU43">
        <v>187</v>
      </c>
      <c r="CV43">
        <v>0</v>
      </c>
      <c r="CW43">
        <v>0</v>
      </c>
      <c r="CX43">
        <v>500</v>
      </c>
      <c r="CY43">
        <v>25863.3866666667</v>
      </c>
      <c r="CZ43">
        <v>23493.5</v>
      </c>
      <c r="DA43">
        <v>0</v>
      </c>
      <c r="DB43">
        <v>202</v>
      </c>
      <c r="DC43">
        <v>84.5</v>
      </c>
      <c r="DD43">
        <v>0</v>
      </c>
      <c r="DE43">
        <v>0</v>
      </c>
      <c r="DF43">
        <v>2083.38666666667</v>
      </c>
      <c r="DG43">
        <v>0</v>
      </c>
      <c r="DH43" s="3">
        <v>240759</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16344</v>
      </c>
      <c r="EG43">
        <v>0</v>
      </c>
      <c r="EH43">
        <v>5311</v>
      </c>
      <c r="EI43">
        <v>407155.39</v>
      </c>
      <c r="EJ43">
        <v>0</v>
      </c>
      <c r="EK43">
        <v>0</v>
      </c>
      <c r="EL43">
        <v>0</v>
      </c>
      <c r="EM43">
        <v>45835</v>
      </c>
      <c r="EN43">
        <v>34400</v>
      </c>
      <c r="EO43">
        <v>6991.5</v>
      </c>
      <c r="EP43">
        <v>0</v>
      </c>
      <c r="EQ43">
        <v>6991.5</v>
      </c>
      <c r="ER43">
        <v>14985</v>
      </c>
      <c r="ES43">
        <v>0</v>
      </c>
      <c r="ET43">
        <v>0</v>
      </c>
      <c r="EU43">
        <v>0</v>
      </c>
      <c r="EV43" s="4">
        <v>50</v>
      </c>
      <c r="EW43">
        <v>0</v>
      </c>
      <c r="EX43">
        <v>0</v>
      </c>
      <c r="EY43" s="4">
        <v>50</v>
      </c>
      <c r="EZ43">
        <v>0</v>
      </c>
      <c r="FA43">
        <v>0</v>
      </c>
      <c r="FB43">
        <v>0</v>
      </c>
      <c r="FC43">
        <v>0</v>
      </c>
      <c r="FD43">
        <v>0</v>
      </c>
      <c r="FE43">
        <v>0</v>
      </c>
      <c r="FF43">
        <v>0</v>
      </c>
      <c r="FG43">
        <v>0</v>
      </c>
      <c r="FH43">
        <v>0</v>
      </c>
      <c r="FI43" s="4">
        <v>562336.74</v>
      </c>
      <c r="FJ43">
        <v>44270.45</v>
      </c>
      <c r="FK43">
        <v>44270.45</v>
      </c>
      <c r="FL43">
        <v>0</v>
      </c>
      <c r="FM43" s="4">
        <v>2812.5</v>
      </c>
      <c r="FN43">
        <v>0</v>
      </c>
      <c r="FO43">
        <v>0</v>
      </c>
      <c r="FP43">
        <v>0</v>
      </c>
      <c r="FQ43">
        <v>0</v>
      </c>
      <c r="FR43">
        <v>2812.5</v>
      </c>
      <c r="FS43">
        <v>0</v>
      </c>
      <c r="FT43">
        <v>24323.024</v>
      </c>
      <c r="FU43">
        <v>60807.56</v>
      </c>
      <c r="FV43">
        <v>9121.134</v>
      </c>
      <c r="FY43">
        <v>3040378</v>
      </c>
      <c r="FZ43">
        <v>2946549.57458333</v>
      </c>
      <c r="GA43">
        <v>373970.437916667</v>
      </c>
      <c r="GB43">
        <v>2572579.13666667</v>
      </c>
      <c r="GC43">
        <v>467798.863333333</v>
      </c>
      <c r="GD43">
        <v>0.153862073509719</v>
      </c>
      <c r="GE43">
        <v>93828.4254166661</v>
      </c>
      <c r="GF43">
        <v>0.0308607763300044</v>
      </c>
      <c r="GJ43">
        <v>45408</v>
      </c>
      <c r="GL43">
        <v>45412</v>
      </c>
      <c r="GO43">
        <v>45414</v>
      </c>
      <c r="GR43" t="s">
        <v>694</v>
      </c>
      <c r="GU43" t="s">
        <v>694</v>
      </c>
      <c r="HA43">
        <v>45417</v>
      </c>
      <c r="HB43">
        <v>45423</v>
      </c>
      <c r="HE43">
        <v>37</v>
      </c>
      <c r="HF43">
        <v>4</v>
      </c>
      <c r="HG43">
        <v>9</v>
      </c>
      <c r="HH43">
        <v>24</v>
      </c>
      <c r="HK43">
        <v>52</v>
      </c>
      <c r="HL43">
        <v>35</v>
      </c>
      <c r="HM43">
        <v>29</v>
      </c>
      <c r="HN43">
        <v>0</v>
      </c>
      <c r="HO43">
        <v>0</v>
      </c>
      <c r="HP43">
        <v>0</v>
      </c>
      <c r="HQ43">
        <v>92</v>
      </c>
      <c r="HR43">
        <v>73</v>
      </c>
      <c r="HU43" s="10"/>
    </row>
    <row r="44" spans="1:229">
      <c r="A44" s="1">
        <f t="shared" si="0"/>
        <v>43</v>
      </c>
      <c r="B44" s="2">
        <v>2024</v>
      </c>
      <c r="C44" s="2" t="s">
        <v>33</v>
      </c>
      <c r="D44" s="2" t="s">
        <v>27</v>
      </c>
      <c r="E44" s="9">
        <v>40573</v>
      </c>
      <c r="F44" s="2" t="s">
        <v>725</v>
      </c>
      <c r="G44" s="2" t="s">
        <v>726</v>
      </c>
      <c r="H44" s="2" t="s">
        <v>759</v>
      </c>
      <c r="I44" s="1" t="s">
        <v>760</v>
      </c>
      <c r="J44" t="s">
        <v>311</v>
      </c>
      <c r="K44" t="s">
        <v>31</v>
      </c>
      <c r="L44" t="s">
        <v>32</v>
      </c>
      <c r="M44">
        <v>2</v>
      </c>
      <c r="N44">
        <v>1572</v>
      </c>
      <c r="O44" s="3">
        <v>1610</v>
      </c>
      <c r="P44" s="4">
        <v>5</v>
      </c>
      <c r="Q44" s="4">
        <v>0</v>
      </c>
      <c r="R44" s="4">
        <v>14</v>
      </c>
      <c r="S44" s="4">
        <v>4</v>
      </c>
      <c r="T44" s="4">
        <v>18</v>
      </c>
      <c r="U44" s="4">
        <v>23</v>
      </c>
      <c r="V44" s="4">
        <v>0</v>
      </c>
      <c r="W44" s="4">
        <v>0.6</v>
      </c>
      <c r="X44" s="4">
        <v>0.766666666666667</v>
      </c>
      <c r="Y44" s="3">
        <v>3172278</v>
      </c>
      <c r="Z44">
        <v>-196980.485472222</v>
      </c>
      <c r="AA44">
        <v>3369258.48547222</v>
      </c>
      <c r="AB44">
        <v>573421.338138889</v>
      </c>
      <c r="AC44">
        <v>249166.666666667</v>
      </c>
      <c r="AD44">
        <v>249166.666666667</v>
      </c>
      <c r="AE44">
        <v>0</v>
      </c>
      <c r="AF44">
        <v>7195.251</v>
      </c>
      <c r="AG44">
        <v>7195.251</v>
      </c>
      <c r="AH44">
        <v>0</v>
      </c>
      <c r="AI44">
        <v>2726.08713888889</v>
      </c>
      <c r="AJ44">
        <v>1952.25661111111</v>
      </c>
      <c r="AK44">
        <v>0</v>
      </c>
      <c r="AL44">
        <v>773.83052777778</v>
      </c>
      <c r="AM44">
        <v>0</v>
      </c>
      <c r="AN44">
        <v>0</v>
      </c>
      <c r="AO44">
        <v>0</v>
      </c>
      <c r="AP44">
        <v>0</v>
      </c>
      <c r="AQ44">
        <v>0</v>
      </c>
      <c r="AR44">
        <v>0</v>
      </c>
      <c r="AS44">
        <v>0</v>
      </c>
      <c r="AT44">
        <v>0</v>
      </c>
      <c r="AU44">
        <v>0</v>
      </c>
      <c r="AV44">
        <v>0</v>
      </c>
      <c r="AW44">
        <v>0</v>
      </c>
      <c r="AX44">
        <v>0</v>
      </c>
      <c r="AY44">
        <v>314333.333333333</v>
      </c>
      <c r="AZ44">
        <v>2795837.14733333</v>
      </c>
      <c r="BA44">
        <v>848102.176</v>
      </c>
      <c r="BB44">
        <v>51840</v>
      </c>
      <c r="BC44">
        <v>51840</v>
      </c>
      <c r="BD44">
        <v>0</v>
      </c>
      <c r="BE44">
        <v>0</v>
      </c>
      <c r="BF44">
        <v>251845</v>
      </c>
      <c r="BG44">
        <v>251845</v>
      </c>
      <c r="BH44">
        <v>0</v>
      </c>
      <c r="BI44">
        <v>6897.852</v>
      </c>
      <c r="BJ44">
        <v>312767</v>
      </c>
      <c r="BK44">
        <v>0</v>
      </c>
      <c r="BL44">
        <v>0</v>
      </c>
      <c r="BM44">
        <v>0</v>
      </c>
      <c r="BN44">
        <v>19261.484</v>
      </c>
      <c r="BO44">
        <v>110310.51</v>
      </c>
      <c r="BP44">
        <v>28800</v>
      </c>
      <c r="BQ44">
        <v>0</v>
      </c>
      <c r="BR44">
        <v>0</v>
      </c>
      <c r="BS44">
        <v>81510.51</v>
      </c>
      <c r="BT44">
        <v>95180.33</v>
      </c>
      <c r="BU44">
        <v>86940</v>
      </c>
      <c r="BV44">
        <v>8240.33</v>
      </c>
      <c r="BW44">
        <v>0</v>
      </c>
      <c r="BX44">
        <v>0</v>
      </c>
      <c r="BY44">
        <v>2991.95</v>
      </c>
      <c r="BZ44">
        <v>2991.95</v>
      </c>
      <c r="CA44">
        <v>0</v>
      </c>
      <c r="CB44">
        <v>736.55</v>
      </c>
      <c r="CC44">
        <v>2255.4</v>
      </c>
      <c r="CD44">
        <v>0</v>
      </c>
      <c r="CE44">
        <v>0</v>
      </c>
      <c r="CF44">
        <v>0</v>
      </c>
      <c r="CG44">
        <v>0</v>
      </c>
      <c r="CH44">
        <v>1944743.02133333</v>
      </c>
      <c r="CI44">
        <v>132865</v>
      </c>
      <c r="CJ44">
        <v>0</v>
      </c>
      <c r="CK44">
        <v>0</v>
      </c>
      <c r="CL44">
        <v>71760</v>
      </c>
      <c r="CM44">
        <v>31379</v>
      </c>
      <c r="CN44">
        <v>2614</v>
      </c>
      <c r="CO44">
        <v>27112</v>
      </c>
      <c r="CP44">
        <v>287500</v>
      </c>
      <c r="CQ44">
        <v>11735.19</v>
      </c>
      <c r="CR44">
        <v>3198.49</v>
      </c>
      <c r="CS44">
        <v>7849.7</v>
      </c>
      <c r="CT44">
        <v>0</v>
      </c>
      <c r="CU44">
        <v>187</v>
      </c>
      <c r="CV44">
        <v>0</v>
      </c>
      <c r="CW44">
        <v>0</v>
      </c>
      <c r="CX44">
        <v>500</v>
      </c>
      <c r="CY44">
        <v>25867.3866666667</v>
      </c>
      <c r="CZ44">
        <v>23494.5</v>
      </c>
      <c r="DA44">
        <v>0</v>
      </c>
      <c r="DB44">
        <v>203</v>
      </c>
      <c r="DC44">
        <v>85.5</v>
      </c>
      <c r="DD44">
        <v>0</v>
      </c>
      <c r="DE44">
        <v>0</v>
      </c>
      <c r="DF44">
        <v>2084.38666666667</v>
      </c>
      <c r="DG44">
        <v>0</v>
      </c>
      <c r="DH44" s="3">
        <v>246463</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16801</v>
      </c>
      <c r="EG44">
        <v>0</v>
      </c>
      <c r="EH44">
        <v>5311</v>
      </c>
      <c r="EI44">
        <v>423837.88</v>
      </c>
      <c r="EJ44">
        <v>0</v>
      </c>
      <c r="EK44">
        <v>0</v>
      </c>
      <c r="EL44">
        <v>0</v>
      </c>
      <c r="EM44">
        <v>45835</v>
      </c>
      <c r="EN44">
        <v>45000</v>
      </c>
      <c r="EO44">
        <v>6636</v>
      </c>
      <c r="EP44">
        <v>0</v>
      </c>
      <c r="EQ44">
        <v>6636</v>
      </c>
      <c r="ER44">
        <v>23598</v>
      </c>
      <c r="ES44">
        <v>0</v>
      </c>
      <c r="ET44">
        <v>0</v>
      </c>
      <c r="EU44">
        <v>4380</v>
      </c>
      <c r="EV44" s="4">
        <v>76.6666666666667</v>
      </c>
      <c r="EW44">
        <v>0</v>
      </c>
      <c r="EX44">
        <v>0</v>
      </c>
      <c r="EY44" s="4">
        <v>76.6666666666667</v>
      </c>
      <c r="EZ44">
        <v>0</v>
      </c>
      <c r="FA44">
        <v>0</v>
      </c>
      <c r="FB44">
        <v>0</v>
      </c>
      <c r="FC44">
        <v>0</v>
      </c>
      <c r="FD44">
        <v>0</v>
      </c>
      <c r="FE44">
        <v>0</v>
      </c>
      <c r="FF44">
        <v>0</v>
      </c>
      <c r="FG44">
        <v>0</v>
      </c>
      <c r="FH44">
        <v>0</v>
      </c>
      <c r="FI44" s="4">
        <v>526471.74</v>
      </c>
      <c r="FJ44">
        <v>41212.04</v>
      </c>
      <c r="FK44">
        <v>41212.04</v>
      </c>
      <c r="FL44">
        <v>0</v>
      </c>
      <c r="FM44" s="4">
        <v>2812.5</v>
      </c>
      <c r="FN44">
        <v>0</v>
      </c>
      <c r="FO44">
        <v>0</v>
      </c>
      <c r="FP44">
        <v>0</v>
      </c>
      <c r="FQ44">
        <v>0</v>
      </c>
      <c r="FR44">
        <v>2812.5</v>
      </c>
      <c r="FS44">
        <v>0</v>
      </c>
      <c r="FT44">
        <v>25378.224</v>
      </c>
      <c r="FU44">
        <v>63445.56</v>
      </c>
      <c r="FV44">
        <v>9516.834</v>
      </c>
      <c r="FY44">
        <v>3172278</v>
      </c>
      <c r="FZ44">
        <v>3369258.48547222</v>
      </c>
      <c r="GA44">
        <v>573421.338138889</v>
      </c>
      <c r="GB44">
        <v>2795837.14733333</v>
      </c>
      <c r="GC44">
        <v>376440.852666667</v>
      </c>
      <c r="GD44">
        <v>0.11866578296942</v>
      </c>
      <c r="GE44">
        <v>-196980.485472222</v>
      </c>
      <c r="GF44">
        <v>-0.0620943326758318</v>
      </c>
      <c r="GJ44">
        <v>45346</v>
      </c>
      <c r="GL44">
        <v>45351</v>
      </c>
      <c r="GO44">
        <v>45362</v>
      </c>
      <c r="GR44" t="s">
        <v>694</v>
      </c>
      <c r="GU44" t="s">
        <v>694</v>
      </c>
      <c r="HA44">
        <v>45365</v>
      </c>
      <c r="HB44">
        <v>45369</v>
      </c>
      <c r="HE44">
        <v>38</v>
      </c>
      <c r="HF44">
        <v>4</v>
      </c>
      <c r="HG44">
        <v>9</v>
      </c>
      <c r="HH44">
        <v>25</v>
      </c>
      <c r="HK44">
        <v>68</v>
      </c>
      <c r="HL44">
        <v>30</v>
      </c>
      <c r="HM44">
        <v>28</v>
      </c>
      <c r="HN44">
        <v>0</v>
      </c>
      <c r="HO44">
        <v>0</v>
      </c>
      <c r="HP44">
        <v>0</v>
      </c>
      <c r="HQ44">
        <v>97</v>
      </c>
      <c r="HR44">
        <v>20</v>
      </c>
      <c r="HU44" s="10"/>
    </row>
    <row r="45" spans="1:229">
      <c r="A45" s="1">
        <f t="shared" si="0"/>
        <v>44</v>
      </c>
      <c r="B45" s="2">
        <v>2024</v>
      </c>
      <c r="C45" s="2" t="s">
        <v>35</v>
      </c>
      <c r="D45" s="2" t="s">
        <v>27</v>
      </c>
      <c r="E45" s="9">
        <v>40573</v>
      </c>
      <c r="F45" s="2" t="s">
        <v>725</v>
      </c>
      <c r="G45" s="2" t="s">
        <v>726</v>
      </c>
      <c r="H45" s="2" t="s">
        <v>759</v>
      </c>
      <c r="I45" s="1" t="s">
        <v>761</v>
      </c>
      <c r="J45" t="s">
        <v>311</v>
      </c>
      <c r="K45" t="s">
        <v>31</v>
      </c>
      <c r="L45" t="s">
        <v>32</v>
      </c>
      <c r="M45">
        <v>2</v>
      </c>
      <c r="N45">
        <v>1528</v>
      </c>
      <c r="O45" s="3">
        <v>1540</v>
      </c>
      <c r="P45" s="4">
        <v>5</v>
      </c>
      <c r="Q45" s="4">
        <v>0</v>
      </c>
      <c r="R45" s="4">
        <v>6</v>
      </c>
      <c r="S45" s="4">
        <v>4</v>
      </c>
      <c r="T45" s="4">
        <v>10</v>
      </c>
      <c r="U45" s="4">
        <v>15</v>
      </c>
      <c r="V45" s="4">
        <v>0</v>
      </c>
      <c r="W45" s="4">
        <v>0.333333333333333</v>
      </c>
      <c r="X45" s="4">
        <v>0.5</v>
      </c>
      <c r="Y45" s="3">
        <v>2931903</v>
      </c>
      <c r="Z45">
        <v>238666.115216666</v>
      </c>
      <c r="AA45">
        <v>2693236.88478333</v>
      </c>
      <c r="AB45">
        <v>373970.437916667</v>
      </c>
      <c r="AC45">
        <v>162500</v>
      </c>
      <c r="AD45">
        <v>162500</v>
      </c>
      <c r="AE45">
        <v>0</v>
      </c>
      <c r="AF45">
        <v>4692.555</v>
      </c>
      <c r="AG45">
        <v>4692.555</v>
      </c>
      <c r="AH45">
        <v>0</v>
      </c>
      <c r="AI45">
        <v>1777.88291666666</v>
      </c>
      <c r="AJ45">
        <v>1273.21083333333</v>
      </c>
      <c r="AK45">
        <v>0</v>
      </c>
      <c r="AL45">
        <v>504.672083333335</v>
      </c>
      <c r="AM45">
        <v>0</v>
      </c>
      <c r="AN45">
        <v>0</v>
      </c>
      <c r="AO45">
        <v>0</v>
      </c>
      <c r="AP45">
        <v>0</v>
      </c>
      <c r="AQ45">
        <v>0</v>
      </c>
      <c r="AR45">
        <v>0</v>
      </c>
      <c r="AS45">
        <v>0</v>
      </c>
      <c r="AT45">
        <v>0</v>
      </c>
      <c r="AU45">
        <v>0</v>
      </c>
      <c r="AV45">
        <v>0</v>
      </c>
      <c r="AW45">
        <v>0</v>
      </c>
      <c r="AX45">
        <v>0</v>
      </c>
      <c r="AY45">
        <v>205000</v>
      </c>
      <c r="AZ45">
        <v>2319266.44686667</v>
      </c>
      <c r="BA45">
        <v>651206.0572</v>
      </c>
      <c r="BB45">
        <v>14336.2872</v>
      </c>
      <c r="BC45">
        <v>14336.2872</v>
      </c>
      <c r="BD45">
        <v>0</v>
      </c>
      <c r="BE45">
        <v>0</v>
      </c>
      <c r="BF45">
        <v>245711</v>
      </c>
      <c r="BG45">
        <v>245711</v>
      </c>
      <c r="BH45">
        <v>0</v>
      </c>
      <c r="BI45">
        <v>0</v>
      </c>
      <c r="BJ45">
        <v>202358</v>
      </c>
      <c r="BK45">
        <v>0</v>
      </c>
      <c r="BL45">
        <v>0</v>
      </c>
      <c r="BM45">
        <v>0</v>
      </c>
      <c r="BN45">
        <v>12349.47</v>
      </c>
      <c r="BO45">
        <v>84545.17</v>
      </c>
      <c r="BP45">
        <v>16000</v>
      </c>
      <c r="BQ45">
        <v>0</v>
      </c>
      <c r="BR45">
        <v>0</v>
      </c>
      <c r="BS45">
        <v>68545.17</v>
      </c>
      <c r="BT45">
        <v>91906.13</v>
      </c>
      <c r="BU45">
        <v>83160</v>
      </c>
      <c r="BV45">
        <v>8746.13</v>
      </c>
      <c r="BW45">
        <v>0</v>
      </c>
      <c r="BX45">
        <v>0</v>
      </c>
      <c r="BY45">
        <v>9725.71</v>
      </c>
      <c r="BZ45">
        <v>9725.71</v>
      </c>
      <c r="CA45">
        <v>768.54</v>
      </c>
      <c r="CB45">
        <v>0</v>
      </c>
      <c r="CC45">
        <v>8957.17</v>
      </c>
      <c r="CD45">
        <v>0</v>
      </c>
      <c r="CE45">
        <v>0</v>
      </c>
      <c r="CF45">
        <v>0</v>
      </c>
      <c r="CG45">
        <v>0</v>
      </c>
      <c r="CH45">
        <v>1658334.67966667</v>
      </c>
      <c r="CI45">
        <v>112198</v>
      </c>
      <c r="CJ45">
        <v>0</v>
      </c>
      <c r="CK45">
        <v>0</v>
      </c>
      <c r="CL45">
        <v>65077</v>
      </c>
      <c r="CM45">
        <v>28902</v>
      </c>
      <c r="CN45">
        <v>3802</v>
      </c>
      <c r="CO45">
        <v>14417</v>
      </c>
      <c r="CP45">
        <v>180000</v>
      </c>
      <c r="CQ45">
        <v>10676.97</v>
      </c>
      <c r="CR45">
        <v>2132.32</v>
      </c>
      <c r="CS45">
        <v>7857.65</v>
      </c>
      <c r="CT45">
        <v>0</v>
      </c>
      <c r="CU45">
        <v>187</v>
      </c>
      <c r="CV45">
        <v>0</v>
      </c>
      <c r="CW45">
        <v>0</v>
      </c>
      <c r="CX45">
        <v>500</v>
      </c>
      <c r="CY45">
        <v>25871.3866666667</v>
      </c>
      <c r="CZ45">
        <v>23495.5</v>
      </c>
      <c r="DA45">
        <v>0</v>
      </c>
      <c r="DB45">
        <v>204</v>
      </c>
      <c r="DC45">
        <v>86.5</v>
      </c>
      <c r="DD45">
        <v>0</v>
      </c>
      <c r="DE45">
        <v>0</v>
      </c>
      <c r="DF45">
        <v>2085.38666666667</v>
      </c>
      <c r="DG45">
        <v>0</v>
      </c>
      <c r="DH45" s="3">
        <v>152361</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16304</v>
      </c>
      <c r="EG45">
        <v>0</v>
      </c>
      <c r="EH45">
        <v>2276</v>
      </c>
      <c r="EI45">
        <v>408914.26</v>
      </c>
      <c r="EJ45">
        <v>0</v>
      </c>
      <c r="EK45">
        <v>0</v>
      </c>
      <c r="EL45">
        <v>0</v>
      </c>
      <c r="EM45">
        <v>48656</v>
      </c>
      <c r="EN45">
        <v>35000</v>
      </c>
      <c r="EO45">
        <v>7228.5</v>
      </c>
      <c r="EP45">
        <v>0</v>
      </c>
      <c r="EQ45">
        <v>7228.5</v>
      </c>
      <c r="ER45">
        <v>14985</v>
      </c>
      <c r="ES45">
        <v>0</v>
      </c>
      <c r="ET45">
        <v>0</v>
      </c>
      <c r="EU45">
        <v>0</v>
      </c>
      <c r="EV45" s="4">
        <v>50</v>
      </c>
      <c r="EW45">
        <v>0</v>
      </c>
      <c r="EX45">
        <v>0</v>
      </c>
      <c r="EY45" s="4">
        <v>50</v>
      </c>
      <c r="EZ45">
        <v>0</v>
      </c>
      <c r="FA45">
        <v>0</v>
      </c>
      <c r="FB45">
        <v>0</v>
      </c>
      <c r="FC45">
        <v>0</v>
      </c>
      <c r="FD45">
        <v>0</v>
      </c>
      <c r="FE45">
        <v>0</v>
      </c>
      <c r="FF45">
        <v>0</v>
      </c>
      <c r="FG45">
        <v>0</v>
      </c>
      <c r="FH45">
        <v>0</v>
      </c>
      <c r="FI45" s="4">
        <v>508900.03</v>
      </c>
      <c r="FJ45">
        <v>41212.04</v>
      </c>
      <c r="FK45">
        <v>41212.04</v>
      </c>
      <c r="FL45">
        <v>0</v>
      </c>
      <c r="FM45" s="4">
        <v>2812.5</v>
      </c>
      <c r="FN45">
        <v>0</v>
      </c>
      <c r="FO45">
        <v>0</v>
      </c>
      <c r="FP45">
        <v>0</v>
      </c>
      <c r="FQ45">
        <v>0</v>
      </c>
      <c r="FR45">
        <v>2812.5</v>
      </c>
      <c r="FS45">
        <v>0</v>
      </c>
      <c r="FT45">
        <v>23455.224</v>
      </c>
      <c r="FU45">
        <v>58638.06</v>
      </c>
      <c r="FV45">
        <v>8795.709</v>
      </c>
      <c r="FY45">
        <v>2931903</v>
      </c>
      <c r="FZ45">
        <v>2693236.88478333</v>
      </c>
      <c r="GA45">
        <v>373970.437916667</v>
      </c>
      <c r="GB45">
        <v>2319266.44686667</v>
      </c>
      <c r="GC45">
        <v>612636.553133333</v>
      </c>
      <c r="GD45">
        <v>0.208955259820442</v>
      </c>
      <c r="GE45">
        <v>238666.115216666</v>
      </c>
      <c r="GF45">
        <v>0.0814031416512299</v>
      </c>
      <c r="GJ45">
        <v>45372</v>
      </c>
      <c r="GL45">
        <v>45377</v>
      </c>
      <c r="GO45">
        <v>45380</v>
      </c>
      <c r="GR45" t="s">
        <v>694</v>
      </c>
      <c r="GU45" t="s">
        <v>694</v>
      </c>
      <c r="HA45">
        <v>45383</v>
      </c>
      <c r="HB45">
        <v>45387</v>
      </c>
      <c r="HE45">
        <v>37</v>
      </c>
      <c r="HF45">
        <v>4</v>
      </c>
      <c r="HG45">
        <v>9</v>
      </c>
      <c r="HH45">
        <v>24</v>
      </c>
      <c r="HK45">
        <v>66</v>
      </c>
      <c r="HL45">
        <v>34</v>
      </c>
      <c r="HM45">
        <v>25</v>
      </c>
      <c r="HN45">
        <v>0</v>
      </c>
      <c r="HO45">
        <v>0</v>
      </c>
      <c r="HP45">
        <v>0</v>
      </c>
      <c r="HQ45">
        <v>90</v>
      </c>
      <c r="HR45">
        <v>22</v>
      </c>
      <c r="HU45" s="10"/>
    </row>
    <row r="46" spans="1:229">
      <c r="A46" s="1">
        <f t="shared" si="0"/>
        <v>45</v>
      </c>
      <c r="B46" s="2">
        <v>2024</v>
      </c>
      <c r="C46" s="2" t="s">
        <v>708</v>
      </c>
      <c r="D46" s="2" t="s">
        <v>27</v>
      </c>
      <c r="E46" s="9">
        <v>40573</v>
      </c>
      <c r="F46" s="2" t="s">
        <v>725</v>
      </c>
      <c r="G46" s="2" t="s">
        <v>726</v>
      </c>
      <c r="H46" s="2" t="s">
        <v>759</v>
      </c>
      <c r="I46" s="1" t="s">
        <v>762</v>
      </c>
      <c r="J46" t="s">
        <v>311</v>
      </c>
      <c r="K46" t="s">
        <v>31</v>
      </c>
      <c r="L46" t="s">
        <v>32</v>
      </c>
      <c r="M46">
        <v>2</v>
      </c>
      <c r="N46">
        <v>1487</v>
      </c>
      <c r="O46" s="3">
        <v>1508</v>
      </c>
      <c r="P46" s="4">
        <v>5</v>
      </c>
      <c r="Q46" s="4">
        <v>0</v>
      </c>
      <c r="R46" s="4">
        <v>7</v>
      </c>
      <c r="S46" s="4">
        <v>4</v>
      </c>
      <c r="T46" s="4">
        <v>11</v>
      </c>
      <c r="U46" s="4">
        <v>16</v>
      </c>
      <c r="V46" s="4">
        <v>0</v>
      </c>
      <c r="W46" s="4">
        <v>0.366666666666667</v>
      </c>
      <c r="X46" s="4">
        <v>0.533333333333333</v>
      </c>
      <c r="Y46" s="3">
        <v>2472800</v>
      </c>
      <c r="Z46">
        <v>-376434.190977778</v>
      </c>
      <c r="AA46">
        <v>2849234.19097778</v>
      </c>
      <c r="AB46">
        <v>492235.133777778</v>
      </c>
      <c r="AC46">
        <v>266666.666666667</v>
      </c>
      <c r="AD46">
        <v>266666.666666667</v>
      </c>
      <c r="AE46">
        <v>0</v>
      </c>
      <c r="AF46">
        <v>5005.392</v>
      </c>
      <c r="AG46">
        <v>5005.392</v>
      </c>
      <c r="AH46">
        <v>0</v>
      </c>
      <c r="AI46">
        <v>1896.40844444445</v>
      </c>
      <c r="AJ46">
        <v>1358.09155555556</v>
      </c>
      <c r="AK46">
        <v>0</v>
      </c>
      <c r="AL46">
        <v>538.316888888891</v>
      </c>
      <c r="AM46">
        <v>0</v>
      </c>
      <c r="AN46">
        <v>0</v>
      </c>
      <c r="AO46">
        <v>0</v>
      </c>
      <c r="AP46">
        <v>0</v>
      </c>
      <c r="AQ46">
        <v>0</v>
      </c>
      <c r="AR46">
        <v>0</v>
      </c>
      <c r="AS46">
        <v>0</v>
      </c>
      <c r="AT46">
        <v>0</v>
      </c>
      <c r="AU46">
        <v>0</v>
      </c>
      <c r="AV46">
        <v>0</v>
      </c>
      <c r="AW46">
        <v>0</v>
      </c>
      <c r="AX46">
        <v>0</v>
      </c>
      <c r="AY46">
        <v>218666.666666667</v>
      </c>
      <c r="AZ46">
        <v>2356999.0572</v>
      </c>
      <c r="BA46">
        <v>762122.5272</v>
      </c>
      <c r="BB46">
        <v>14336.2872</v>
      </c>
      <c r="BC46">
        <v>14336.2872</v>
      </c>
      <c r="BD46">
        <v>0</v>
      </c>
      <c r="BE46">
        <v>0</v>
      </c>
      <c r="BF46">
        <v>245392</v>
      </c>
      <c r="BG46">
        <v>245392</v>
      </c>
      <c r="BH46">
        <v>0</v>
      </c>
      <c r="BI46">
        <v>0</v>
      </c>
      <c r="BJ46">
        <v>289016</v>
      </c>
      <c r="BK46">
        <v>0</v>
      </c>
      <c r="BL46">
        <v>0</v>
      </c>
      <c r="BM46">
        <v>0</v>
      </c>
      <c r="BN46">
        <v>33851.54</v>
      </c>
      <c r="BO46">
        <v>89837.51</v>
      </c>
      <c r="BP46">
        <v>17600</v>
      </c>
      <c r="BQ46">
        <v>0</v>
      </c>
      <c r="BR46">
        <v>0</v>
      </c>
      <c r="BS46">
        <v>72237.51</v>
      </c>
      <c r="BT46">
        <v>89689.19</v>
      </c>
      <c r="BU46">
        <v>81432</v>
      </c>
      <c r="BV46">
        <v>8257.19</v>
      </c>
      <c r="BW46">
        <v>0</v>
      </c>
      <c r="BX46">
        <v>0</v>
      </c>
      <c r="BY46">
        <v>1955.54</v>
      </c>
      <c r="BZ46">
        <v>1955.54</v>
      </c>
      <c r="CA46">
        <v>0</v>
      </c>
      <c r="CB46">
        <v>1955.54</v>
      </c>
      <c r="CC46">
        <v>0</v>
      </c>
      <c r="CD46">
        <v>0</v>
      </c>
      <c r="CE46">
        <v>0</v>
      </c>
      <c r="CF46">
        <v>0</v>
      </c>
      <c r="CG46">
        <v>0</v>
      </c>
      <c r="CH46">
        <v>1592920.99</v>
      </c>
      <c r="CI46">
        <v>134718</v>
      </c>
      <c r="CJ46">
        <v>0</v>
      </c>
      <c r="CK46">
        <v>0</v>
      </c>
      <c r="CL46">
        <v>83696</v>
      </c>
      <c r="CM46">
        <v>29469</v>
      </c>
      <c r="CN46">
        <v>713</v>
      </c>
      <c r="CO46">
        <v>20840</v>
      </c>
      <c r="CP46">
        <v>192000</v>
      </c>
      <c r="CQ46">
        <v>2489</v>
      </c>
      <c r="CR46">
        <v>1066</v>
      </c>
      <c r="CS46">
        <v>736</v>
      </c>
      <c r="CT46">
        <v>0</v>
      </c>
      <c r="CU46">
        <v>187</v>
      </c>
      <c r="CV46">
        <v>0</v>
      </c>
      <c r="CW46">
        <v>0</v>
      </c>
      <c r="CX46">
        <v>500</v>
      </c>
      <c r="CY46">
        <v>25875.3866666667</v>
      </c>
      <c r="CZ46">
        <v>23496.5</v>
      </c>
      <c r="DA46">
        <v>0</v>
      </c>
      <c r="DB46">
        <v>205</v>
      </c>
      <c r="DC46">
        <v>87.5</v>
      </c>
      <c r="DD46">
        <v>0</v>
      </c>
      <c r="DE46">
        <v>0</v>
      </c>
      <c r="DF46">
        <v>2086.38666666667</v>
      </c>
      <c r="DG46">
        <v>0</v>
      </c>
      <c r="DH46" s="3">
        <v>127141</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16121</v>
      </c>
      <c r="EG46">
        <v>0</v>
      </c>
      <c r="EH46">
        <v>0</v>
      </c>
      <c r="EI46">
        <v>282602.78</v>
      </c>
      <c r="EJ46">
        <v>0</v>
      </c>
      <c r="EK46">
        <v>0</v>
      </c>
      <c r="EL46">
        <v>42778</v>
      </c>
      <c r="EM46">
        <v>45835</v>
      </c>
      <c r="EN46">
        <v>35000</v>
      </c>
      <c r="EO46">
        <v>6754.5</v>
      </c>
      <c r="EP46">
        <v>0</v>
      </c>
      <c r="EQ46">
        <v>6754.5</v>
      </c>
      <c r="ER46">
        <v>19008</v>
      </c>
      <c r="ES46">
        <v>0</v>
      </c>
      <c r="ET46">
        <v>0</v>
      </c>
      <c r="EU46">
        <v>0</v>
      </c>
      <c r="EV46" s="4">
        <v>53.3333333333333</v>
      </c>
      <c r="EW46">
        <v>0</v>
      </c>
      <c r="EX46">
        <v>0</v>
      </c>
      <c r="EY46" s="4">
        <v>53.3333333333333</v>
      </c>
      <c r="EZ46">
        <v>0</v>
      </c>
      <c r="FA46">
        <v>0</v>
      </c>
      <c r="FB46">
        <v>0</v>
      </c>
      <c r="FC46">
        <v>0</v>
      </c>
      <c r="FD46">
        <v>0</v>
      </c>
      <c r="FE46">
        <v>45000</v>
      </c>
      <c r="FF46">
        <v>0</v>
      </c>
      <c r="FG46">
        <v>45000</v>
      </c>
      <c r="FH46">
        <v>0</v>
      </c>
      <c r="FI46" s="4">
        <v>496863.65</v>
      </c>
      <c r="FJ46">
        <v>41212.04</v>
      </c>
      <c r="FK46">
        <v>41212.04</v>
      </c>
      <c r="FL46">
        <v>0</v>
      </c>
      <c r="FM46" s="4">
        <v>2812.5</v>
      </c>
      <c r="FN46">
        <v>0</v>
      </c>
      <c r="FO46">
        <v>0</v>
      </c>
      <c r="FP46">
        <v>0</v>
      </c>
      <c r="FQ46">
        <v>0</v>
      </c>
      <c r="FR46">
        <v>2812.5</v>
      </c>
      <c r="FS46">
        <v>0</v>
      </c>
      <c r="FT46">
        <v>19782.4</v>
      </c>
      <c r="FU46">
        <v>49456</v>
      </c>
      <c r="FV46">
        <v>7418.4</v>
      </c>
      <c r="FY46">
        <v>2472800</v>
      </c>
      <c r="FZ46">
        <v>2849234.19097778</v>
      </c>
      <c r="GA46">
        <v>492235.133777778</v>
      </c>
      <c r="GB46">
        <v>2356999.0572</v>
      </c>
      <c r="GC46">
        <v>115800.9428</v>
      </c>
      <c r="GD46">
        <v>0.0468298862827563</v>
      </c>
      <c r="GE46">
        <v>-376434.190977778</v>
      </c>
      <c r="GF46">
        <v>-0.152229938117833</v>
      </c>
      <c r="GJ46">
        <v>45634</v>
      </c>
      <c r="GL46">
        <v>45639</v>
      </c>
      <c r="GO46">
        <v>45643</v>
      </c>
      <c r="GR46" t="s">
        <v>694</v>
      </c>
      <c r="GU46" t="s">
        <v>694</v>
      </c>
      <c r="HA46">
        <v>45646</v>
      </c>
      <c r="HB46">
        <v>45650</v>
      </c>
      <c r="HE46">
        <v>44</v>
      </c>
      <c r="HF46">
        <v>7</v>
      </c>
      <c r="HG46">
        <v>13</v>
      </c>
      <c r="HH46">
        <v>24</v>
      </c>
      <c r="HK46">
        <v>37</v>
      </c>
      <c r="HL46">
        <v>11</v>
      </c>
      <c r="HM46">
        <v>17</v>
      </c>
      <c r="HN46">
        <v>3</v>
      </c>
      <c r="HO46">
        <v>0</v>
      </c>
      <c r="HP46">
        <v>13</v>
      </c>
      <c r="HQ46">
        <v>133</v>
      </c>
      <c r="HR46">
        <v>50</v>
      </c>
      <c r="HU46" s="10"/>
    </row>
    <row r="47" spans="1:229">
      <c r="A47" s="1">
        <f t="shared" si="0"/>
        <v>46</v>
      </c>
      <c r="B47" s="2">
        <v>2024</v>
      </c>
      <c r="C47" s="2" t="s">
        <v>26</v>
      </c>
      <c r="D47" s="2" t="s">
        <v>27</v>
      </c>
      <c r="E47" s="9">
        <v>40573</v>
      </c>
      <c r="F47" s="2" t="s">
        <v>725</v>
      </c>
      <c r="G47" s="2" t="s">
        <v>726</v>
      </c>
      <c r="H47" s="2" t="s">
        <v>759</v>
      </c>
      <c r="I47" s="1" t="s">
        <v>763</v>
      </c>
      <c r="J47" t="s">
        <v>311</v>
      </c>
      <c r="K47" t="s">
        <v>31</v>
      </c>
      <c r="L47" t="s">
        <v>32</v>
      </c>
      <c r="M47">
        <v>2</v>
      </c>
      <c r="N47">
        <v>1485</v>
      </c>
      <c r="O47" s="3">
        <v>1500</v>
      </c>
      <c r="P47" s="4">
        <v>7</v>
      </c>
      <c r="Q47" s="4">
        <v>0</v>
      </c>
      <c r="R47" s="4">
        <v>7</v>
      </c>
      <c r="S47" s="4">
        <v>4</v>
      </c>
      <c r="T47" s="4">
        <v>11</v>
      </c>
      <c r="U47" s="4">
        <v>18</v>
      </c>
      <c r="V47" s="4">
        <v>0</v>
      </c>
      <c r="W47" s="4">
        <v>0.366666666666667</v>
      </c>
      <c r="X47" s="4">
        <v>0.6</v>
      </c>
      <c r="Y47" s="3">
        <v>3181060</v>
      </c>
      <c r="Z47">
        <v>-562841.186966667</v>
      </c>
      <c r="AA47">
        <v>3743901.18696667</v>
      </c>
      <c r="AB47">
        <v>448764.5255</v>
      </c>
      <c r="AC47">
        <v>195000</v>
      </c>
      <c r="AD47">
        <v>195000</v>
      </c>
      <c r="AE47">
        <v>0</v>
      </c>
      <c r="AF47">
        <v>5631.066</v>
      </c>
      <c r="AG47">
        <v>5631.066</v>
      </c>
      <c r="AH47">
        <v>0</v>
      </c>
      <c r="AI47">
        <v>2133.4595</v>
      </c>
      <c r="AJ47">
        <v>1527.853</v>
      </c>
      <c r="AK47">
        <v>0</v>
      </c>
      <c r="AL47">
        <v>605.606500000002</v>
      </c>
      <c r="AM47">
        <v>0</v>
      </c>
      <c r="AN47">
        <v>0</v>
      </c>
      <c r="AO47">
        <v>0</v>
      </c>
      <c r="AP47">
        <v>0</v>
      </c>
      <c r="AQ47">
        <v>0</v>
      </c>
      <c r="AR47">
        <v>0</v>
      </c>
      <c r="AS47">
        <v>0</v>
      </c>
      <c r="AT47">
        <v>0</v>
      </c>
      <c r="AU47">
        <v>0</v>
      </c>
      <c r="AV47">
        <v>0</v>
      </c>
      <c r="AW47">
        <v>0</v>
      </c>
      <c r="AX47">
        <v>0</v>
      </c>
      <c r="AY47">
        <v>246000</v>
      </c>
      <c r="AZ47">
        <v>3295136.66146667</v>
      </c>
      <c r="BA47">
        <v>968321.5348</v>
      </c>
      <c r="BB47">
        <v>10513.2708</v>
      </c>
      <c r="BC47">
        <v>10513.2708</v>
      </c>
      <c r="BD47">
        <v>0</v>
      </c>
      <c r="BE47">
        <v>0</v>
      </c>
      <c r="BF47">
        <v>260591</v>
      </c>
      <c r="BG47">
        <v>260591</v>
      </c>
      <c r="BH47">
        <v>0</v>
      </c>
      <c r="BI47">
        <v>12815.28</v>
      </c>
      <c r="BJ47">
        <v>414011</v>
      </c>
      <c r="BK47">
        <v>0</v>
      </c>
      <c r="BL47">
        <v>0</v>
      </c>
      <c r="BM47">
        <v>0</v>
      </c>
      <c r="BN47">
        <v>89358.234</v>
      </c>
      <c r="BO47">
        <v>89972.39</v>
      </c>
      <c r="BP47">
        <v>17600</v>
      </c>
      <c r="BQ47">
        <v>0</v>
      </c>
      <c r="BR47">
        <v>0</v>
      </c>
      <c r="BS47">
        <v>72372.39</v>
      </c>
      <c r="BT47">
        <v>91060.36</v>
      </c>
      <c r="BU47">
        <v>81000</v>
      </c>
      <c r="BV47">
        <v>10060.36</v>
      </c>
      <c r="BW47">
        <v>0</v>
      </c>
      <c r="BX47">
        <v>0</v>
      </c>
      <c r="BY47">
        <v>67905.3</v>
      </c>
      <c r="BZ47">
        <v>67905.3</v>
      </c>
      <c r="CA47">
        <v>35384.72</v>
      </c>
      <c r="CB47">
        <v>4957.08</v>
      </c>
      <c r="CC47">
        <v>27563.5</v>
      </c>
      <c r="CD47">
        <v>0</v>
      </c>
      <c r="CE47">
        <v>0</v>
      </c>
      <c r="CF47">
        <v>0</v>
      </c>
      <c r="CG47">
        <v>0</v>
      </c>
      <c r="CH47">
        <v>2258909.82666667</v>
      </c>
      <c r="CI47">
        <v>158093</v>
      </c>
      <c r="CJ47">
        <v>0</v>
      </c>
      <c r="CK47">
        <v>0</v>
      </c>
      <c r="CL47">
        <v>72467</v>
      </c>
      <c r="CM47">
        <v>51148</v>
      </c>
      <c r="CN47">
        <v>1900</v>
      </c>
      <c r="CO47">
        <v>32578</v>
      </c>
      <c r="CP47">
        <v>234000</v>
      </c>
      <c r="CQ47">
        <v>10026.7</v>
      </c>
      <c r="CR47">
        <v>3198.49</v>
      </c>
      <c r="CS47">
        <v>6141.21</v>
      </c>
      <c r="CT47">
        <v>0</v>
      </c>
      <c r="CU47">
        <v>187</v>
      </c>
      <c r="CV47">
        <v>0</v>
      </c>
      <c r="CW47">
        <v>0</v>
      </c>
      <c r="CX47">
        <v>500</v>
      </c>
      <c r="CY47">
        <v>25879.3866666667</v>
      </c>
      <c r="CZ47">
        <v>23497.5</v>
      </c>
      <c r="DA47">
        <v>0</v>
      </c>
      <c r="DB47">
        <v>206</v>
      </c>
      <c r="DC47">
        <v>88.5</v>
      </c>
      <c r="DD47">
        <v>0</v>
      </c>
      <c r="DE47">
        <v>0</v>
      </c>
      <c r="DF47">
        <v>2087.38666666667</v>
      </c>
      <c r="DG47">
        <v>0</v>
      </c>
      <c r="DH47" s="3">
        <v>161773</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20529</v>
      </c>
      <c r="EG47">
        <v>0</v>
      </c>
      <c r="EH47">
        <v>3035</v>
      </c>
      <c r="EI47">
        <v>468761.73</v>
      </c>
      <c r="EJ47">
        <v>0</v>
      </c>
      <c r="EK47">
        <v>0</v>
      </c>
      <c r="EL47">
        <v>0</v>
      </c>
      <c r="EM47">
        <v>45835</v>
      </c>
      <c r="EN47">
        <v>35000</v>
      </c>
      <c r="EO47">
        <v>5569.5</v>
      </c>
      <c r="EP47">
        <v>0</v>
      </c>
      <c r="EQ47">
        <v>5569.5</v>
      </c>
      <c r="ER47">
        <v>18954</v>
      </c>
      <c r="ES47">
        <v>0</v>
      </c>
      <c r="ET47">
        <v>0</v>
      </c>
      <c r="EU47">
        <v>0</v>
      </c>
      <c r="EV47" s="4">
        <v>60</v>
      </c>
      <c r="EW47">
        <v>0</v>
      </c>
      <c r="EX47">
        <v>0</v>
      </c>
      <c r="EY47" s="4">
        <v>60</v>
      </c>
      <c r="EZ47">
        <v>120000</v>
      </c>
      <c r="FA47">
        <v>120000</v>
      </c>
      <c r="FB47">
        <v>0</v>
      </c>
      <c r="FC47">
        <v>0</v>
      </c>
      <c r="FD47">
        <v>0</v>
      </c>
      <c r="FE47">
        <v>114476</v>
      </c>
      <c r="FF47">
        <v>0</v>
      </c>
      <c r="FG47">
        <v>114476</v>
      </c>
      <c r="FH47">
        <v>0</v>
      </c>
      <c r="FI47" s="4">
        <v>694280.11</v>
      </c>
      <c r="FJ47">
        <v>41212.04</v>
      </c>
      <c r="FK47">
        <v>41212.04</v>
      </c>
      <c r="FL47">
        <v>0</v>
      </c>
      <c r="FM47" s="4">
        <v>2812.5</v>
      </c>
      <c r="FN47">
        <v>0</v>
      </c>
      <c r="FO47">
        <v>0</v>
      </c>
      <c r="FP47">
        <v>0</v>
      </c>
      <c r="FQ47">
        <v>0</v>
      </c>
      <c r="FR47">
        <v>2812.5</v>
      </c>
      <c r="FS47">
        <v>0</v>
      </c>
      <c r="FT47">
        <v>25448.48</v>
      </c>
      <c r="FU47">
        <v>63621.2</v>
      </c>
      <c r="FV47">
        <v>9543.18</v>
      </c>
      <c r="FY47">
        <v>3181060</v>
      </c>
      <c r="FZ47">
        <v>3743901.18696667</v>
      </c>
      <c r="GA47">
        <v>448764.5255</v>
      </c>
      <c r="GB47">
        <v>3295136.66146667</v>
      </c>
      <c r="GC47">
        <v>-114076.661466667</v>
      </c>
      <c r="GD47">
        <v>-0.0358612102464799</v>
      </c>
      <c r="GE47">
        <v>-562841.186966667</v>
      </c>
      <c r="GF47">
        <v>-0.176935105583254</v>
      </c>
      <c r="GJ47">
        <v>45302</v>
      </c>
      <c r="GL47">
        <v>45309</v>
      </c>
      <c r="GO47">
        <v>45313</v>
      </c>
      <c r="GR47" t="s">
        <v>694</v>
      </c>
      <c r="GU47" t="s">
        <v>694</v>
      </c>
      <c r="HA47">
        <v>45316</v>
      </c>
      <c r="HB47">
        <v>45320</v>
      </c>
      <c r="HE47">
        <v>39</v>
      </c>
      <c r="HF47">
        <v>4</v>
      </c>
      <c r="HG47">
        <v>9</v>
      </c>
      <c r="HH47">
        <v>26</v>
      </c>
      <c r="HK47">
        <v>66</v>
      </c>
      <c r="HL47">
        <v>47</v>
      </c>
      <c r="HM47">
        <v>35</v>
      </c>
      <c r="HN47">
        <v>0</v>
      </c>
      <c r="HO47">
        <v>0</v>
      </c>
      <c r="HP47">
        <v>0</v>
      </c>
      <c r="HQ47">
        <v>100</v>
      </c>
      <c r="HR47">
        <v>34</v>
      </c>
      <c r="HU47" s="10"/>
    </row>
    <row r="48" spans="1:229">
      <c r="A48" s="1">
        <f t="shared" si="0"/>
        <v>47</v>
      </c>
      <c r="B48" s="2">
        <v>2024</v>
      </c>
      <c r="C48" s="2" t="s">
        <v>703</v>
      </c>
      <c r="D48" s="2" t="s">
        <v>27</v>
      </c>
      <c r="E48" s="9">
        <v>40573</v>
      </c>
      <c r="F48" s="2" t="s">
        <v>725</v>
      </c>
      <c r="G48" s="2" t="s">
        <v>726</v>
      </c>
      <c r="H48" s="2" t="s">
        <v>759</v>
      </c>
      <c r="I48" s="1" t="s">
        <v>764</v>
      </c>
      <c r="J48" t="s">
        <v>311</v>
      </c>
      <c r="K48" t="s">
        <v>31</v>
      </c>
      <c r="L48" t="s">
        <v>32</v>
      </c>
      <c r="M48">
        <v>2</v>
      </c>
      <c r="N48">
        <v>1504</v>
      </c>
      <c r="O48" s="3">
        <v>1515</v>
      </c>
      <c r="P48" s="4">
        <v>5</v>
      </c>
      <c r="Q48" s="4">
        <v>0</v>
      </c>
      <c r="R48" s="4">
        <v>6</v>
      </c>
      <c r="S48" s="4">
        <v>5</v>
      </c>
      <c r="T48" s="4">
        <v>11</v>
      </c>
      <c r="U48" s="4">
        <v>16</v>
      </c>
      <c r="V48" s="4">
        <v>0</v>
      </c>
      <c r="W48" s="4">
        <v>0.366666666666667</v>
      </c>
      <c r="X48" s="4">
        <v>0.533333333333333</v>
      </c>
      <c r="Y48" s="3">
        <v>2702050</v>
      </c>
      <c r="Z48">
        <v>62679.720555556</v>
      </c>
      <c r="AA48">
        <v>2639370.27944444</v>
      </c>
      <c r="AB48">
        <v>398901.800444444</v>
      </c>
      <c r="AC48">
        <v>173333.333333333</v>
      </c>
      <c r="AD48">
        <v>173333.333333333</v>
      </c>
      <c r="AE48">
        <v>0</v>
      </c>
      <c r="AF48">
        <v>5005.392</v>
      </c>
      <c r="AG48">
        <v>5005.392</v>
      </c>
      <c r="AH48">
        <v>0</v>
      </c>
      <c r="AI48">
        <v>1896.40844444445</v>
      </c>
      <c r="AJ48">
        <v>1358.09155555556</v>
      </c>
      <c r="AK48">
        <v>0</v>
      </c>
      <c r="AL48">
        <v>538.316888888891</v>
      </c>
      <c r="AM48">
        <v>0</v>
      </c>
      <c r="AN48">
        <v>0</v>
      </c>
      <c r="AO48">
        <v>0</v>
      </c>
      <c r="AP48">
        <v>0</v>
      </c>
      <c r="AQ48">
        <v>0</v>
      </c>
      <c r="AR48">
        <v>0</v>
      </c>
      <c r="AS48">
        <v>0</v>
      </c>
      <c r="AT48">
        <v>0</v>
      </c>
      <c r="AU48">
        <v>0</v>
      </c>
      <c r="AV48">
        <v>0</v>
      </c>
      <c r="AW48">
        <v>0</v>
      </c>
      <c r="AX48">
        <v>0</v>
      </c>
      <c r="AY48">
        <v>218666.666666667</v>
      </c>
      <c r="AZ48">
        <v>2240468.479</v>
      </c>
      <c r="BA48">
        <v>724338.739</v>
      </c>
      <c r="BB48">
        <v>14336.2872</v>
      </c>
      <c r="BC48">
        <v>14336.2872</v>
      </c>
      <c r="BD48">
        <v>0</v>
      </c>
      <c r="BE48">
        <v>0</v>
      </c>
      <c r="BF48">
        <v>268975</v>
      </c>
      <c r="BG48">
        <v>268975</v>
      </c>
      <c r="BH48">
        <v>0</v>
      </c>
      <c r="BI48">
        <v>10692.864</v>
      </c>
      <c r="BJ48">
        <v>211588</v>
      </c>
      <c r="BK48">
        <v>0</v>
      </c>
      <c r="BL48">
        <v>0</v>
      </c>
      <c r="BM48">
        <v>0</v>
      </c>
      <c r="BN48">
        <v>44598.7378</v>
      </c>
      <c r="BO48">
        <v>83616.17</v>
      </c>
      <c r="BP48">
        <v>17600</v>
      </c>
      <c r="BQ48">
        <v>0</v>
      </c>
      <c r="BR48">
        <v>0</v>
      </c>
      <c r="BS48">
        <v>66016.17</v>
      </c>
      <c r="BT48">
        <v>90531.68</v>
      </c>
      <c r="BU48">
        <v>81810</v>
      </c>
      <c r="BV48">
        <v>8721.68</v>
      </c>
      <c r="BW48">
        <v>0</v>
      </c>
      <c r="BX48">
        <v>0</v>
      </c>
      <c r="BY48">
        <v>18354.56</v>
      </c>
      <c r="BZ48">
        <v>18354.56</v>
      </c>
      <c r="CA48">
        <v>9640.58</v>
      </c>
      <c r="CB48">
        <v>0</v>
      </c>
      <c r="CC48">
        <v>8713.98</v>
      </c>
      <c r="CD48">
        <v>0</v>
      </c>
      <c r="CE48">
        <v>0</v>
      </c>
      <c r="CF48">
        <v>0</v>
      </c>
      <c r="CG48">
        <v>0</v>
      </c>
      <c r="CH48">
        <v>1497775.18</v>
      </c>
      <c r="CI48">
        <v>52175</v>
      </c>
      <c r="CJ48">
        <v>0</v>
      </c>
      <c r="CK48">
        <v>6181</v>
      </c>
      <c r="CL48">
        <v>0</v>
      </c>
      <c r="CM48">
        <v>23403</v>
      </c>
      <c r="CN48">
        <v>1426</v>
      </c>
      <c r="CO48">
        <v>21165</v>
      </c>
      <c r="CP48">
        <v>208000</v>
      </c>
      <c r="CQ48">
        <v>9698.94</v>
      </c>
      <c r="CR48">
        <v>3198.49</v>
      </c>
      <c r="CS48">
        <v>5813.45</v>
      </c>
      <c r="CT48">
        <v>0</v>
      </c>
      <c r="CU48">
        <v>187</v>
      </c>
      <c r="CV48">
        <v>0</v>
      </c>
      <c r="CW48">
        <v>0</v>
      </c>
      <c r="CX48">
        <v>500</v>
      </c>
      <c r="CY48">
        <v>25855.3866666667</v>
      </c>
      <c r="CZ48">
        <v>23491.5</v>
      </c>
      <c r="DA48">
        <v>0</v>
      </c>
      <c r="DB48">
        <v>200</v>
      </c>
      <c r="DC48">
        <v>82.5</v>
      </c>
      <c r="DD48">
        <v>0</v>
      </c>
      <c r="DE48">
        <v>0</v>
      </c>
      <c r="DF48">
        <v>2081.38666666667</v>
      </c>
      <c r="DG48">
        <v>0</v>
      </c>
      <c r="DH48" s="3">
        <v>120553</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16088</v>
      </c>
      <c r="EG48">
        <v>0</v>
      </c>
      <c r="EH48">
        <v>5311</v>
      </c>
      <c r="EI48">
        <v>389703.24</v>
      </c>
      <c r="EJ48">
        <v>0</v>
      </c>
      <c r="EK48">
        <v>0</v>
      </c>
      <c r="EL48">
        <v>0</v>
      </c>
      <c r="EM48">
        <v>19419</v>
      </c>
      <c r="EN48">
        <v>0</v>
      </c>
      <c r="EO48">
        <v>6715</v>
      </c>
      <c r="EP48">
        <v>0</v>
      </c>
      <c r="EQ48">
        <v>6715</v>
      </c>
      <c r="ER48">
        <v>16848</v>
      </c>
      <c r="ES48">
        <v>0</v>
      </c>
      <c r="ET48">
        <v>0</v>
      </c>
      <c r="EU48">
        <v>0</v>
      </c>
      <c r="EV48" s="4">
        <v>53.3333333333333</v>
      </c>
      <c r="EW48">
        <v>0</v>
      </c>
      <c r="EX48">
        <v>0</v>
      </c>
      <c r="EY48" s="4">
        <v>53.3333333333333</v>
      </c>
      <c r="EZ48">
        <v>0</v>
      </c>
      <c r="FA48">
        <v>0</v>
      </c>
      <c r="FB48">
        <v>0</v>
      </c>
      <c r="FC48">
        <v>0</v>
      </c>
      <c r="FD48">
        <v>0</v>
      </c>
      <c r="FE48">
        <v>0</v>
      </c>
      <c r="FF48">
        <v>0</v>
      </c>
      <c r="FG48">
        <v>0</v>
      </c>
      <c r="FH48">
        <v>0</v>
      </c>
      <c r="FI48" s="4">
        <v>499567.19</v>
      </c>
      <c r="FJ48">
        <v>41212.04</v>
      </c>
      <c r="FK48">
        <v>41212.04</v>
      </c>
      <c r="FL48">
        <v>0</v>
      </c>
      <c r="FM48" s="4">
        <v>2812.5</v>
      </c>
      <c r="FN48">
        <v>0</v>
      </c>
      <c r="FO48">
        <v>0</v>
      </c>
      <c r="FP48">
        <v>0</v>
      </c>
      <c r="FQ48">
        <v>0</v>
      </c>
      <c r="FR48">
        <v>2812.5</v>
      </c>
      <c r="FS48">
        <v>0</v>
      </c>
      <c r="FT48">
        <v>21616.4</v>
      </c>
      <c r="FU48">
        <v>54041</v>
      </c>
      <c r="FV48">
        <v>8106.15</v>
      </c>
      <c r="FY48">
        <v>2702050</v>
      </c>
      <c r="FZ48">
        <v>2639370.27944444</v>
      </c>
      <c r="GA48">
        <v>398901.800444444</v>
      </c>
      <c r="GB48">
        <v>2240468.479</v>
      </c>
      <c r="GC48">
        <v>461581.521</v>
      </c>
      <c r="GD48">
        <v>0.17082641734979</v>
      </c>
      <c r="GE48">
        <v>62679.720555556</v>
      </c>
      <c r="GF48">
        <v>0.023197098704893</v>
      </c>
      <c r="GJ48">
        <v>45322</v>
      </c>
      <c r="GL48">
        <v>45327</v>
      </c>
      <c r="GO48">
        <v>45331</v>
      </c>
      <c r="GR48" t="s">
        <v>694</v>
      </c>
      <c r="GU48" t="s">
        <v>694</v>
      </c>
      <c r="HA48">
        <v>45333</v>
      </c>
      <c r="HB48">
        <v>45338</v>
      </c>
      <c r="HE48">
        <v>39</v>
      </c>
      <c r="HF48">
        <v>4</v>
      </c>
      <c r="HG48">
        <v>9</v>
      </c>
      <c r="HH48">
        <v>26</v>
      </c>
      <c r="HK48">
        <v>67</v>
      </c>
      <c r="HL48">
        <v>29</v>
      </c>
      <c r="HM48">
        <v>31</v>
      </c>
      <c r="HN48">
        <v>0</v>
      </c>
      <c r="HO48">
        <v>0</v>
      </c>
      <c r="HP48">
        <v>0</v>
      </c>
      <c r="HQ48">
        <v>95</v>
      </c>
      <c r="HR48">
        <v>23</v>
      </c>
      <c r="HU48" s="10"/>
    </row>
    <row r="49" spans="1:229">
      <c r="A49" s="1">
        <f t="shared" si="0"/>
        <v>48</v>
      </c>
      <c r="B49" s="2">
        <v>2024</v>
      </c>
      <c r="C49" s="2" t="s">
        <v>35</v>
      </c>
      <c r="D49" s="2" t="s">
        <v>27</v>
      </c>
      <c r="E49" s="9">
        <v>40573</v>
      </c>
      <c r="F49" s="2" t="s">
        <v>725</v>
      </c>
      <c r="G49" s="2" t="s">
        <v>726</v>
      </c>
      <c r="H49" s="2" t="s">
        <v>759</v>
      </c>
      <c r="I49" s="1" t="s">
        <v>765</v>
      </c>
      <c r="J49" t="s">
        <v>311</v>
      </c>
      <c r="K49" t="s">
        <v>31</v>
      </c>
      <c r="L49" t="s">
        <v>32</v>
      </c>
      <c r="M49">
        <v>2</v>
      </c>
      <c r="N49">
        <v>1435</v>
      </c>
      <c r="O49" s="3">
        <v>1449</v>
      </c>
      <c r="P49" s="4">
        <v>4</v>
      </c>
      <c r="Q49" s="4">
        <v>0</v>
      </c>
      <c r="R49" s="4">
        <v>6</v>
      </c>
      <c r="S49" s="4">
        <v>4</v>
      </c>
      <c r="T49" s="4">
        <v>10</v>
      </c>
      <c r="U49" s="4">
        <v>14</v>
      </c>
      <c r="V49" s="4">
        <v>0</v>
      </c>
      <c r="W49" s="4">
        <v>0.333333333333333</v>
      </c>
      <c r="X49" s="4">
        <v>0.466666666666667</v>
      </c>
      <c r="Y49" s="3">
        <v>2812994</v>
      </c>
      <c r="Z49">
        <v>-25742.934988888</v>
      </c>
      <c r="AA49">
        <v>2838736.93498889</v>
      </c>
      <c r="AB49">
        <v>360705.742055555</v>
      </c>
      <c r="AC49">
        <v>163333.333333333</v>
      </c>
      <c r="AD49">
        <v>163333.333333333</v>
      </c>
      <c r="AE49">
        <v>0</v>
      </c>
      <c r="AF49">
        <v>4379.718</v>
      </c>
      <c r="AG49">
        <v>4379.718</v>
      </c>
      <c r="AH49">
        <v>0</v>
      </c>
      <c r="AI49">
        <v>1659.35738888889</v>
      </c>
      <c r="AJ49">
        <v>1188.33011111111</v>
      </c>
      <c r="AK49">
        <v>0</v>
      </c>
      <c r="AL49">
        <v>471.027277777779</v>
      </c>
      <c r="AM49">
        <v>0</v>
      </c>
      <c r="AN49">
        <v>0</v>
      </c>
      <c r="AO49">
        <v>0</v>
      </c>
      <c r="AP49">
        <v>0</v>
      </c>
      <c r="AQ49">
        <v>0</v>
      </c>
      <c r="AR49">
        <v>0</v>
      </c>
      <c r="AS49">
        <v>0</v>
      </c>
      <c r="AT49">
        <v>0</v>
      </c>
      <c r="AU49">
        <v>0</v>
      </c>
      <c r="AV49">
        <v>0</v>
      </c>
      <c r="AW49">
        <v>0</v>
      </c>
      <c r="AX49">
        <v>0</v>
      </c>
      <c r="AY49">
        <v>191333.333333333</v>
      </c>
      <c r="AZ49">
        <v>2478031.19293333</v>
      </c>
      <c r="BA49">
        <v>750177.4956</v>
      </c>
      <c r="BB49">
        <v>51840</v>
      </c>
      <c r="BC49">
        <v>51840</v>
      </c>
      <c r="BD49">
        <v>0</v>
      </c>
      <c r="BE49">
        <v>0</v>
      </c>
      <c r="BF49">
        <v>248651</v>
      </c>
      <c r="BG49">
        <v>248651</v>
      </c>
      <c r="BH49">
        <v>0</v>
      </c>
      <c r="BI49">
        <v>6897.852</v>
      </c>
      <c r="BJ49">
        <v>206726</v>
      </c>
      <c r="BK49">
        <v>0</v>
      </c>
      <c r="BL49">
        <v>0</v>
      </c>
      <c r="BM49">
        <v>0</v>
      </c>
      <c r="BN49">
        <v>59041.6336</v>
      </c>
      <c r="BO49">
        <v>90108.97</v>
      </c>
      <c r="BP49">
        <v>16000</v>
      </c>
      <c r="BQ49">
        <v>0</v>
      </c>
      <c r="BR49">
        <v>0</v>
      </c>
      <c r="BS49">
        <v>74108.97</v>
      </c>
      <c r="BT49">
        <v>86912.04</v>
      </c>
      <c r="BU49">
        <v>78246</v>
      </c>
      <c r="BV49">
        <v>8666.04</v>
      </c>
      <c r="BW49">
        <v>0</v>
      </c>
      <c r="BX49">
        <v>0</v>
      </c>
      <c r="BY49">
        <v>157213.98</v>
      </c>
      <c r="BZ49">
        <v>157213.98</v>
      </c>
      <c r="CA49">
        <v>121966.24</v>
      </c>
      <c r="CB49">
        <v>2255.28</v>
      </c>
      <c r="CC49">
        <v>32992.46</v>
      </c>
      <c r="CD49">
        <v>0</v>
      </c>
      <c r="CE49">
        <v>0</v>
      </c>
      <c r="CF49">
        <v>0</v>
      </c>
      <c r="CG49">
        <v>0</v>
      </c>
      <c r="CH49">
        <v>1570639.71733333</v>
      </c>
      <c r="CI49">
        <v>156593</v>
      </c>
      <c r="CJ49">
        <v>0</v>
      </c>
      <c r="CK49">
        <v>0</v>
      </c>
      <c r="CL49">
        <v>62998</v>
      </c>
      <c r="CM49">
        <v>52778</v>
      </c>
      <c r="CN49">
        <v>2852</v>
      </c>
      <c r="CO49">
        <v>37965</v>
      </c>
      <c r="CP49">
        <v>161000</v>
      </c>
      <c r="CQ49">
        <v>15427.12</v>
      </c>
      <c r="CR49">
        <v>2487.72</v>
      </c>
      <c r="CS49">
        <v>12248.4</v>
      </c>
      <c r="CT49">
        <v>0</v>
      </c>
      <c r="CU49">
        <v>191</v>
      </c>
      <c r="CV49">
        <v>0</v>
      </c>
      <c r="CW49">
        <v>0</v>
      </c>
      <c r="CX49">
        <v>500</v>
      </c>
      <c r="CY49">
        <v>25855.3866666667</v>
      </c>
      <c r="CZ49">
        <v>23491.5</v>
      </c>
      <c r="DA49">
        <v>0</v>
      </c>
      <c r="DB49">
        <v>200</v>
      </c>
      <c r="DC49">
        <v>82.5</v>
      </c>
      <c r="DD49">
        <v>0</v>
      </c>
      <c r="DE49">
        <v>0</v>
      </c>
      <c r="DF49">
        <v>2081.38666666667</v>
      </c>
      <c r="DG49">
        <v>0</v>
      </c>
      <c r="DH49" s="3">
        <v>122235</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15732</v>
      </c>
      <c r="EG49">
        <v>0</v>
      </c>
      <c r="EH49">
        <v>5311</v>
      </c>
      <c r="EI49">
        <v>389314.13</v>
      </c>
      <c r="EJ49">
        <v>0</v>
      </c>
      <c r="EK49">
        <v>0</v>
      </c>
      <c r="EL49">
        <v>0</v>
      </c>
      <c r="EM49">
        <v>45835</v>
      </c>
      <c r="EN49">
        <v>0</v>
      </c>
      <c r="EO49">
        <v>6873</v>
      </c>
      <c r="EP49">
        <v>0</v>
      </c>
      <c r="EQ49">
        <v>6873</v>
      </c>
      <c r="ER49">
        <v>13986</v>
      </c>
      <c r="ES49">
        <v>0</v>
      </c>
      <c r="ET49">
        <v>0</v>
      </c>
      <c r="EU49">
        <v>0</v>
      </c>
      <c r="EV49" s="4">
        <v>46.6666666666667</v>
      </c>
      <c r="EW49">
        <v>0</v>
      </c>
      <c r="EX49">
        <v>0</v>
      </c>
      <c r="EY49" s="4">
        <v>46.6666666666667</v>
      </c>
      <c r="EZ49">
        <v>0</v>
      </c>
      <c r="FA49">
        <v>0</v>
      </c>
      <c r="FB49">
        <v>0</v>
      </c>
      <c r="FC49">
        <v>0</v>
      </c>
      <c r="FD49">
        <v>0</v>
      </c>
      <c r="FE49">
        <v>0</v>
      </c>
      <c r="FF49">
        <v>0</v>
      </c>
      <c r="FG49">
        <v>0</v>
      </c>
      <c r="FH49">
        <v>0</v>
      </c>
      <c r="FI49" s="4">
        <v>481204.06</v>
      </c>
      <c r="FJ49">
        <v>41212.04</v>
      </c>
      <c r="FK49">
        <v>41212.04</v>
      </c>
      <c r="FL49">
        <v>0</v>
      </c>
      <c r="FM49" s="4">
        <v>2812.5</v>
      </c>
      <c r="FN49">
        <v>0</v>
      </c>
      <c r="FO49">
        <v>0</v>
      </c>
      <c r="FP49">
        <v>0</v>
      </c>
      <c r="FQ49">
        <v>0</v>
      </c>
      <c r="FR49">
        <v>2812.5</v>
      </c>
      <c r="FS49">
        <v>0</v>
      </c>
      <c r="FT49">
        <v>22503.952</v>
      </c>
      <c r="FU49">
        <v>56259.88</v>
      </c>
      <c r="FV49">
        <v>8438.982</v>
      </c>
      <c r="FY49">
        <v>2812994</v>
      </c>
      <c r="FZ49">
        <v>2838736.93498889</v>
      </c>
      <c r="GA49">
        <v>360705.742055555</v>
      </c>
      <c r="GB49">
        <v>2478031.19293333</v>
      </c>
      <c r="GC49">
        <v>334962.807066667</v>
      </c>
      <c r="GD49">
        <v>0.119076971748488</v>
      </c>
      <c r="GE49">
        <v>-25742.934988888</v>
      </c>
      <c r="GF49">
        <v>-0.00915143615268571</v>
      </c>
      <c r="GJ49">
        <v>45390</v>
      </c>
      <c r="GL49">
        <v>45394</v>
      </c>
      <c r="GO49">
        <v>45397</v>
      </c>
      <c r="GR49" t="s">
        <v>694</v>
      </c>
      <c r="GU49" t="s">
        <v>694</v>
      </c>
      <c r="HA49">
        <v>45400</v>
      </c>
      <c r="HB49">
        <v>45404</v>
      </c>
      <c r="HE49">
        <v>37</v>
      </c>
      <c r="HF49">
        <v>5</v>
      </c>
      <c r="HG49">
        <v>9</v>
      </c>
      <c r="HH49">
        <v>23</v>
      </c>
      <c r="HK49">
        <v>50</v>
      </c>
      <c r="HL49">
        <v>34</v>
      </c>
      <c r="HM49">
        <v>27</v>
      </c>
      <c r="HN49">
        <v>0</v>
      </c>
      <c r="HO49">
        <v>0</v>
      </c>
      <c r="HP49">
        <v>0</v>
      </c>
      <c r="HQ49">
        <v>93</v>
      </c>
      <c r="HR49">
        <v>27</v>
      </c>
      <c r="HU49" s="10"/>
    </row>
    <row r="50" spans="1:229">
      <c r="A50" s="1">
        <f t="shared" si="0"/>
        <v>49</v>
      </c>
      <c r="B50" s="2">
        <v>2024</v>
      </c>
      <c r="C50" s="2" t="s">
        <v>708</v>
      </c>
      <c r="D50" s="2" t="s">
        <v>27</v>
      </c>
      <c r="E50" s="9" t="s">
        <v>731</v>
      </c>
      <c r="F50" s="2" t="s">
        <v>732</v>
      </c>
      <c r="G50" s="2" t="s">
        <v>28</v>
      </c>
      <c r="H50" s="2" t="s">
        <v>711</v>
      </c>
      <c r="I50" s="2" t="s">
        <v>766</v>
      </c>
      <c r="J50" t="s">
        <v>318</v>
      </c>
      <c r="K50" t="s">
        <v>41</v>
      </c>
      <c r="L50" t="s">
        <v>32</v>
      </c>
      <c r="M50">
        <v>3</v>
      </c>
      <c r="N50">
        <v>5662</v>
      </c>
      <c r="O50" s="3">
        <v>5755</v>
      </c>
      <c r="P50" s="4">
        <v>26</v>
      </c>
      <c r="Q50" s="4">
        <v>0</v>
      </c>
      <c r="R50" s="4">
        <v>45</v>
      </c>
      <c r="S50" s="4">
        <v>10</v>
      </c>
      <c r="T50" s="4">
        <v>55</v>
      </c>
      <c r="U50" s="4">
        <v>81</v>
      </c>
      <c r="V50" s="4">
        <v>0</v>
      </c>
      <c r="W50" s="4">
        <v>1.83333333333333</v>
      </c>
      <c r="X50" s="4">
        <v>2.7</v>
      </c>
      <c r="Y50" s="3">
        <v>21066801.74</v>
      </c>
      <c r="Z50">
        <v>-1515787.10798193</v>
      </c>
      <c r="AA50">
        <v>22582588.8479819</v>
      </c>
      <c r="AB50">
        <v>4751906.10664381</v>
      </c>
      <c r="AC50">
        <v>1147500</v>
      </c>
      <c r="AD50">
        <v>1147500</v>
      </c>
      <c r="AE50">
        <v>0</v>
      </c>
      <c r="AF50">
        <v>877045.302</v>
      </c>
      <c r="AG50">
        <v>34477.6387499999</v>
      </c>
      <c r="AH50">
        <v>842567.66325</v>
      </c>
      <c r="AI50">
        <v>67603.38075</v>
      </c>
      <c r="AJ50">
        <v>33868.3275</v>
      </c>
      <c r="AK50">
        <v>17712.7065</v>
      </c>
      <c r="AL50">
        <v>16022.34675</v>
      </c>
      <c r="AM50">
        <v>1552757.42389381</v>
      </c>
      <c r="AN50">
        <v>227845.919469027</v>
      </c>
      <c r="AO50">
        <v>1324911.50442478</v>
      </c>
      <c r="AP50">
        <v>0</v>
      </c>
      <c r="AQ50">
        <v>0</v>
      </c>
      <c r="AR50">
        <v>0</v>
      </c>
      <c r="AS50">
        <v>0</v>
      </c>
      <c r="AT50">
        <v>0</v>
      </c>
      <c r="AU50">
        <v>0</v>
      </c>
      <c r="AV50">
        <v>0</v>
      </c>
      <c r="AW50">
        <v>0</v>
      </c>
      <c r="AX50">
        <v>0</v>
      </c>
      <c r="AY50">
        <v>1107000</v>
      </c>
      <c r="AZ50">
        <v>17830682.7413381</v>
      </c>
      <c r="BA50">
        <v>4452333.3332</v>
      </c>
      <c r="BB50">
        <v>474292.0332</v>
      </c>
      <c r="BC50">
        <v>474292.0332</v>
      </c>
      <c r="BD50">
        <v>0</v>
      </c>
      <c r="BE50">
        <v>0</v>
      </c>
      <c r="BF50">
        <v>1475898</v>
      </c>
      <c r="BG50">
        <v>1475898</v>
      </c>
      <c r="BH50">
        <v>0</v>
      </c>
      <c r="BI50">
        <v>57242.4</v>
      </c>
      <c r="BJ50">
        <v>152957</v>
      </c>
      <c r="BK50">
        <v>1071289.82</v>
      </c>
      <c r="BL50">
        <v>442918.02</v>
      </c>
      <c r="BM50">
        <v>628371.8</v>
      </c>
      <c r="BN50">
        <v>324189.86</v>
      </c>
      <c r="BO50">
        <v>213581.48</v>
      </c>
      <c r="BP50">
        <v>88000</v>
      </c>
      <c r="BQ50">
        <v>0</v>
      </c>
      <c r="BR50">
        <v>0</v>
      </c>
      <c r="BS50">
        <v>125581.48</v>
      </c>
      <c r="BT50">
        <v>682882.74</v>
      </c>
      <c r="BU50">
        <v>598520</v>
      </c>
      <c r="BV50">
        <v>84362.74</v>
      </c>
      <c r="BW50">
        <v>0</v>
      </c>
      <c r="BX50">
        <v>0</v>
      </c>
      <c r="BY50">
        <v>575113.005660377</v>
      </c>
      <c r="BZ50">
        <v>89688.58</v>
      </c>
      <c r="CA50">
        <v>43958.24</v>
      </c>
      <c r="CB50">
        <v>26919.11</v>
      </c>
      <c r="CC50">
        <v>18811.23</v>
      </c>
      <c r="CD50">
        <v>485424.425660377</v>
      </c>
      <c r="CE50">
        <v>0</v>
      </c>
      <c r="CF50">
        <v>62879.52</v>
      </c>
      <c r="CG50">
        <v>422544.905660377</v>
      </c>
      <c r="CH50">
        <v>12803236.4024777</v>
      </c>
      <c r="CI50">
        <v>882026</v>
      </c>
      <c r="CJ50">
        <v>0</v>
      </c>
      <c r="CK50">
        <v>0</v>
      </c>
      <c r="CL50">
        <v>455056</v>
      </c>
      <c r="CM50">
        <v>221741</v>
      </c>
      <c r="CN50">
        <v>11592</v>
      </c>
      <c r="CO50">
        <v>193637</v>
      </c>
      <c r="CP50">
        <v>1012500</v>
      </c>
      <c r="CQ50">
        <v>109000.9475</v>
      </c>
      <c r="CR50">
        <v>17454.05</v>
      </c>
      <c r="CS50">
        <v>46999</v>
      </c>
      <c r="CT50">
        <v>0</v>
      </c>
      <c r="CU50">
        <v>1312.5</v>
      </c>
      <c r="CV50">
        <v>0</v>
      </c>
      <c r="CW50">
        <v>0</v>
      </c>
      <c r="CX50">
        <v>43235.3975</v>
      </c>
      <c r="CY50">
        <v>29763.3410377358</v>
      </c>
      <c r="CZ50">
        <v>10177.875</v>
      </c>
      <c r="DA50">
        <v>0</v>
      </c>
      <c r="DB50">
        <v>925</v>
      </c>
      <c r="DC50">
        <v>185</v>
      </c>
      <c r="DD50">
        <v>0</v>
      </c>
      <c r="DE50">
        <v>0</v>
      </c>
      <c r="DF50">
        <v>18475.4660377358</v>
      </c>
      <c r="DG50">
        <v>0</v>
      </c>
      <c r="DH50" s="3">
        <v>498893</v>
      </c>
      <c r="DI50">
        <v>109930.3</v>
      </c>
      <c r="DJ50">
        <v>0</v>
      </c>
      <c r="DK50">
        <v>0</v>
      </c>
      <c r="DL50">
        <v>0</v>
      </c>
      <c r="DM50">
        <v>0</v>
      </c>
      <c r="DN50">
        <v>0</v>
      </c>
      <c r="DO50">
        <v>0</v>
      </c>
      <c r="DP50">
        <v>109930.3</v>
      </c>
      <c r="DQ50">
        <v>11600</v>
      </c>
      <c r="DR50">
        <v>0</v>
      </c>
      <c r="DS50">
        <v>0</v>
      </c>
      <c r="DT50">
        <v>0</v>
      </c>
      <c r="DU50">
        <v>0</v>
      </c>
      <c r="DV50">
        <v>0</v>
      </c>
      <c r="DW50">
        <v>0</v>
      </c>
      <c r="DX50">
        <v>0</v>
      </c>
      <c r="DY50">
        <v>11600</v>
      </c>
      <c r="DZ50">
        <v>0</v>
      </c>
      <c r="EA50">
        <v>0</v>
      </c>
      <c r="EB50">
        <v>0</v>
      </c>
      <c r="EC50">
        <v>0</v>
      </c>
      <c r="ED50">
        <v>0</v>
      </c>
      <c r="EE50">
        <v>0</v>
      </c>
      <c r="EF50">
        <v>48996</v>
      </c>
      <c r="EG50">
        <v>0</v>
      </c>
      <c r="EH50">
        <v>245773</v>
      </c>
      <c r="EI50">
        <v>1617350.03</v>
      </c>
      <c r="EJ50">
        <v>0</v>
      </c>
      <c r="EK50">
        <v>748200</v>
      </c>
      <c r="EL50">
        <v>1637819</v>
      </c>
      <c r="EM50">
        <v>208520</v>
      </c>
      <c r="EN50">
        <v>288600</v>
      </c>
      <c r="EO50">
        <v>74236.4</v>
      </c>
      <c r="EP50">
        <v>74236.4</v>
      </c>
      <c r="EQ50">
        <v>0</v>
      </c>
      <c r="ER50">
        <v>91854</v>
      </c>
      <c r="ES50">
        <v>0</v>
      </c>
      <c r="ET50">
        <v>0</v>
      </c>
      <c r="EU50">
        <v>5460</v>
      </c>
      <c r="EV50" s="4">
        <v>270</v>
      </c>
      <c r="EW50">
        <v>0</v>
      </c>
      <c r="EX50">
        <v>0</v>
      </c>
      <c r="EY50" s="4">
        <v>270</v>
      </c>
      <c r="EZ50">
        <v>0</v>
      </c>
      <c r="FA50">
        <v>0</v>
      </c>
      <c r="FB50">
        <v>0</v>
      </c>
      <c r="FC50">
        <v>0</v>
      </c>
      <c r="FD50">
        <v>0</v>
      </c>
      <c r="FE50">
        <v>55000</v>
      </c>
      <c r="FF50">
        <v>0</v>
      </c>
      <c r="FG50">
        <v>55000</v>
      </c>
      <c r="FH50">
        <v>1165896</v>
      </c>
      <c r="FI50" s="4">
        <v>3149807.67</v>
      </c>
      <c r="FJ50">
        <v>125594.86</v>
      </c>
      <c r="FK50">
        <v>125594.86</v>
      </c>
      <c r="FL50">
        <v>0</v>
      </c>
      <c r="FM50" s="4">
        <v>33075</v>
      </c>
      <c r="FN50">
        <v>0</v>
      </c>
      <c r="FO50">
        <v>0</v>
      </c>
      <c r="FP50">
        <v>0</v>
      </c>
      <c r="FQ50">
        <v>0</v>
      </c>
      <c r="FR50">
        <v>33075</v>
      </c>
      <c r="FS50">
        <v>0</v>
      </c>
      <c r="FT50">
        <v>168534.41392</v>
      </c>
      <c r="FU50">
        <v>421336.0348</v>
      </c>
      <c r="FV50">
        <v>63200.40522</v>
      </c>
      <c r="FY50">
        <v>21066801.74</v>
      </c>
      <c r="FZ50">
        <v>22582588.8479819</v>
      </c>
      <c r="GA50">
        <v>4751906.10664381</v>
      </c>
      <c r="GB50">
        <v>17830682.7413381</v>
      </c>
      <c r="GC50">
        <v>3236118.99866188</v>
      </c>
      <c r="GD50">
        <v>0.153612258690288</v>
      </c>
      <c r="GE50">
        <v>-1515787.10798193</v>
      </c>
      <c r="GF50">
        <v>-0.0719514583508834</v>
      </c>
      <c r="GJ50">
        <v>45557</v>
      </c>
      <c r="GL50">
        <v>45583</v>
      </c>
      <c r="GO50">
        <v>45587</v>
      </c>
      <c r="GR50">
        <v>45605</v>
      </c>
      <c r="GU50" t="s">
        <v>694</v>
      </c>
      <c r="HA50">
        <v>45628</v>
      </c>
      <c r="HB50">
        <v>45638</v>
      </c>
      <c r="HE50">
        <v>42</v>
      </c>
      <c r="HF50">
        <v>3</v>
      </c>
      <c r="HG50">
        <v>14</v>
      </c>
      <c r="HH50">
        <v>25</v>
      </c>
      <c r="HK50">
        <v>396</v>
      </c>
      <c r="HL50">
        <v>146</v>
      </c>
      <c r="HM50">
        <v>55</v>
      </c>
      <c r="HN50">
        <v>87</v>
      </c>
      <c r="HO50">
        <v>0</v>
      </c>
      <c r="HP50">
        <v>43</v>
      </c>
      <c r="HQ50">
        <v>342</v>
      </c>
      <c r="HR50">
        <v>251</v>
      </c>
      <c r="HU50" s="10"/>
    </row>
    <row r="51" spans="1:229">
      <c r="A51" s="1">
        <f t="shared" si="0"/>
        <v>50</v>
      </c>
      <c r="B51" s="2">
        <v>2024</v>
      </c>
      <c r="C51" s="2" t="s">
        <v>47</v>
      </c>
      <c r="D51" s="2" t="s">
        <v>27</v>
      </c>
      <c r="E51" s="9">
        <v>50639</v>
      </c>
      <c r="F51" s="2" t="s">
        <v>723</v>
      </c>
      <c r="G51" s="2" t="s">
        <v>36</v>
      </c>
      <c r="H51" s="2" t="s">
        <v>711</v>
      </c>
      <c r="I51" s="2" t="s">
        <v>767</v>
      </c>
      <c r="J51" t="s">
        <v>318</v>
      </c>
      <c r="K51" t="s">
        <v>730</v>
      </c>
      <c r="L51" t="s">
        <v>32</v>
      </c>
      <c r="M51">
        <v>3</v>
      </c>
      <c r="N51">
        <v>4194</v>
      </c>
      <c r="O51" s="3">
        <v>4088</v>
      </c>
      <c r="P51" s="4">
        <v>7</v>
      </c>
      <c r="Q51" s="4">
        <v>0</v>
      </c>
      <c r="R51" s="4">
        <v>19</v>
      </c>
      <c r="S51" s="4">
        <v>11</v>
      </c>
      <c r="T51" s="4">
        <v>30</v>
      </c>
      <c r="U51" s="4">
        <v>37</v>
      </c>
      <c r="V51" s="4">
        <v>0</v>
      </c>
      <c r="W51" s="4">
        <v>1</v>
      </c>
      <c r="X51" s="4">
        <v>1.23333333333333</v>
      </c>
      <c r="Y51" s="3">
        <v>15632907.43</v>
      </c>
      <c r="Z51">
        <v>866931.74051656</v>
      </c>
      <c r="AA51">
        <v>14765975.6894834</v>
      </c>
      <c r="AB51">
        <v>1275802.54280555</v>
      </c>
      <c r="AC51">
        <v>709166.666666667</v>
      </c>
      <c r="AD51">
        <v>709166.666666667</v>
      </c>
      <c r="AE51">
        <v>0</v>
      </c>
      <c r="AF51">
        <v>46047.2656944444</v>
      </c>
      <c r="AG51">
        <v>46047.2656944444</v>
      </c>
      <c r="AH51">
        <v>0</v>
      </c>
      <c r="AI51">
        <v>14921.9437777778</v>
      </c>
      <c r="AJ51">
        <v>5534.76113888889</v>
      </c>
      <c r="AK51">
        <v>5248.78505555556</v>
      </c>
      <c r="AL51">
        <v>4138.39758333333</v>
      </c>
      <c r="AM51">
        <v>0</v>
      </c>
      <c r="AN51">
        <v>0</v>
      </c>
      <c r="AO51">
        <v>0</v>
      </c>
      <c r="AP51">
        <v>0</v>
      </c>
      <c r="AQ51">
        <v>0</v>
      </c>
      <c r="AR51">
        <v>0</v>
      </c>
      <c r="AS51">
        <v>0</v>
      </c>
      <c r="AT51">
        <v>0</v>
      </c>
      <c r="AU51">
        <v>0</v>
      </c>
      <c r="AV51">
        <v>0</v>
      </c>
      <c r="AW51">
        <v>0</v>
      </c>
      <c r="AX51">
        <v>0</v>
      </c>
      <c r="AY51">
        <v>505666.666666665</v>
      </c>
      <c r="AZ51">
        <v>13490173.1466779</v>
      </c>
      <c r="BA51">
        <v>2791276.6112</v>
      </c>
      <c r="BB51">
        <v>254910.5856</v>
      </c>
      <c r="BC51">
        <v>254910.5856</v>
      </c>
      <c r="BD51">
        <v>0</v>
      </c>
      <c r="BE51">
        <v>0</v>
      </c>
      <c r="BF51">
        <v>1034687</v>
      </c>
      <c r="BG51">
        <v>1034687</v>
      </c>
      <c r="BH51">
        <v>0</v>
      </c>
      <c r="BI51">
        <v>10134.72</v>
      </c>
      <c r="BJ51">
        <v>202371</v>
      </c>
      <c r="BK51">
        <v>679412</v>
      </c>
      <c r="BL51">
        <v>265812</v>
      </c>
      <c r="BM51">
        <v>413600</v>
      </c>
      <c r="BN51">
        <v>98112.0356</v>
      </c>
      <c r="BO51">
        <v>214616.31</v>
      </c>
      <c r="BP51">
        <v>48000</v>
      </c>
      <c r="BQ51">
        <v>0</v>
      </c>
      <c r="BR51">
        <v>0</v>
      </c>
      <c r="BS51">
        <v>166616.31</v>
      </c>
      <c r="BT51">
        <v>297032.96</v>
      </c>
      <c r="BU51">
        <v>257544</v>
      </c>
      <c r="BV51">
        <v>39488.96</v>
      </c>
      <c r="BW51">
        <v>0</v>
      </c>
      <c r="BX51">
        <v>0</v>
      </c>
      <c r="BY51">
        <v>688316.82</v>
      </c>
      <c r="BZ51">
        <v>403271.36</v>
      </c>
      <c r="CA51">
        <v>31153.13</v>
      </c>
      <c r="CB51">
        <v>11308.29</v>
      </c>
      <c r="CC51">
        <v>360809.94</v>
      </c>
      <c r="CD51">
        <v>285045.46</v>
      </c>
      <c r="CE51">
        <v>205827.67</v>
      </c>
      <c r="CF51">
        <v>79217.79</v>
      </c>
      <c r="CG51">
        <v>0</v>
      </c>
      <c r="CH51">
        <v>10010579.7154779</v>
      </c>
      <c r="CI51">
        <v>710050</v>
      </c>
      <c r="CJ51">
        <v>0</v>
      </c>
      <c r="CK51">
        <v>0</v>
      </c>
      <c r="CL51">
        <v>428273</v>
      </c>
      <c r="CM51">
        <v>94633</v>
      </c>
      <c r="CN51">
        <v>22660</v>
      </c>
      <c r="CO51">
        <v>164484</v>
      </c>
      <c r="CP51">
        <v>277499.999999999</v>
      </c>
      <c r="CQ51">
        <v>36321.1828571429</v>
      </c>
      <c r="CR51">
        <v>11024.04</v>
      </c>
      <c r="CS51">
        <v>24190</v>
      </c>
      <c r="CT51">
        <v>0</v>
      </c>
      <c r="CU51">
        <v>250</v>
      </c>
      <c r="CV51">
        <v>0</v>
      </c>
      <c r="CW51">
        <v>0</v>
      </c>
      <c r="CX51">
        <v>857.142857142857</v>
      </c>
      <c r="CY51">
        <v>67721.7969002695</v>
      </c>
      <c r="CZ51">
        <v>5465.5</v>
      </c>
      <c r="DA51">
        <v>0</v>
      </c>
      <c r="DB51">
        <v>414</v>
      </c>
      <c r="DC51">
        <v>47.1428571428571</v>
      </c>
      <c r="DD51">
        <v>57879.72</v>
      </c>
      <c r="DE51">
        <v>1390</v>
      </c>
      <c r="DF51">
        <v>2525.43404312668</v>
      </c>
      <c r="DG51">
        <v>0</v>
      </c>
      <c r="DH51" s="3">
        <v>776975</v>
      </c>
      <c r="DI51">
        <v>92232</v>
      </c>
      <c r="DJ51">
        <v>0</v>
      </c>
      <c r="DK51">
        <v>0</v>
      </c>
      <c r="DL51">
        <v>0</v>
      </c>
      <c r="DM51">
        <v>0</v>
      </c>
      <c r="DN51">
        <v>0</v>
      </c>
      <c r="DO51">
        <v>0</v>
      </c>
      <c r="DP51">
        <v>92232</v>
      </c>
      <c r="DQ51">
        <v>12200</v>
      </c>
      <c r="DR51">
        <v>0</v>
      </c>
      <c r="DS51">
        <v>0</v>
      </c>
      <c r="DT51">
        <v>0</v>
      </c>
      <c r="DU51">
        <v>0</v>
      </c>
      <c r="DV51">
        <v>0</v>
      </c>
      <c r="DW51">
        <v>0</v>
      </c>
      <c r="DX51">
        <v>0</v>
      </c>
      <c r="DY51">
        <v>12200</v>
      </c>
      <c r="DZ51">
        <v>0</v>
      </c>
      <c r="EA51">
        <v>0</v>
      </c>
      <c r="EB51">
        <v>0</v>
      </c>
      <c r="EC51">
        <v>0</v>
      </c>
      <c r="ED51">
        <v>0</v>
      </c>
      <c r="EE51">
        <v>0</v>
      </c>
      <c r="EF51">
        <v>39324</v>
      </c>
      <c r="EG51">
        <v>0</v>
      </c>
      <c r="EH51">
        <v>133038.93</v>
      </c>
      <c r="EI51">
        <v>1528828.81</v>
      </c>
      <c r="EJ51">
        <v>0</v>
      </c>
      <c r="EK51">
        <v>632297.7692</v>
      </c>
      <c r="EL51">
        <v>1133390</v>
      </c>
      <c r="EM51">
        <v>322663</v>
      </c>
      <c r="EN51">
        <v>110050</v>
      </c>
      <c r="EO51">
        <v>70000</v>
      </c>
      <c r="EP51">
        <v>70000</v>
      </c>
      <c r="EQ51">
        <v>0</v>
      </c>
      <c r="ER51">
        <v>37962</v>
      </c>
      <c r="ES51">
        <v>0</v>
      </c>
      <c r="ET51">
        <v>0</v>
      </c>
      <c r="EU51">
        <v>4860</v>
      </c>
      <c r="EV51" s="4">
        <v>123.333333333333</v>
      </c>
      <c r="EW51">
        <v>0</v>
      </c>
      <c r="EX51">
        <v>0</v>
      </c>
      <c r="EY51" s="4">
        <v>123.333333333333</v>
      </c>
      <c r="EZ51">
        <v>0</v>
      </c>
      <c r="FA51">
        <v>0</v>
      </c>
      <c r="FB51">
        <v>0</v>
      </c>
      <c r="FC51">
        <v>0</v>
      </c>
      <c r="FD51">
        <v>0</v>
      </c>
      <c r="FE51">
        <v>0</v>
      </c>
      <c r="FF51">
        <v>0</v>
      </c>
      <c r="FG51">
        <v>0</v>
      </c>
      <c r="FH51">
        <v>852943</v>
      </c>
      <c r="FI51" s="4">
        <v>2503830.48</v>
      </c>
      <c r="FJ51">
        <v>132091.14</v>
      </c>
      <c r="FK51">
        <v>132091.14</v>
      </c>
      <c r="FL51">
        <v>0</v>
      </c>
      <c r="FM51" s="4">
        <v>51557.1428571428</v>
      </c>
      <c r="FN51">
        <v>0</v>
      </c>
      <c r="FO51">
        <v>0</v>
      </c>
      <c r="FP51">
        <v>0</v>
      </c>
      <c r="FQ51">
        <v>0</v>
      </c>
      <c r="FR51">
        <v>51557.1428571428</v>
      </c>
      <c r="FS51">
        <v>0</v>
      </c>
      <c r="FT51">
        <v>125063.25944</v>
      </c>
      <c r="FU51">
        <v>312658.1486</v>
      </c>
      <c r="FV51">
        <v>46898.72229</v>
      </c>
      <c r="FY51">
        <v>15632907.43</v>
      </c>
      <c r="FZ51">
        <v>14765975.6894834</v>
      </c>
      <c r="GA51">
        <v>1275802.54280555</v>
      </c>
      <c r="GB51">
        <v>13490173.1466779</v>
      </c>
      <c r="GC51">
        <v>2142734.28332211</v>
      </c>
      <c r="GD51">
        <v>0.137065628573361</v>
      </c>
      <c r="GE51">
        <v>866931.74051656</v>
      </c>
      <c r="GF51">
        <v>0.0554555666883112</v>
      </c>
      <c r="GJ51">
        <v>45453</v>
      </c>
      <c r="GL51">
        <v>45460</v>
      </c>
      <c r="GO51">
        <v>45463</v>
      </c>
      <c r="GR51">
        <v>45472</v>
      </c>
      <c r="GU51" t="s">
        <v>694</v>
      </c>
      <c r="HA51">
        <v>45479</v>
      </c>
      <c r="HB51">
        <v>45490</v>
      </c>
      <c r="HE51">
        <v>38</v>
      </c>
      <c r="HF51">
        <v>10</v>
      </c>
      <c r="HG51">
        <v>13</v>
      </c>
      <c r="HH51">
        <v>15</v>
      </c>
      <c r="HK51">
        <v>158</v>
      </c>
      <c r="HL51">
        <v>46</v>
      </c>
      <c r="HM51">
        <v>63</v>
      </c>
      <c r="HN51">
        <v>0</v>
      </c>
      <c r="HO51">
        <v>0</v>
      </c>
      <c r="HP51">
        <v>0</v>
      </c>
      <c r="HQ51">
        <v>254</v>
      </c>
      <c r="HR51">
        <v>195</v>
      </c>
      <c r="HU51" s="10"/>
    </row>
    <row r="52" spans="1:229">
      <c r="A52" s="1">
        <f t="shared" si="0"/>
        <v>51</v>
      </c>
      <c r="B52" s="2">
        <v>2024</v>
      </c>
      <c r="C52" s="2" t="s">
        <v>708</v>
      </c>
      <c r="D52" s="2" t="s">
        <v>27</v>
      </c>
      <c r="E52" s="9" t="s">
        <v>468</v>
      </c>
      <c r="F52" s="2" t="s">
        <v>746</v>
      </c>
      <c r="G52" s="2" t="s">
        <v>28</v>
      </c>
      <c r="H52" s="2" t="s">
        <v>711</v>
      </c>
      <c r="I52" s="2" t="s">
        <v>768</v>
      </c>
      <c r="J52" t="s">
        <v>318</v>
      </c>
      <c r="K52" t="s">
        <v>730</v>
      </c>
      <c r="L52" t="s">
        <v>32</v>
      </c>
      <c r="M52">
        <v>3</v>
      </c>
      <c r="N52">
        <v>4738</v>
      </c>
      <c r="O52" s="3">
        <v>4778</v>
      </c>
      <c r="P52" s="4">
        <v>11</v>
      </c>
      <c r="Q52" s="4">
        <v>0</v>
      </c>
      <c r="R52" s="4">
        <v>27</v>
      </c>
      <c r="S52" s="4">
        <v>12</v>
      </c>
      <c r="T52" s="4">
        <v>39</v>
      </c>
      <c r="U52" s="4">
        <v>50</v>
      </c>
      <c r="V52" s="4">
        <v>0</v>
      </c>
      <c r="W52" s="4">
        <v>1.3</v>
      </c>
      <c r="X52" s="4">
        <v>1.66666666666667</v>
      </c>
      <c r="Y52" s="3">
        <v>16703321.23</v>
      </c>
      <c r="Z52">
        <v>-2291152.75851651</v>
      </c>
      <c r="AA52">
        <v>18994473.9885165</v>
      </c>
      <c r="AB52">
        <v>2637604.84213619</v>
      </c>
      <c r="AC52">
        <v>916666.666666667</v>
      </c>
      <c r="AD52">
        <v>916666.666666667</v>
      </c>
      <c r="AE52">
        <v>0</v>
      </c>
      <c r="AF52">
        <v>561310.598611111</v>
      </c>
      <c r="AG52">
        <v>176775.395833333</v>
      </c>
      <c r="AH52">
        <v>384535.202777778</v>
      </c>
      <c r="AI52">
        <v>19637.225</v>
      </c>
      <c r="AJ52">
        <v>5627.79722222222</v>
      </c>
      <c r="AK52">
        <v>9533.0625</v>
      </c>
      <c r="AL52">
        <v>4476.36527777778</v>
      </c>
      <c r="AM52">
        <v>456657.018525074</v>
      </c>
      <c r="AN52">
        <v>140645.629301868</v>
      </c>
      <c r="AO52">
        <v>0</v>
      </c>
      <c r="AP52">
        <v>255948.869223206</v>
      </c>
      <c r="AQ52">
        <v>60062.52</v>
      </c>
      <c r="AR52">
        <v>0</v>
      </c>
      <c r="AS52">
        <v>0</v>
      </c>
      <c r="AT52">
        <v>0</v>
      </c>
      <c r="AU52">
        <v>0</v>
      </c>
      <c r="AV52">
        <v>0</v>
      </c>
      <c r="AW52">
        <v>0</v>
      </c>
      <c r="AX52">
        <v>0</v>
      </c>
      <c r="AY52">
        <v>683333.333333335</v>
      </c>
      <c r="AZ52">
        <v>16356869.1463803</v>
      </c>
      <c r="BA52">
        <v>4048630.7932</v>
      </c>
      <c r="BB52">
        <v>378172.0332</v>
      </c>
      <c r="BC52">
        <v>378172.0332</v>
      </c>
      <c r="BD52">
        <v>0</v>
      </c>
      <c r="BE52">
        <v>0</v>
      </c>
      <c r="BF52">
        <v>1278606</v>
      </c>
      <c r="BG52">
        <v>1278606</v>
      </c>
      <c r="BH52">
        <v>0</v>
      </c>
      <c r="BI52">
        <v>0</v>
      </c>
      <c r="BJ52">
        <v>194571</v>
      </c>
      <c r="BK52">
        <v>1141698.86</v>
      </c>
      <c r="BL52">
        <v>435848.91</v>
      </c>
      <c r="BM52">
        <v>705849.95</v>
      </c>
      <c r="BN52">
        <v>265240.3</v>
      </c>
      <c r="BO52">
        <v>230778</v>
      </c>
      <c r="BP52">
        <v>62400</v>
      </c>
      <c r="BQ52">
        <v>0</v>
      </c>
      <c r="BR52">
        <v>0</v>
      </c>
      <c r="BS52">
        <v>168378</v>
      </c>
      <c r="BT52">
        <v>559564.6</v>
      </c>
      <c r="BU52">
        <v>496912</v>
      </c>
      <c r="BV52">
        <v>62652.6</v>
      </c>
      <c r="BW52">
        <v>0</v>
      </c>
      <c r="BX52">
        <v>0</v>
      </c>
      <c r="BY52">
        <v>126636.25</v>
      </c>
      <c r="BZ52">
        <v>80999.45</v>
      </c>
      <c r="CA52">
        <v>67160.98</v>
      </c>
      <c r="CB52">
        <v>12064.66</v>
      </c>
      <c r="CC52">
        <v>1773.81</v>
      </c>
      <c r="CD52">
        <v>45636.8</v>
      </c>
      <c r="CE52">
        <v>0</v>
      </c>
      <c r="CF52">
        <v>45636.8</v>
      </c>
      <c r="CG52">
        <v>0</v>
      </c>
      <c r="CH52">
        <v>12181602.1031803</v>
      </c>
      <c r="CI52">
        <v>690177</v>
      </c>
      <c r="CJ52">
        <v>0</v>
      </c>
      <c r="CK52">
        <v>0</v>
      </c>
      <c r="CL52">
        <v>295170</v>
      </c>
      <c r="CM52">
        <v>151578</v>
      </c>
      <c r="CN52">
        <v>20042</v>
      </c>
      <c r="CO52">
        <v>223387</v>
      </c>
      <c r="CP52">
        <v>575000.000000001</v>
      </c>
      <c r="CQ52">
        <v>26787.68</v>
      </c>
      <c r="CR52">
        <v>7348.68</v>
      </c>
      <c r="CS52">
        <v>17179</v>
      </c>
      <c r="CT52">
        <v>0</v>
      </c>
      <c r="CU52">
        <v>1460</v>
      </c>
      <c r="CV52">
        <v>0</v>
      </c>
      <c r="CW52">
        <v>0</v>
      </c>
      <c r="CX52">
        <v>800</v>
      </c>
      <c r="CY52">
        <v>19036.3797169811</v>
      </c>
      <c r="CZ52">
        <v>8159.33333333333</v>
      </c>
      <c r="DA52">
        <v>0</v>
      </c>
      <c r="DB52">
        <v>507.861666666667</v>
      </c>
      <c r="DC52">
        <v>145</v>
      </c>
      <c r="DD52">
        <v>0</v>
      </c>
      <c r="DE52">
        <v>0</v>
      </c>
      <c r="DF52">
        <v>10224.1847169811</v>
      </c>
      <c r="DG52">
        <v>0</v>
      </c>
      <c r="DH52" s="3">
        <v>1123466</v>
      </c>
      <c r="DI52">
        <v>0</v>
      </c>
      <c r="DJ52">
        <v>0</v>
      </c>
      <c r="DK52">
        <v>0</v>
      </c>
      <c r="DL52">
        <v>0</v>
      </c>
      <c r="DM52">
        <v>0</v>
      </c>
      <c r="DN52">
        <v>0</v>
      </c>
      <c r="DO52">
        <v>0</v>
      </c>
      <c r="DP52">
        <v>0</v>
      </c>
      <c r="DQ52">
        <v>182571.6</v>
      </c>
      <c r="DR52">
        <v>0</v>
      </c>
      <c r="DS52">
        <v>0</v>
      </c>
      <c r="DT52">
        <v>0</v>
      </c>
      <c r="DU52">
        <v>0</v>
      </c>
      <c r="DV52">
        <v>0</v>
      </c>
      <c r="DW52">
        <v>0</v>
      </c>
      <c r="DX52">
        <v>0</v>
      </c>
      <c r="DY52">
        <v>182571.6</v>
      </c>
      <c r="DZ52">
        <v>6500</v>
      </c>
      <c r="EA52">
        <v>6500</v>
      </c>
      <c r="EB52">
        <v>0</v>
      </c>
      <c r="EC52">
        <v>0</v>
      </c>
      <c r="ED52">
        <v>0</v>
      </c>
      <c r="EE52">
        <v>0</v>
      </c>
      <c r="EF52">
        <v>42336</v>
      </c>
      <c r="EG52">
        <v>0</v>
      </c>
      <c r="EH52">
        <v>198025.51</v>
      </c>
      <c r="EI52">
        <v>1976308.04</v>
      </c>
      <c r="EJ52">
        <v>0</v>
      </c>
      <c r="EK52">
        <v>693932.232</v>
      </c>
      <c r="EL52">
        <v>1228134</v>
      </c>
      <c r="EM52">
        <v>388257</v>
      </c>
      <c r="EN52">
        <v>288600</v>
      </c>
      <c r="EO52">
        <v>74236.4</v>
      </c>
      <c r="EP52">
        <v>74236.4</v>
      </c>
      <c r="EQ52">
        <v>0</v>
      </c>
      <c r="ER52">
        <v>60750</v>
      </c>
      <c r="ES52">
        <v>0</v>
      </c>
      <c r="ET52">
        <v>0</v>
      </c>
      <c r="EU52">
        <v>1200</v>
      </c>
      <c r="EV52" s="4">
        <v>166.666666666667</v>
      </c>
      <c r="EW52">
        <v>0</v>
      </c>
      <c r="EX52">
        <v>0</v>
      </c>
      <c r="EY52" s="4">
        <v>166.666666666667</v>
      </c>
      <c r="EZ52">
        <v>0</v>
      </c>
      <c r="FA52">
        <v>0</v>
      </c>
      <c r="FB52">
        <v>0</v>
      </c>
      <c r="FC52">
        <v>0</v>
      </c>
      <c r="FD52">
        <v>0</v>
      </c>
      <c r="FE52">
        <v>85000</v>
      </c>
      <c r="FF52">
        <v>0</v>
      </c>
      <c r="FG52">
        <v>85000</v>
      </c>
      <c r="FH52">
        <v>1011555</v>
      </c>
      <c r="FI52" s="4">
        <v>2856203.75</v>
      </c>
      <c r="FJ52">
        <v>129925.72</v>
      </c>
      <c r="FK52">
        <v>129925.72</v>
      </c>
      <c r="FL52">
        <v>0</v>
      </c>
      <c r="FM52" s="4">
        <v>5630.16666666667</v>
      </c>
      <c r="FN52">
        <v>0</v>
      </c>
      <c r="FO52">
        <v>0</v>
      </c>
      <c r="FP52">
        <v>0</v>
      </c>
      <c r="FQ52">
        <v>0</v>
      </c>
      <c r="FR52">
        <v>5630.16666666667</v>
      </c>
      <c r="FS52">
        <v>0</v>
      </c>
      <c r="FT52">
        <v>133626.56984</v>
      </c>
      <c r="FU52">
        <v>334066.4246</v>
      </c>
      <c r="FV52">
        <v>50109.96369</v>
      </c>
      <c r="FY52">
        <v>16703321.23</v>
      </c>
      <c r="FZ52">
        <v>18994473.9885165</v>
      </c>
      <c r="GA52">
        <v>2637604.84213619</v>
      </c>
      <c r="GB52">
        <v>16356869.1463803</v>
      </c>
      <c r="GC52">
        <v>346452.083619684</v>
      </c>
      <c r="GD52">
        <v>0.0207415087603918</v>
      </c>
      <c r="GE52">
        <v>-2291152.75851651</v>
      </c>
      <c r="GF52">
        <v>-0.137167496629442</v>
      </c>
      <c r="GJ52">
        <v>45601</v>
      </c>
      <c r="GL52">
        <v>45612</v>
      </c>
      <c r="GO52">
        <v>45614</v>
      </c>
      <c r="GR52">
        <v>45623</v>
      </c>
      <c r="GU52" t="s">
        <v>694</v>
      </c>
      <c r="HA52">
        <v>45639</v>
      </c>
      <c r="HB52">
        <v>45651</v>
      </c>
      <c r="HE52">
        <v>45</v>
      </c>
      <c r="HF52">
        <v>6</v>
      </c>
      <c r="HG52">
        <v>16</v>
      </c>
      <c r="HH52">
        <v>23</v>
      </c>
      <c r="HK52">
        <v>274</v>
      </c>
      <c r="HL52">
        <v>95</v>
      </c>
      <c r="HM52">
        <v>27</v>
      </c>
      <c r="HN52">
        <v>73</v>
      </c>
      <c r="HO52">
        <v>0</v>
      </c>
      <c r="HP52">
        <v>28</v>
      </c>
      <c r="HQ52">
        <v>202</v>
      </c>
      <c r="HR52">
        <v>255</v>
      </c>
      <c r="HU52" s="10"/>
    </row>
    <row r="53" spans="1:229">
      <c r="A53" s="1">
        <f t="shared" si="0"/>
        <v>52</v>
      </c>
      <c r="B53" s="2">
        <v>2024</v>
      </c>
      <c r="C53" s="2" t="s">
        <v>50</v>
      </c>
      <c r="D53" s="2" t="s">
        <v>27</v>
      </c>
      <c r="E53" s="9">
        <v>70592</v>
      </c>
      <c r="F53" s="2" t="s">
        <v>709</v>
      </c>
      <c r="G53" s="2" t="s">
        <v>28</v>
      </c>
      <c r="H53" s="2" t="s">
        <v>743</v>
      </c>
      <c r="I53" s="2" t="s">
        <v>769</v>
      </c>
      <c r="J53" t="s">
        <v>321</v>
      </c>
      <c r="K53" t="s">
        <v>41</v>
      </c>
      <c r="L53" t="s">
        <v>38</v>
      </c>
      <c r="M53">
        <v>2</v>
      </c>
      <c r="N53">
        <v>4173</v>
      </c>
      <c r="O53" s="3">
        <v>4104</v>
      </c>
      <c r="P53" s="4">
        <v>13</v>
      </c>
      <c r="Q53" s="4">
        <v>0</v>
      </c>
      <c r="R53" s="4">
        <v>23</v>
      </c>
      <c r="S53" s="4">
        <v>5</v>
      </c>
      <c r="T53" s="4">
        <v>28</v>
      </c>
      <c r="U53" s="4">
        <v>41</v>
      </c>
      <c r="V53" s="4">
        <v>0</v>
      </c>
      <c r="W53" s="4">
        <v>0.933333333333333</v>
      </c>
      <c r="X53" s="4">
        <v>1.36666666666667</v>
      </c>
      <c r="Y53" s="3">
        <v>8825000</v>
      </c>
      <c r="Z53">
        <v>-735127.070060868</v>
      </c>
      <c r="AA53">
        <v>9560127.07006087</v>
      </c>
      <c r="AB53">
        <v>1365030.6471942</v>
      </c>
      <c r="AC53">
        <v>512500</v>
      </c>
      <c r="AD53">
        <v>512500</v>
      </c>
      <c r="AE53">
        <v>0</v>
      </c>
      <c r="AF53">
        <v>162129.1085</v>
      </c>
      <c r="AG53">
        <v>162129.1085</v>
      </c>
      <c r="AH53">
        <v>0</v>
      </c>
      <c r="AI53">
        <v>14738.7893333333</v>
      </c>
      <c r="AJ53">
        <v>11356.2893333333</v>
      </c>
      <c r="AK53">
        <v>3382.5</v>
      </c>
      <c r="AL53">
        <v>0</v>
      </c>
      <c r="AM53">
        <v>115329.416027532</v>
      </c>
      <c r="AN53">
        <v>115329.416027532</v>
      </c>
      <c r="AO53">
        <v>0</v>
      </c>
      <c r="AP53">
        <v>0</v>
      </c>
      <c r="AQ53">
        <v>0</v>
      </c>
      <c r="AR53">
        <v>0</v>
      </c>
      <c r="AS53">
        <v>0</v>
      </c>
      <c r="AT53">
        <v>0</v>
      </c>
      <c r="AU53">
        <v>0</v>
      </c>
      <c r="AV53">
        <v>0</v>
      </c>
      <c r="AW53">
        <v>0</v>
      </c>
      <c r="AX53">
        <v>0</v>
      </c>
      <c r="AY53">
        <v>560333.333333335</v>
      </c>
      <c r="AZ53">
        <v>8195096.42286667</v>
      </c>
      <c r="BA53">
        <v>2682245.0862</v>
      </c>
      <c r="BB53">
        <v>344692.0332</v>
      </c>
      <c r="BC53">
        <v>344692.0332</v>
      </c>
      <c r="BD53">
        <v>0</v>
      </c>
      <c r="BE53">
        <v>0</v>
      </c>
      <c r="BF53">
        <v>1302428</v>
      </c>
      <c r="BG53">
        <v>1302428</v>
      </c>
      <c r="BH53">
        <v>0</v>
      </c>
      <c r="BI53">
        <v>2836.62</v>
      </c>
      <c r="BJ53">
        <v>0</v>
      </c>
      <c r="BK53">
        <v>544416.35</v>
      </c>
      <c r="BL53">
        <v>326617.6</v>
      </c>
      <c r="BM53">
        <v>217798.75</v>
      </c>
      <c r="BN53">
        <v>139389.773</v>
      </c>
      <c r="BO53">
        <v>75680.62</v>
      </c>
      <c r="BP53">
        <v>44800</v>
      </c>
      <c r="BQ53">
        <v>0</v>
      </c>
      <c r="BR53">
        <v>0</v>
      </c>
      <c r="BS53">
        <v>30880.62</v>
      </c>
      <c r="BT53">
        <v>272801.69</v>
      </c>
      <c r="BU53">
        <v>258552</v>
      </c>
      <c r="BV53">
        <v>14249.69</v>
      </c>
      <c r="BW53">
        <v>0</v>
      </c>
      <c r="BX53">
        <v>0</v>
      </c>
      <c r="BY53">
        <v>82147.75</v>
      </c>
      <c r="BZ53">
        <v>39879.59</v>
      </c>
      <c r="CA53">
        <v>20541.32</v>
      </c>
      <c r="CB53">
        <v>19338.27</v>
      </c>
      <c r="CC53">
        <v>0</v>
      </c>
      <c r="CD53">
        <v>42268.16</v>
      </c>
      <c r="CE53">
        <v>0</v>
      </c>
      <c r="CF53">
        <v>42268.16</v>
      </c>
      <c r="CG53">
        <v>0</v>
      </c>
      <c r="CH53">
        <v>5430703.58666667</v>
      </c>
      <c r="CI53">
        <v>475530</v>
      </c>
      <c r="CJ53">
        <v>0</v>
      </c>
      <c r="CK53">
        <v>0</v>
      </c>
      <c r="CL53">
        <v>247768</v>
      </c>
      <c r="CM53">
        <v>108465</v>
      </c>
      <c r="CN53">
        <v>9871</v>
      </c>
      <c r="CO53">
        <v>109426</v>
      </c>
      <c r="CP53">
        <v>471500.000000001</v>
      </c>
      <c r="CQ53">
        <v>33876.7</v>
      </c>
      <c r="CR53">
        <v>9186.7</v>
      </c>
      <c r="CS53">
        <v>22680</v>
      </c>
      <c r="CT53">
        <v>0</v>
      </c>
      <c r="CU53">
        <v>1050</v>
      </c>
      <c r="CV53">
        <v>0</v>
      </c>
      <c r="CW53">
        <v>0</v>
      </c>
      <c r="CX53">
        <v>960</v>
      </c>
      <c r="CY53">
        <v>10305.03</v>
      </c>
      <c r="CZ53">
        <v>3026.7</v>
      </c>
      <c r="DA53">
        <v>0</v>
      </c>
      <c r="DB53">
        <v>633.962</v>
      </c>
      <c r="DC53">
        <v>240</v>
      </c>
      <c r="DD53">
        <v>0</v>
      </c>
      <c r="DE53">
        <v>0</v>
      </c>
      <c r="DF53">
        <v>6404.368</v>
      </c>
      <c r="DG53">
        <v>0</v>
      </c>
      <c r="DH53" s="3">
        <v>0</v>
      </c>
      <c r="DI53">
        <v>123632.52</v>
      </c>
      <c r="DJ53">
        <v>0</v>
      </c>
      <c r="DK53">
        <v>80181.96</v>
      </c>
      <c r="DL53">
        <v>0</v>
      </c>
      <c r="DM53">
        <v>0</v>
      </c>
      <c r="DN53">
        <v>0</v>
      </c>
      <c r="DO53">
        <v>0</v>
      </c>
      <c r="DP53">
        <v>43450.56</v>
      </c>
      <c r="DQ53">
        <v>0</v>
      </c>
      <c r="DR53">
        <v>0</v>
      </c>
      <c r="DS53">
        <v>0</v>
      </c>
      <c r="DT53">
        <v>0</v>
      </c>
      <c r="DU53">
        <v>0</v>
      </c>
      <c r="DV53">
        <v>0</v>
      </c>
      <c r="DW53">
        <v>0</v>
      </c>
      <c r="DX53">
        <v>0</v>
      </c>
      <c r="DY53">
        <v>0</v>
      </c>
      <c r="DZ53">
        <v>0</v>
      </c>
      <c r="EA53">
        <v>0</v>
      </c>
      <c r="EB53">
        <v>0</v>
      </c>
      <c r="EC53">
        <v>0</v>
      </c>
      <c r="ED53">
        <v>0</v>
      </c>
      <c r="EE53">
        <v>0</v>
      </c>
      <c r="EF53">
        <v>11721</v>
      </c>
      <c r="EG53">
        <v>0</v>
      </c>
      <c r="EH53">
        <v>0</v>
      </c>
      <c r="EI53">
        <v>1007880.9</v>
      </c>
      <c r="EJ53">
        <v>0</v>
      </c>
      <c r="EK53">
        <v>502738.08</v>
      </c>
      <c r="EL53">
        <v>0</v>
      </c>
      <c r="EM53">
        <v>0</v>
      </c>
      <c r="EN53">
        <v>667142.5</v>
      </c>
      <c r="EO53">
        <v>101857.5</v>
      </c>
      <c r="EP53">
        <v>101857.5</v>
      </c>
      <c r="EQ53">
        <v>0</v>
      </c>
      <c r="ER53">
        <v>42066</v>
      </c>
      <c r="ES53">
        <v>0</v>
      </c>
      <c r="ET53">
        <v>0</v>
      </c>
      <c r="EU53">
        <v>540</v>
      </c>
      <c r="EV53" s="4">
        <v>202.266666666667</v>
      </c>
      <c r="EW53">
        <v>0</v>
      </c>
      <c r="EX53">
        <v>0</v>
      </c>
      <c r="EY53" s="4">
        <v>202.266666666667</v>
      </c>
      <c r="EZ53">
        <v>0</v>
      </c>
      <c r="FA53">
        <v>0</v>
      </c>
      <c r="FB53">
        <v>0</v>
      </c>
      <c r="FC53">
        <v>0</v>
      </c>
      <c r="FD53">
        <v>0</v>
      </c>
      <c r="FE53">
        <v>0</v>
      </c>
      <c r="FF53">
        <v>0</v>
      </c>
      <c r="FG53">
        <v>0</v>
      </c>
      <c r="FH53">
        <v>0</v>
      </c>
      <c r="FI53" s="4">
        <v>1656549.36</v>
      </c>
      <c r="FJ53">
        <v>20515.73</v>
      </c>
      <c r="FK53">
        <v>20515.73</v>
      </c>
      <c r="FL53">
        <v>0</v>
      </c>
      <c r="FM53" s="4">
        <v>31071</v>
      </c>
      <c r="FN53">
        <v>0</v>
      </c>
      <c r="FO53">
        <v>0</v>
      </c>
      <c r="FP53">
        <v>0</v>
      </c>
      <c r="FQ53">
        <v>0</v>
      </c>
      <c r="FR53">
        <v>31071</v>
      </c>
      <c r="FS53">
        <v>0</v>
      </c>
      <c r="FT53">
        <v>70600</v>
      </c>
      <c r="FU53">
        <v>176500</v>
      </c>
      <c r="FV53">
        <v>26475</v>
      </c>
      <c r="FY53">
        <v>8825000</v>
      </c>
      <c r="FZ53">
        <v>9560127.07006087</v>
      </c>
      <c r="GA53">
        <v>1365030.6471942</v>
      </c>
      <c r="GB53">
        <v>8195096.42286667</v>
      </c>
      <c r="GC53">
        <v>629903.577133332</v>
      </c>
      <c r="GD53">
        <v>0.0713771758791311</v>
      </c>
      <c r="GE53">
        <v>-735127.070060868</v>
      </c>
      <c r="GF53">
        <v>-0.0833005178539227</v>
      </c>
      <c r="GJ53">
        <v>45536</v>
      </c>
      <c r="GL53">
        <v>45549</v>
      </c>
      <c r="GO53">
        <v>45556</v>
      </c>
      <c r="GR53" t="s">
        <v>694</v>
      </c>
      <c r="GU53" t="s">
        <v>694</v>
      </c>
      <c r="HA53">
        <v>45572</v>
      </c>
      <c r="HB53">
        <v>45577</v>
      </c>
      <c r="HE53">
        <v>38</v>
      </c>
      <c r="HF53">
        <v>2</v>
      </c>
      <c r="HG53">
        <v>13</v>
      </c>
      <c r="HH53">
        <v>23</v>
      </c>
      <c r="HK53">
        <v>294</v>
      </c>
      <c r="HL53">
        <v>76</v>
      </c>
      <c r="HM53">
        <v>17</v>
      </c>
      <c r="HN53">
        <v>43</v>
      </c>
      <c r="HO53">
        <v>0</v>
      </c>
      <c r="HP53">
        <v>27</v>
      </c>
      <c r="HQ53">
        <v>130</v>
      </c>
      <c r="HR53">
        <v>92</v>
      </c>
      <c r="HU53" s="10"/>
    </row>
    <row r="54" spans="1:229">
      <c r="A54" s="1">
        <f t="shared" si="0"/>
        <v>53</v>
      </c>
      <c r="B54" s="2">
        <v>2024</v>
      </c>
      <c r="C54" s="2" t="s">
        <v>708</v>
      </c>
      <c r="D54" s="2" t="s">
        <v>27</v>
      </c>
      <c r="E54" s="9">
        <v>50537</v>
      </c>
      <c r="F54" s="2" t="s">
        <v>736</v>
      </c>
      <c r="G54" s="2" t="s">
        <v>36</v>
      </c>
      <c r="H54" s="2" t="s">
        <v>737</v>
      </c>
      <c r="I54" s="2" t="s">
        <v>770</v>
      </c>
      <c r="J54" t="s">
        <v>321</v>
      </c>
      <c r="K54" t="s">
        <v>31</v>
      </c>
      <c r="L54" t="s">
        <v>32</v>
      </c>
      <c r="M54">
        <v>2</v>
      </c>
      <c r="N54">
        <v>2960</v>
      </c>
      <c r="O54" s="3">
        <v>2979</v>
      </c>
      <c r="P54" s="4">
        <v>6</v>
      </c>
      <c r="Q54" s="4">
        <v>0</v>
      </c>
      <c r="R54" s="4">
        <v>14</v>
      </c>
      <c r="S54" s="4">
        <v>6</v>
      </c>
      <c r="T54" s="4">
        <v>20</v>
      </c>
      <c r="U54" s="4">
        <v>26</v>
      </c>
      <c r="V54" s="4">
        <v>0</v>
      </c>
      <c r="W54" s="4">
        <v>0.666666666666667</v>
      </c>
      <c r="X54" s="4">
        <v>0.866666666666667</v>
      </c>
      <c r="Y54" s="3">
        <v>4809590</v>
      </c>
      <c r="Z54">
        <v>-265359.932111111</v>
      </c>
      <c r="AA54">
        <v>5074949.93211111</v>
      </c>
      <c r="AB54">
        <v>735325.488444445</v>
      </c>
      <c r="AC54">
        <v>346666.666666667</v>
      </c>
      <c r="AD54">
        <v>346666.666666667</v>
      </c>
      <c r="AE54">
        <v>0</v>
      </c>
      <c r="AF54">
        <v>23587.0403888889</v>
      </c>
      <c r="AG54">
        <v>23587.0403888889</v>
      </c>
      <c r="AH54">
        <v>0</v>
      </c>
      <c r="AI54">
        <v>9738.44805555555</v>
      </c>
      <c r="AJ54">
        <v>4374.4545</v>
      </c>
      <c r="AK54">
        <v>5363.99355555555</v>
      </c>
      <c r="AL54">
        <v>0</v>
      </c>
      <c r="AM54">
        <v>0</v>
      </c>
      <c r="AN54">
        <v>0</v>
      </c>
      <c r="AO54">
        <v>0</v>
      </c>
      <c r="AP54">
        <v>0</v>
      </c>
      <c r="AQ54">
        <v>0</v>
      </c>
      <c r="AR54">
        <v>0</v>
      </c>
      <c r="AS54">
        <v>0</v>
      </c>
      <c r="AT54">
        <v>0</v>
      </c>
      <c r="AU54">
        <v>0</v>
      </c>
      <c r="AV54">
        <v>0</v>
      </c>
      <c r="AW54">
        <v>0</v>
      </c>
      <c r="AX54">
        <v>0</v>
      </c>
      <c r="AY54">
        <v>355333.333333333</v>
      </c>
      <c r="AZ54">
        <v>4339624.44366667</v>
      </c>
      <c r="BA54">
        <v>1708466.684</v>
      </c>
      <c r="BB54">
        <v>51840</v>
      </c>
      <c r="BC54">
        <v>51840</v>
      </c>
      <c r="BD54">
        <v>0</v>
      </c>
      <c r="BE54">
        <v>0</v>
      </c>
      <c r="BF54">
        <v>295503</v>
      </c>
      <c r="BG54">
        <v>295503</v>
      </c>
      <c r="BH54">
        <v>0</v>
      </c>
      <c r="BI54">
        <v>5827.464</v>
      </c>
      <c r="BJ54">
        <v>601138</v>
      </c>
      <c r="BK54">
        <v>386024.03</v>
      </c>
      <c r="BL54">
        <v>36024.03</v>
      </c>
      <c r="BM54">
        <v>350000</v>
      </c>
      <c r="BN54">
        <v>53317.06</v>
      </c>
      <c r="BO54">
        <v>95369.15</v>
      </c>
      <c r="BP54">
        <v>32000</v>
      </c>
      <c r="BQ54">
        <v>0</v>
      </c>
      <c r="BR54">
        <v>0</v>
      </c>
      <c r="BS54">
        <v>63369.15</v>
      </c>
      <c r="BT54">
        <v>219447.98</v>
      </c>
      <c r="BU54">
        <v>187677</v>
      </c>
      <c r="BV54">
        <v>31770.98</v>
      </c>
      <c r="BW54">
        <v>0</v>
      </c>
      <c r="BX54">
        <v>0</v>
      </c>
      <c r="BY54">
        <v>22308.62</v>
      </c>
      <c r="BZ54">
        <v>22308.62</v>
      </c>
      <c r="CA54">
        <v>20065.66</v>
      </c>
      <c r="CB54">
        <v>0</v>
      </c>
      <c r="CC54">
        <v>2242.96</v>
      </c>
      <c r="CD54">
        <v>0</v>
      </c>
      <c r="CE54">
        <v>0</v>
      </c>
      <c r="CF54">
        <v>0</v>
      </c>
      <c r="CG54">
        <v>0</v>
      </c>
      <c r="CH54">
        <v>2608849.13966667</v>
      </c>
      <c r="CI54">
        <v>113721</v>
      </c>
      <c r="CJ54">
        <v>0</v>
      </c>
      <c r="CK54">
        <v>0</v>
      </c>
      <c r="CL54">
        <v>58489</v>
      </c>
      <c r="CM54">
        <v>22223</v>
      </c>
      <c r="CN54">
        <v>0</v>
      </c>
      <c r="CO54">
        <v>33009</v>
      </c>
      <c r="CP54">
        <v>273000</v>
      </c>
      <c r="CQ54">
        <v>10517</v>
      </c>
      <c r="CR54">
        <v>4593</v>
      </c>
      <c r="CS54">
        <v>4974</v>
      </c>
      <c r="CT54">
        <v>0</v>
      </c>
      <c r="CU54">
        <v>350</v>
      </c>
      <c r="CV54">
        <v>0</v>
      </c>
      <c r="CW54">
        <v>0</v>
      </c>
      <c r="CX54">
        <v>600</v>
      </c>
      <c r="CY54">
        <v>8359.713</v>
      </c>
      <c r="CZ54">
        <v>3742.6</v>
      </c>
      <c r="DA54">
        <v>0</v>
      </c>
      <c r="DB54">
        <v>180</v>
      </c>
      <c r="DC54">
        <v>88</v>
      </c>
      <c r="DD54">
        <v>0</v>
      </c>
      <c r="DE54">
        <v>0</v>
      </c>
      <c r="DF54">
        <v>4349.113</v>
      </c>
      <c r="DG54">
        <v>0</v>
      </c>
      <c r="DH54" s="3">
        <v>183876</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26834</v>
      </c>
      <c r="EG54">
        <v>0</v>
      </c>
      <c r="EH54">
        <v>0</v>
      </c>
      <c r="EI54">
        <v>699359.54</v>
      </c>
      <c r="EJ54">
        <v>0</v>
      </c>
      <c r="EK54">
        <v>0</v>
      </c>
      <c r="EL54">
        <v>0</v>
      </c>
      <c r="EM54">
        <v>49489</v>
      </c>
      <c r="EN54">
        <v>115000</v>
      </c>
      <c r="EO54">
        <v>61114.5</v>
      </c>
      <c r="EP54">
        <v>61114.5</v>
      </c>
      <c r="EQ54">
        <v>0</v>
      </c>
      <c r="ER54">
        <v>25974</v>
      </c>
      <c r="ES54">
        <v>0</v>
      </c>
      <c r="ET54">
        <v>0</v>
      </c>
      <c r="EU54">
        <v>600</v>
      </c>
      <c r="EV54" s="4">
        <v>86.6666666666667</v>
      </c>
      <c r="EW54">
        <v>0</v>
      </c>
      <c r="EX54">
        <v>0</v>
      </c>
      <c r="EY54" s="4">
        <v>86.6666666666667</v>
      </c>
      <c r="EZ54">
        <v>0</v>
      </c>
      <c r="FA54">
        <v>0</v>
      </c>
      <c r="FB54">
        <v>0</v>
      </c>
      <c r="FC54">
        <v>0</v>
      </c>
      <c r="FD54">
        <v>0</v>
      </c>
      <c r="FE54">
        <v>35000</v>
      </c>
      <c r="FF54">
        <v>0</v>
      </c>
      <c r="FG54">
        <v>35000</v>
      </c>
      <c r="FH54">
        <v>0</v>
      </c>
      <c r="FI54" s="4">
        <v>808267.38</v>
      </c>
      <c r="FJ54">
        <v>44270.45</v>
      </c>
      <c r="FK54">
        <v>44270.45</v>
      </c>
      <c r="FL54">
        <v>0</v>
      </c>
      <c r="FM54" s="4">
        <v>4282.6</v>
      </c>
      <c r="FN54">
        <v>0</v>
      </c>
      <c r="FO54">
        <v>0</v>
      </c>
      <c r="FP54">
        <v>0</v>
      </c>
      <c r="FQ54">
        <v>0</v>
      </c>
      <c r="FR54">
        <v>4282.6</v>
      </c>
      <c r="FS54">
        <v>0</v>
      </c>
      <c r="FT54">
        <v>38476.72</v>
      </c>
      <c r="FU54">
        <v>96191.8</v>
      </c>
      <c r="FV54">
        <v>14428.77</v>
      </c>
      <c r="FY54">
        <v>4809590</v>
      </c>
      <c r="FZ54">
        <v>5074949.93211111</v>
      </c>
      <c r="GA54">
        <v>735325.488444445</v>
      </c>
      <c r="GB54">
        <v>4339624.44366667</v>
      </c>
      <c r="GC54">
        <v>469965.556333333</v>
      </c>
      <c r="GD54">
        <v>0.0977142659422806</v>
      </c>
      <c r="GE54">
        <v>-265359.932111111</v>
      </c>
      <c r="GF54">
        <v>-0.0551730879578325</v>
      </c>
      <c r="GJ54">
        <v>45622</v>
      </c>
      <c r="GL54">
        <v>45628</v>
      </c>
      <c r="GO54">
        <v>45631</v>
      </c>
      <c r="GR54" t="s">
        <v>694</v>
      </c>
      <c r="GU54" t="s">
        <v>694</v>
      </c>
      <c r="HA54">
        <v>45642</v>
      </c>
      <c r="HB54">
        <v>45648</v>
      </c>
      <c r="HE54">
        <v>37</v>
      </c>
      <c r="HF54">
        <v>6</v>
      </c>
      <c r="HG54">
        <v>10</v>
      </c>
      <c r="HH54">
        <v>21</v>
      </c>
      <c r="HK54">
        <v>108</v>
      </c>
      <c r="HL54">
        <v>31</v>
      </c>
      <c r="HM54">
        <v>46</v>
      </c>
      <c r="HN54">
        <v>81</v>
      </c>
      <c r="HO54">
        <v>0</v>
      </c>
      <c r="HP54">
        <v>18</v>
      </c>
      <c r="HQ54">
        <v>148</v>
      </c>
      <c r="HR54">
        <v>48</v>
      </c>
      <c r="HU54" s="10"/>
    </row>
    <row r="55" spans="1:229">
      <c r="A55" s="1">
        <f t="shared" si="0"/>
        <v>54</v>
      </c>
      <c r="B55" s="2">
        <v>2024</v>
      </c>
      <c r="C55" s="2" t="s">
        <v>695</v>
      </c>
      <c r="D55" s="2" t="s">
        <v>27</v>
      </c>
      <c r="E55" s="9">
        <v>50537</v>
      </c>
      <c r="F55" s="2" t="s">
        <v>736</v>
      </c>
      <c r="G55" s="2" t="s">
        <v>36</v>
      </c>
      <c r="H55" s="2" t="s">
        <v>737</v>
      </c>
      <c r="I55" s="2" t="s">
        <v>771</v>
      </c>
      <c r="J55" t="s">
        <v>321</v>
      </c>
      <c r="K55" t="s">
        <v>31</v>
      </c>
      <c r="L55" t="s">
        <v>32</v>
      </c>
      <c r="M55">
        <v>2</v>
      </c>
      <c r="N55">
        <v>2953</v>
      </c>
      <c r="O55" s="3">
        <v>2956</v>
      </c>
      <c r="P55" s="4">
        <v>19</v>
      </c>
      <c r="Q55" s="4">
        <v>0</v>
      </c>
      <c r="R55" s="4">
        <v>14</v>
      </c>
      <c r="S55" s="4">
        <v>6</v>
      </c>
      <c r="T55" s="4">
        <v>20</v>
      </c>
      <c r="U55" s="4">
        <v>39</v>
      </c>
      <c r="V55" s="4">
        <v>0</v>
      </c>
      <c r="W55" s="4">
        <v>0.666666666666667</v>
      </c>
      <c r="X55" s="4">
        <v>1.3</v>
      </c>
      <c r="Y55" s="3">
        <v>5267976</v>
      </c>
      <c r="Z55">
        <v>-488426.433666671</v>
      </c>
      <c r="AA55">
        <v>5756402.43366667</v>
      </c>
      <c r="AB55">
        <v>1102988.23266667</v>
      </c>
      <c r="AC55">
        <v>520000</v>
      </c>
      <c r="AD55">
        <v>520000</v>
      </c>
      <c r="AE55">
        <v>0</v>
      </c>
      <c r="AF55">
        <v>35380.5605833333</v>
      </c>
      <c r="AG55">
        <v>35380.5605833333</v>
      </c>
      <c r="AH55">
        <v>0</v>
      </c>
      <c r="AI55">
        <v>14607.6720833333</v>
      </c>
      <c r="AJ55">
        <v>6561.68175</v>
      </c>
      <c r="AK55">
        <v>8045.99033333333</v>
      </c>
      <c r="AL55">
        <v>0</v>
      </c>
      <c r="AM55">
        <v>0</v>
      </c>
      <c r="AN55">
        <v>0</v>
      </c>
      <c r="AO55">
        <v>0</v>
      </c>
      <c r="AP55">
        <v>0</v>
      </c>
      <c r="AQ55">
        <v>0</v>
      </c>
      <c r="AR55">
        <v>0</v>
      </c>
      <c r="AS55">
        <v>0</v>
      </c>
      <c r="AT55">
        <v>0</v>
      </c>
      <c r="AU55">
        <v>0</v>
      </c>
      <c r="AV55">
        <v>0</v>
      </c>
      <c r="AW55">
        <v>0</v>
      </c>
      <c r="AX55">
        <v>0</v>
      </c>
      <c r="AY55">
        <v>533000</v>
      </c>
      <c r="AZ55">
        <v>4653414.201</v>
      </c>
      <c r="BA55">
        <v>1297265.092</v>
      </c>
      <c r="BB55">
        <v>51840</v>
      </c>
      <c r="BC55">
        <v>51840</v>
      </c>
      <c r="BD55">
        <v>0</v>
      </c>
      <c r="BE55">
        <v>0</v>
      </c>
      <c r="BF55">
        <v>312054</v>
      </c>
      <c r="BG55">
        <v>312054</v>
      </c>
      <c r="BH55">
        <v>0</v>
      </c>
      <c r="BI55">
        <v>0</v>
      </c>
      <c r="BJ55">
        <v>552009.032</v>
      </c>
      <c r="BK55">
        <v>7423.96</v>
      </c>
      <c r="BL55">
        <v>7423.96</v>
      </c>
      <c r="BM55">
        <v>0</v>
      </c>
      <c r="BN55">
        <v>59398.2</v>
      </c>
      <c r="BO55">
        <v>96296.45</v>
      </c>
      <c r="BP55">
        <v>32000</v>
      </c>
      <c r="BQ55">
        <v>0</v>
      </c>
      <c r="BR55">
        <v>0</v>
      </c>
      <c r="BS55">
        <v>64296.45</v>
      </c>
      <c r="BT55">
        <v>218243.45</v>
      </c>
      <c r="BU55">
        <v>186228</v>
      </c>
      <c r="BV55">
        <v>32015.45</v>
      </c>
      <c r="BW55">
        <v>0</v>
      </c>
      <c r="BX55">
        <v>0</v>
      </c>
      <c r="BY55">
        <v>39741.06</v>
      </c>
      <c r="BZ55">
        <v>39741.06</v>
      </c>
      <c r="CA55">
        <v>11320.15</v>
      </c>
      <c r="CB55">
        <v>27920.91</v>
      </c>
      <c r="CC55">
        <v>500</v>
      </c>
      <c r="CD55">
        <v>0</v>
      </c>
      <c r="CE55">
        <v>0</v>
      </c>
      <c r="CF55">
        <v>0</v>
      </c>
      <c r="CG55">
        <v>0</v>
      </c>
      <c r="CH55">
        <v>3316408.049</v>
      </c>
      <c r="CI55">
        <v>168649</v>
      </c>
      <c r="CJ55">
        <v>0</v>
      </c>
      <c r="CK55">
        <v>0</v>
      </c>
      <c r="CL55">
        <v>86080</v>
      </c>
      <c r="CM55">
        <v>36006</v>
      </c>
      <c r="CN55">
        <v>5465</v>
      </c>
      <c r="CO55">
        <v>41098</v>
      </c>
      <c r="CP55">
        <v>409500</v>
      </c>
      <c r="CQ55">
        <v>22845.7</v>
      </c>
      <c r="CR55">
        <v>9186.7</v>
      </c>
      <c r="CS55">
        <v>12709</v>
      </c>
      <c r="CT55">
        <v>0</v>
      </c>
      <c r="CU55">
        <v>350</v>
      </c>
      <c r="CV55">
        <v>0</v>
      </c>
      <c r="CW55">
        <v>0</v>
      </c>
      <c r="CX55">
        <v>600</v>
      </c>
      <c r="CY55">
        <v>8359.713</v>
      </c>
      <c r="CZ55">
        <v>3742.6</v>
      </c>
      <c r="DA55">
        <v>0</v>
      </c>
      <c r="DB55">
        <v>180</v>
      </c>
      <c r="DC55">
        <v>88</v>
      </c>
      <c r="DD55">
        <v>0</v>
      </c>
      <c r="DE55">
        <v>0</v>
      </c>
      <c r="DF55">
        <v>4349.113</v>
      </c>
      <c r="DG55">
        <v>0</v>
      </c>
      <c r="DH55" s="3">
        <v>213525</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28345</v>
      </c>
      <c r="EG55">
        <v>0</v>
      </c>
      <c r="EH55">
        <v>0</v>
      </c>
      <c r="EI55">
        <v>749831.61</v>
      </c>
      <c r="EJ55">
        <v>0</v>
      </c>
      <c r="EK55">
        <v>0</v>
      </c>
      <c r="EL55">
        <v>0</v>
      </c>
      <c r="EM55">
        <v>49489</v>
      </c>
      <c r="EN55">
        <v>115000</v>
      </c>
      <c r="EO55">
        <v>61114.5</v>
      </c>
      <c r="EP55">
        <v>61114.5</v>
      </c>
      <c r="EQ55">
        <v>0</v>
      </c>
      <c r="ER55">
        <v>38961</v>
      </c>
      <c r="ES55">
        <v>0</v>
      </c>
      <c r="ET55">
        <v>0</v>
      </c>
      <c r="EU55">
        <v>540</v>
      </c>
      <c r="EV55" s="4">
        <v>130</v>
      </c>
      <c r="EW55">
        <v>0</v>
      </c>
      <c r="EX55">
        <v>0</v>
      </c>
      <c r="EY55" s="4">
        <v>130</v>
      </c>
      <c r="EZ55">
        <v>0</v>
      </c>
      <c r="FA55">
        <v>0</v>
      </c>
      <c r="FB55">
        <v>0</v>
      </c>
      <c r="FC55">
        <v>0</v>
      </c>
      <c r="FD55">
        <v>0</v>
      </c>
      <c r="FE55">
        <v>35000</v>
      </c>
      <c r="FF55">
        <v>0</v>
      </c>
      <c r="FG55">
        <v>35000</v>
      </c>
      <c r="FH55">
        <v>0</v>
      </c>
      <c r="FI55" s="4">
        <v>1203257.22</v>
      </c>
      <c r="FJ55">
        <v>44270.45</v>
      </c>
      <c r="FK55">
        <v>44270.45</v>
      </c>
      <c r="FL55">
        <v>0</v>
      </c>
      <c r="FM55" s="4">
        <v>4282.6</v>
      </c>
      <c r="FN55">
        <v>0</v>
      </c>
      <c r="FO55">
        <v>0</v>
      </c>
      <c r="FP55">
        <v>0</v>
      </c>
      <c r="FQ55">
        <v>0</v>
      </c>
      <c r="FR55">
        <v>4282.6</v>
      </c>
      <c r="FS55">
        <v>0</v>
      </c>
      <c r="FT55">
        <v>42143.808</v>
      </c>
      <c r="FU55">
        <v>105359.52</v>
      </c>
      <c r="FV55">
        <v>15803.928</v>
      </c>
      <c r="FY55">
        <v>5267976</v>
      </c>
      <c r="FZ55">
        <v>5756402.43366667</v>
      </c>
      <c r="GA55">
        <v>1102988.23266667</v>
      </c>
      <c r="GB55">
        <v>4653414.201</v>
      </c>
      <c r="GC55">
        <v>614561.799</v>
      </c>
      <c r="GD55">
        <v>0.116659946628458</v>
      </c>
      <c r="GE55">
        <v>-488426.433666671</v>
      </c>
      <c r="GF55">
        <v>-0.0927161463276732</v>
      </c>
      <c r="GJ55">
        <v>45582</v>
      </c>
      <c r="GL55">
        <v>45601</v>
      </c>
      <c r="GO55">
        <v>45604</v>
      </c>
      <c r="GR55" t="s">
        <v>694</v>
      </c>
      <c r="GU55" t="s">
        <v>694</v>
      </c>
      <c r="HA55">
        <v>45615</v>
      </c>
      <c r="HB55">
        <v>45621</v>
      </c>
      <c r="HE55">
        <v>37</v>
      </c>
      <c r="HF55">
        <v>6</v>
      </c>
      <c r="HG55">
        <v>10</v>
      </c>
      <c r="HH55">
        <v>21</v>
      </c>
      <c r="HK55">
        <v>134</v>
      </c>
      <c r="HL55">
        <v>20</v>
      </c>
      <c r="HM55">
        <v>20.5</v>
      </c>
      <c r="HN55">
        <v>86</v>
      </c>
      <c r="HO55">
        <v>0</v>
      </c>
      <c r="HP55">
        <v>26.5</v>
      </c>
      <c r="HQ55">
        <v>156</v>
      </c>
      <c r="HR55">
        <v>42</v>
      </c>
      <c r="HU55" s="10"/>
    </row>
    <row r="56" spans="1:229">
      <c r="A56" s="1">
        <f t="shared" si="0"/>
        <v>55</v>
      </c>
      <c r="B56" s="2">
        <v>2024</v>
      </c>
      <c r="C56" s="2" t="s">
        <v>703</v>
      </c>
      <c r="D56" s="2" t="s">
        <v>27</v>
      </c>
      <c r="E56" s="9">
        <v>50537</v>
      </c>
      <c r="F56" s="2" t="s">
        <v>736</v>
      </c>
      <c r="G56" s="2" t="s">
        <v>36</v>
      </c>
      <c r="H56" s="2" t="s">
        <v>737</v>
      </c>
      <c r="I56" s="2" t="s">
        <v>772</v>
      </c>
      <c r="J56" t="s">
        <v>321</v>
      </c>
      <c r="K56" t="s">
        <v>31</v>
      </c>
      <c r="L56" t="s">
        <v>32</v>
      </c>
      <c r="M56">
        <v>2</v>
      </c>
      <c r="N56">
        <v>2289</v>
      </c>
      <c r="O56" s="3">
        <v>2323</v>
      </c>
      <c r="P56" s="4">
        <v>5</v>
      </c>
      <c r="Q56" s="4">
        <v>0</v>
      </c>
      <c r="R56" s="4">
        <v>9</v>
      </c>
      <c r="S56" s="4">
        <v>5</v>
      </c>
      <c r="T56" s="4">
        <v>14</v>
      </c>
      <c r="U56" s="4">
        <v>19</v>
      </c>
      <c r="V56" s="4">
        <v>0</v>
      </c>
      <c r="W56" s="4">
        <v>0.466666666666667</v>
      </c>
      <c r="X56" s="4">
        <v>0.633333333333333</v>
      </c>
      <c r="Y56" s="3">
        <v>3482521</v>
      </c>
      <c r="Z56">
        <v>-250298.738888889</v>
      </c>
      <c r="AA56">
        <v>3732819.73888889</v>
      </c>
      <c r="AB56">
        <v>537353.241555555</v>
      </c>
      <c r="AC56">
        <v>253333.333333333</v>
      </c>
      <c r="AD56">
        <v>253333.333333333</v>
      </c>
      <c r="AE56">
        <v>0</v>
      </c>
      <c r="AF56">
        <v>17236.6833611111</v>
      </c>
      <c r="AG56">
        <v>17236.6833611111</v>
      </c>
      <c r="AH56">
        <v>0</v>
      </c>
      <c r="AI56">
        <v>7116.55819444444</v>
      </c>
      <c r="AJ56">
        <v>3196.71675</v>
      </c>
      <c r="AK56">
        <v>3919.84144444444</v>
      </c>
      <c r="AL56">
        <v>0</v>
      </c>
      <c r="AM56">
        <v>0</v>
      </c>
      <c r="AN56">
        <v>0</v>
      </c>
      <c r="AO56">
        <v>0</v>
      </c>
      <c r="AP56">
        <v>0</v>
      </c>
      <c r="AQ56">
        <v>0</v>
      </c>
      <c r="AR56">
        <v>0</v>
      </c>
      <c r="AS56">
        <v>0</v>
      </c>
      <c r="AT56">
        <v>0</v>
      </c>
      <c r="AU56">
        <v>0</v>
      </c>
      <c r="AV56">
        <v>0</v>
      </c>
      <c r="AW56">
        <v>0</v>
      </c>
      <c r="AX56">
        <v>0</v>
      </c>
      <c r="AY56">
        <v>259666.666666667</v>
      </c>
      <c r="AZ56">
        <v>3195466.49733333</v>
      </c>
      <c r="BA56">
        <v>1069677.45</v>
      </c>
      <c r="BB56">
        <v>51840</v>
      </c>
      <c r="BC56">
        <v>51840</v>
      </c>
      <c r="BD56">
        <v>0</v>
      </c>
      <c r="BE56">
        <v>0</v>
      </c>
      <c r="BF56">
        <v>334120</v>
      </c>
      <c r="BG56">
        <v>334120</v>
      </c>
      <c r="BH56">
        <v>0</v>
      </c>
      <c r="BI56">
        <v>6205.68</v>
      </c>
      <c r="BJ56">
        <v>423176</v>
      </c>
      <c r="BK56">
        <v>0</v>
      </c>
      <c r="BL56">
        <v>0</v>
      </c>
      <c r="BM56">
        <v>0</v>
      </c>
      <c r="BN56">
        <v>9434.98</v>
      </c>
      <c r="BO56">
        <v>82145.32</v>
      </c>
      <c r="BP56">
        <v>22400</v>
      </c>
      <c r="BQ56">
        <v>0</v>
      </c>
      <c r="BR56">
        <v>0</v>
      </c>
      <c r="BS56">
        <v>59745.32</v>
      </c>
      <c r="BT56">
        <v>162755.47</v>
      </c>
      <c r="BU56">
        <v>146349</v>
      </c>
      <c r="BV56">
        <v>16406.47</v>
      </c>
      <c r="BW56">
        <v>0</v>
      </c>
      <c r="BX56">
        <v>0</v>
      </c>
      <c r="BY56">
        <v>17329.28</v>
      </c>
      <c r="BZ56">
        <v>17329.28</v>
      </c>
      <c r="CA56">
        <v>9599.72</v>
      </c>
      <c r="CB56">
        <v>0</v>
      </c>
      <c r="CC56">
        <v>7729.56</v>
      </c>
      <c r="CD56">
        <v>0</v>
      </c>
      <c r="CE56">
        <v>0</v>
      </c>
      <c r="CF56">
        <v>0</v>
      </c>
      <c r="CG56">
        <v>0</v>
      </c>
      <c r="CH56">
        <v>2108459.76733333</v>
      </c>
      <c r="CI56">
        <v>167426</v>
      </c>
      <c r="CJ56">
        <v>0</v>
      </c>
      <c r="CK56">
        <v>0</v>
      </c>
      <c r="CL56">
        <v>58913</v>
      </c>
      <c r="CM56">
        <v>45542</v>
      </c>
      <c r="CN56">
        <v>3865</v>
      </c>
      <c r="CO56">
        <v>59106</v>
      </c>
      <c r="CP56">
        <v>94999.9999999999</v>
      </c>
      <c r="CQ56">
        <v>21269.35</v>
      </c>
      <c r="CR56">
        <v>4593.35</v>
      </c>
      <c r="CS56">
        <v>15726</v>
      </c>
      <c r="CT56">
        <v>0</v>
      </c>
      <c r="CU56">
        <v>350</v>
      </c>
      <c r="CV56">
        <v>0</v>
      </c>
      <c r="CW56">
        <v>0</v>
      </c>
      <c r="CX56">
        <v>600</v>
      </c>
      <c r="CY56">
        <v>8359.713</v>
      </c>
      <c r="CZ56">
        <v>3742.6</v>
      </c>
      <c r="DA56">
        <v>0</v>
      </c>
      <c r="DB56">
        <v>180</v>
      </c>
      <c r="DC56">
        <v>88</v>
      </c>
      <c r="DD56">
        <v>0</v>
      </c>
      <c r="DE56">
        <v>0</v>
      </c>
      <c r="DF56">
        <v>4349.113</v>
      </c>
      <c r="DG56">
        <v>0</v>
      </c>
      <c r="DH56" s="3">
        <v>134237</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21571</v>
      </c>
      <c r="EG56">
        <v>0</v>
      </c>
      <c r="EH56">
        <v>0</v>
      </c>
      <c r="EI56">
        <v>334276.16</v>
      </c>
      <c r="EJ56">
        <v>0</v>
      </c>
      <c r="EK56">
        <v>0</v>
      </c>
      <c r="EL56">
        <v>0</v>
      </c>
      <c r="EM56">
        <v>49489</v>
      </c>
      <c r="EN56">
        <v>228400</v>
      </c>
      <c r="EO56">
        <v>65000</v>
      </c>
      <c r="EP56">
        <v>65000</v>
      </c>
      <c r="EQ56">
        <v>0</v>
      </c>
      <c r="ER56">
        <v>13338</v>
      </c>
      <c r="ES56">
        <v>0</v>
      </c>
      <c r="ET56">
        <v>0</v>
      </c>
      <c r="EU56">
        <v>0</v>
      </c>
      <c r="EV56" s="4">
        <v>63.3333333333333</v>
      </c>
      <c r="EW56">
        <v>0</v>
      </c>
      <c r="EX56">
        <v>0</v>
      </c>
      <c r="EY56" s="4">
        <v>63.3333333333333</v>
      </c>
      <c r="EZ56">
        <v>0</v>
      </c>
      <c r="FA56">
        <v>0</v>
      </c>
      <c r="FB56">
        <v>0</v>
      </c>
      <c r="FC56">
        <v>0</v>
      </c>
      <c r="FD56">
        <v>0</v>
      </c>
      <c r="FE56">
        <v>116467</v>
      </c>
      <c r="FF56">
        <v>0</v>
      </c>
      <c r="FG56">
        <v>116467</v>
      </c>
      <c r="FH56">
        <v>0</v>
      </c>
      <c r="FI56" s="4">
        <v>700110.42</v>
      </c>
      <c r="FJ56">
        <v>41212.04</v>
      </c>
      <c r="FK56">
        <v>41212.04</v>
      </c>
      <c r="FL56">
        <v>0</v>
      </c>
      <c r="FM56" s="4">
        <v>4282.6</v>
      </c>
      <c r="FN56">
        <v>0</v>
      </c>
      <c r="FO56">
        <v>0</v>
      </c>
      <c r="FP56">
        <v>0</v>
      </c>
      <c r="FQ56">
        <v>0</v>
      </c>
      <c r="FR56">
        <v>4282.6</v>
      </c>
      <c r="FS56">
        <v>0</v>
      </c>
      <c r="FT56">
        <v>27860.168</v>
      </c>
      <c r="FU56">
        <v>69650.42</v>
      </c>
      <c r="FV56">
        <v>10447.563</v>
      </c>
      <c r="FY56">
        <v>3482521</v>
      </c>
      <c r="FZ56">
        <v>3732819.73888889</v>
      </c>
      <c r="GA56">
        <v>537353.241555555</v>
      </c>
      <c r="GB56">
        <v>3195466.49733333</v>
      </c>
      <c r="GC56">
        <v>287054.502666667</v>
      </c>
      <c r="GD56">
        <v>0.0824272136956724</v>
      </c>
      <c r="GE56">
        <v>-250298.738888889</v>
      </c>
      <c r="GF56">
        <v>-0.0718728584519343</v>
      </c>
      <c r="GJ56">
        <v>45320</v>
      </c>
      <c r="GL56">
        <v>45325</v>
      </c>
      <c r="GO56">
        <v>45328</v>
      </c>
      <c r="GR56" t="s">
        <v>694</v>
      </c>
      <c r="GU56" t="s">
        <v>694</v>
      </c>
      <c r="HA56">
        <v>45334</v>
      </c>
      <c r="HB56">
        <v>45339</v>
      </c>
      <c r="HE56">
        <v>26</v>
      </c>
      <c r="HF56">
        <v>5</v>
      </c>
      <c r="HG56">
        <v>11</v>
      </c>
      <c r="HH56">
        <v>10</v>
      </c>
      <c r="HK56">
        <v>86</v>
      </c>
      <c r="HL56">
        <v>9</v>
      </c>
      <c r="HM56">
        <v>55</v>
      </c>
      <c r="HN56">
        <v>0</v>
      </c>
      <c r="HO56">
        <v>0</v>
      </c>
      <c r="HP56">
        <v>0</v>
      </c>
      <c r="HQ56">
        <v>143</v>
      </c>
      <c r="HR56">
        <v>41</v>
      </c>
      <c r="HU56" s="10"/>
    </row>
    <row r="57" spans="1:229">
      <c r="A57" s="1">
        <f t="shared" si="0"/>
        <v>56</v>
      </c>
      <c r="B57" s="2">
        <v>2024</v>
      </c>
      <c r="C57" s="2" t="s">
        <v>26</v>
      </c>
      <c r="D57" s="2" t="s">
        <v>27</v>
      </c>
      <c r="E57" s="9">
        <v>50537</v>
      </c>
      <c r="F57" s="2" t="s">
        <v>736</v>
      </c>
      <c r="G57" s="2" t="s">
        <v>36</v>
      </c>
      <c r="H57" s="2" t="s">
        <v>737</v>
      </c>
      <c r="I57" s="2" t="s">
        <v>773</v>
      </c>
      <c r="J57" t="s">
        <v>321</v>
      </c>
      <c r="K57" t="s">
        <v>31</v>
      </c>
      <c r="L57" t="s">
        <v>32</v>
      </c>
      <c r="M57">
        <v>2</v>
      </c>
      <c r="N57">
        <v>2317</v>
      </c>
      <c r="O57" s="3">
        <v>2335</v>
      </c>
      <c r="P57" s="4">
        <v>6</v>
      </c>
      <c r="Q57" s="4">
        <v>0</v>
      </c>
      <c r="R57" s="4">
        <v>11</v>
      </c>
      <c r="S57" s="4">
        <v>6</v>
      </c>
      <c r="T57" s="4">
        <v>17</v>
      </c>
      <c r="U57" s="4">
        <v>23</v>
      </c>
      <c r="V57" s="4">
        <v>0</v>
      </c>
      <c r="W57" s="4">
        <v>0.566666666666667</v>
      </c>
      <c r="X57" s="4">
        <v>0.766666666666667</v>
      </c>
      <c r="Y57" s="3">
        <v>3470559</v>
      </c>
      <c r="Z57">
        <v>-443667.923244445</v>
      </c>
      <c r="AA57">
        <v>3914226.92324444</v>
      </c>
      <c r="AB57">
        <v>650480.239777778</v>
      </c>
      <c r="AC57">
        <v>306666.666666667</v>
      </c>
      <c r="AD57">
        <v>306666.666666667</v>
      </c>
      <c r="AE57">
        <v>0</v>
      </c>
      <c r="AF57">
        <v>20865.4588055555</v>
      </c>
      <c r="AG57">
        <v>20865.4588055555</v>
      </c>
      <c r="AH57">
        <v>0</v>
      </c>
      <c r="AI57">
        <v>8614.78097222222</v>
      </c>
      <c r="AJ57">
        <v>3869.70975</v>
      </c>
      <c r="AK57">
        <v>4745.07122222222</v>
      </c>
      <c r="AL57">
        <v>0</v>
      </c>
      <c r="AM57">
        <v>0</v>
      </c>
      <c r="AN57">
        <v>0</v>
      </c>
      <c r="AO57">
        <v>0</v>
      </c>
      <c r="AP57">
        <v>0</v>
      </c>
      <c r="AQ57">
        <v>0</v>
      </c>
      <c r="AR57">
        <v>0</v>
      </c>
      <c r="AS57">
        <v>0</v>
      </c>
      <c r="AT57">
        <v>0</v>
      </c>
      <c r="AU57">
        <v>0</v>
      </c>
      <c r="AV57">
        <v>0</v>
      </c>
      <c r="AW57">
        <v>0</v>
      </c>
      <c r="AX57">
        <v>0</v>
      </c>
      <c r="AY57">
        <v>314333.333333333</v>
      </c>
      <c r="AZ57">
        <v>3263746.68346667</v>
      </c>
      <c r="BA57">
        <v>1196313.7248</v>
      </c>
      <c r="BB57">
        <v>10513.2708</v>
      </c>
      <c r="BC57">
        <v>10513.2708</v>
      </c>
      <c r="BD57">
        <v>0</v>
      </c>
      <c r="BE57">
        <v>0</v>
      </c>
      <c r="BF57">
        <v>335145</v>
      </c>
      <c r="BG57">
        <v>335145</v>
      </c>
      <c r="BH57">
        <v>0</v>
      </c>
      <c r="BI57">
        <v>0</v>
      </c>
      <c r="BJ57">
        <v>582794</v>
      </c>
      <c r="BK57">
        <v>0</v>
      </c>
      <c r="BL57">
        <v>0</v>
      </c>
      <c r="BM57">
        <v>0</v>
      </c>
      <c r="BN57">
        <v>9994.924</v>
      </c>
      <c r="BO57">
        <v>90265.67</v>
      </c>
      <c r="BP57">
        <v>27200</v>
      </c>
      <c r="BQ57">
        <v>0</v>
      </c>
      <c r="BR57">
        <v>0</v>
      </c>
      <c r="BS57">
        <v>63065.67</v>
      </c>
      <c r="BT57">
        <v>167600.86</v>
      </c>
      <c r="BU57">
        <v>147105</v>
      </c>
      <c r="BV57">
        <v>20495.86</v>
      </c>
      <c r="BW57">
        <v>0</v>
      </c>
      <c r="BX57">
        <v>0</v>
      </c>
      <c r="BY57">
        <v>22200.1</v>
      </c>
      <c r="BZ57">
        <v>22200.1</v>
      </c>
      <c r="CA57">
        <v>17969.61</v>
      </c>
      <c r="CB57">
        <v>590.67</v>
      </c>
      <c r="CC57">
        <v>3639.82</v>
      </c>
      <c r="CD57">
        <v>0</v>
      </c>
      <c r="CE57">
        <v>0</v>
      </c>
      <c r="CF57">
        <v>0</v>
      </c>
      <c r="CG57">
        <v>0</v>
      </c>
      <c r="CH57">
        <v>2045232.85866667</v>
      </c>
      <c r="CI57">
        <v>154893</v>
      </c>
      <c r="CJ57">
        <v>0</v>
      </c>
      <c r="CK57">
        <v>0</v>
      </c>
      <c r="CL57">
        <v>64337</v>
      </c>
      <c r="CM57">
        <v>39857</v>
      </c>
      <c r="CN57">
        <v>2311</v>
      </c>
      <c r="CO57">
        <v>48388</v>
      </c>
      <c r="CP57">
        <v>172500</v>
      </c>
      <c r="CQ57">
        <v>22140.69</v>
      </c>
      <c r="CR57">
        <v>6430.69</v>
      </c>
      <c r="CS57">
        <v>14760</v>
      </c>
      <c r="CT57">
        <v>0</v>
      </c>
      <c r="CU57">
        <v>350</v>
      </c>
      <c r="CV57">
        <v>0</v>
      </c>
      <c r="CW57">
        <v>0</v>
      </c>
      <c r="CX57">
        <v>600</v>
      </c>
      <c r="CY57">
        <v>8359.713</v>
      </c>
      <c r="CZ57">
        <v>3742.6</v>
      </c>
      <c r="DA57">
        <v>0</v>
      </c>
      <c r="DB57">
        <v>180</v>
      </c>
      <c r="DC57">
        <v>88</v>
      </c>
      <c r="DD57">
        <v>0</v>
      </c>
      <c r="DE57">
        <v>0</v>
      </c>
      <c r="DF57">
        <v>4349.113</v>
      </c>
      <c r="DG57">
        <v>0</v>
      </c>
      <c r="DH57" s="3">
        <v>153233</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21712</v>
      </c>
      <c r="EG57">
        <v>0</v>
      </c>
      <c r="EH57">
        <v>0</v>
      </c>
      <c r="EI57">
        <v>334644.3</v>
      </c>
      <c r="EJ57">
        <v>0</v>
      </c>
      <c r="EK57">
        <v>0</v>
      </c>
      <c r="EL57">
        <v>0</v>
      </c>
      <c r="EM57">
        <v>49489</v>
      </c>
      <c r="EN57">
        <v>228600</v>
      </c>
      <c r="EO57">
        <v>65000</v>
      </c>
      <c r="EP57">
        <v>65000</v>
      </c>
      <c r="EQ57">
        <v>0</v>
      </c>
      <c r="ER57">
        <v>19251</v>
      </c>
      <c r="ES57">
        <v>0</v>
      </c>
      <c r="ET57">
        <v>0</v>
      </c>
      <c r="EU57">
        <v>0</v>
      </c>
      <c r="EV57" s="4">
        <v>76.6666666666667</v>
      </c>
      <c r="EW57">
        <v>0</v>
      </c>
      <c r="EX57">
        <v>0</v>
      </c>
      <c r="EY57" s="4">
        <v>76.6666666666667</v>
      </c>
      <c r="EZ57">
        <v>0</v>
      </c>
      <c r="FA57">
        <v>0</v>
      </c>
      <c r="FB57">
        <v>0</v>
      </c>
      <c r="FC57">
        <v>0</v>
      </c>
      <c r="FD57">
        <v>0</v>
      </c>
      <c r="FE57">
        <v>0</v>
      </c>
      <c r="FF57">
        <v>0</v>
      </c>
      <c r="FG57">
        <v>0</v>
      </c>
      <c r="FH57">
        <v>0</v>
      </c>
      <c r="FI57" s="4">
        <v>662251.52</v>
      </c>
      <c r="FJ57">
        <v>41212.04</v>
      </c>
      <c r="FK57">
        <v>41212.04</v>
      </c>
      <c r="FL57">
        <v>0</v>
      </c>
      <c r="FM57" s="4">
        <v>4282.6</v>
      </c>
      <c r="FN57">
        <v>0</v>
      </c>
      <c r="FO57">
        <v>0</v>
      </c>
      <c r="FP57">
        <v>0</v>
      </c>
      <c r="FQ57">
        <v>0</v>
      </c>
      <c r="FR57">
        <v>4282.6</v>
      </c>
      <c r="FS57">
        <v>0</v>
      </c>
      <c r="FT57">
        <v>27764.472</v>
      </c>
      <c r="FU57">
        <v>69411.18</v>
      </c>
      <c r="FV57">
        <v>10411.677</v>
      </c>
      <c r="FY57">
        <v>3470559</v>
      </c>
      <c r="FZ57">
        <v>3914226.92324444</v>
      </c>
      <c r="GA57">
        <v>650480.239777778</v>
      </c>
      <c r="GB57">
        <v>3263746.68346667</v>
      </c>
      <c r="GC57">
        <v>206812.316533333</v>
      </c>
      <c r="GD57">
        <v>0.0595904914837446</v>
      </c>
      <c r="GE57">
        <v>-443667.923244445</v>
      </c>
      <c r="GF57">
        <v>-0.127837597126124</v>
      </c>
      <c r="GJ57">
        <v>45294</v>
      </c>
      <c r="GL57">
        <v>45300</v>
      </c>
      <c r="GO57">
        <v>45303</v>
      </c>
      <c r="GR57" t="s">
        <v>694</v>
      </c>
      <c r="GU57" t="s">
        <v>694</v>
      </c>
      <c r="HA57">
        <v>45311</v>
      </c>
      <c r="HB57">
        <v>45317</v>
      </c>
      <c r="HE57">
        <v>31</v>
      </c>
      <c r="HF57">
        <v>5</v>
      </c>
      <c r="HG57">
        <v>11</v>
      </c>
      <c r="HH57">
        <v>15</v>
      </c>
      <c r="HK57">
        <v>110</v>
      </c>
      <c r="HL57">
        <v>12</v>
      </c>
      <c r="HM57">
        <v>62</v>
      </c>
      <c r="HN57">
        <v>0</v>
      </c>
      <c r="HO57">
        <v>0</v>
      </c>
      <c r="HP57">
        <v>0</v>
      </c>
      <c r="HQ57">
        <v>161</v>
      </c>
      <c r="HR57">
        <v>55</v>
      </c>
      <c r="HU57" s="10"/>
    </row>
    <row r="58" spans="1:229">
      <c r="A58" s="1">
        <f t="shared" si="0"/>
        <v>57</v>
      </c>
      <c r="B58" s="2">
        <v>2024</v>
      </c>
      <c r="C58" s="2" t="s">
        <v>50</v>
      </c>
      <c r="D58" s="2" t="s">
        <v>27</v>
      </c>
      <c r="E58" s="9">
        <v>50639</v>
      </c>
      <c r="F58" s="2" t="s">
        <v>723</v>
      </c>
      <c r="G58" s="2" t="s">
        <v>36</v>
      </c>
      <c r="H58" s="2" t="s">
        <v>692</v>
      </c>
      <c r="I58" s="2" t="s">
        <v>774</v>
      </c>
      <c r="J58" t="s">
        <v>319</v>
      </c>
      <c r="K58" t="s">
        <v>41</v>
      </c>
      <c r="L58" t="s">
        <v>32</v>
      </c>
      <c r="M58">
        <v>2</v>
      </c>
      <c r="N58">
        <v>2187</v>
      </c>
      <c r="O58" s="3">
        <v>2201</v>
      </c>
      <c r="P58" s="4">
        <v>11</v>
      </c>
      <c r="Q58" s="4">
        <v>0</v>
      </c>
      <c r="R58" s="4">
        <v>9</v>
      </c>
      <c r="S58" s="4">
        <v>4</v>
      </c>
      <c r="T58" s="4">
        <v>13</v>
      </c>
      <c r="U58" s="4">
        <v>24</v>
      </c>
      <c r="V58" s="4">
        <v>0</v>
      </c>
      <c r="W58" s="4">
        <v>0.433333333333333</v>
      </c>
      <c r="X58" s="4">
        <v>0.8</v>
      </c>
      <c r="Y58" s="3">
        <v>2774119</v>
      </c>
      <c r="Z58">
        <v>-1629906.23854789</v>
      </c>
      <c r="AA58">
        <v>4404025.23854789</v>
      </c>
      <c r="AB58">
        <v>847547.595333333</v>
      </c>
      <c r="AC58">
        <v>480000</v>
      </c>
      <c r="AD58">
        <v>480000</v>
      </c>
      <c r="AE58">
        <v>0</v>
      </c>
      <c r="AF58">
        <v>29868.4966666666</v>
      </c>
      <c r="AG58">
        <v>29868.4966666666</v>
      </c>
      <c r="AH58">
        <v>0</v>
      </c>
      <c r="AI58">
        <v>9679.09866666668</v>
      </c>
      <c r="AJ58">
        <v>3590.11533333334</v>
      </c>
      <c r="AK58">
        <v>3404.61733333334</v>
      </c>
      <c r="AL58">
        <v>2684.366</v>
      </c>
      <c r="AM58">
        <v>0</v>
      </c>
      <c r="AN58">
        <v>0</v>
      </c>
      <c r="AO58">
        <v>0</v>
      </c>
      <c r="AP58">
        <v>0</v>
      </c>
      <c r="AQ58">
        <v>0</v>
      </c>
      <c r="AR58">
        <v>0</v>
      </c>
      <c r="AS58">
        <v>0</v>
      </c>
      <c r="AT58">
        <v>0</v>
      </c>
      <c r="AU58">
        <v>0</v>
      </c>
      <c r="AV58">
        <v>0</v>
      </c>
      <c r="AW58">
        <v>0</v>
      </c>
      <c r="AX58">
        <v>0</v>
      </c>
      <c r="AY58">
        <v>328000</v>
      </c>
      <c r="AZ58">
        <v>3556477.64321456</v>
      </c>
      <c r="BA58">
        <v>1166018.2016</v>
      </c>
      <c r="BB58">
        <v>37274.3316</v>
      </c>
      <c r="BC58">
        <v>37274.3316</v>
      </c>
      <c r="BD58">
        <v>0</v>
      </c>
      <c r="BE58">
        <v>0</v>
      </c>
      <c r="BF58">
        <v>378548</v>
      </c>
      <c r="BG58">
        <v>378548</v>
      </c>
      <c r="BH58">
        <v>0</v>
      </c>
      <c r="BI58">
        <v>0</v>
      </c>
      <c r="BJ58">
        <v>340664</v>
      </c>
      <c r="BK58">
        <v>2509.92</v>
      </c>
      <c r="BL58">
        <v>2509.92</v>
      </c>
      <c r="BM58">
        <v>0</v>
      </c>
      <c r="BN58">
        <v>140775.92</v>
      </c>
      <c r="BO58">
        <v>112629.9</v>
      </c>
      <c r="BP58">
        <v>20800</v>
      </c>
      <c r="BQ58">
        <v>0</v>
      </c>
      <c r="BR58">
        <v>0</v>
      </c>
      <c r="BS58">
        <v>91829.9</v>
      </c>
      <c r="BT58">
        <v>153616.13</v>
      </c>
      <c r="BU58">
        <v>138663</v>
      </c>
      <c r="BV58">
        <v>14953.13</v>
      </c>
      <c r="BW58">
        <v>0</v>
      </c>
      <c r="BX58">
        <v>0</v>
      </c>
      <c r="BY58">
        <v>527954.41</v>
      </c>
      <c r="BZ58">
        <v>382118.94</v>
      </c>
      <c r="CA58">
        <v>311248.8</v>
      </c>
      <c r="CB58">
        <v>15981.5</v>
      </c>
      <c r="CC58">
        <v>54888.64</v>
      </c>
      <c r="CD58">
        <v>145835.47</v>
      </c>
      <c r="CE58">
        <v>145835.47</v>
      </c>
      <c r="CF58">
        <v>0</v>
      </c>
      <c r="CG58">
        <v>0</v>
      </c>
      <c r="CH58">
        <v>1862505.03161456</v>
      </c>
      <c r="CI58">
        <v>477961</v>
      </c>
      <c r="CJ58">
        <v>0</v>
      </c>
      <c r="CK58">
        <v>0</v>
      </c>
      <c r="CL58">
        <v>194225</v>
      </c>
      <c r="CM58">
        <v>164024</v>
      </c>
      <c r="CN58">
        <v>30190</v>
      </c>
      <c r="CO58">
        <v>89522</v>
      </c>
      <c r="CP58">
        <v>192000</v>
      </c>
      <c r="CQ58">
        <v>8355.94285714286</v>
      </c>
      <c r="CR58">
        <v>2917.8</v>
      </c>
      <c r="CS58">
        <v>4331</v>
      </c>
      <c r="CT58">
        <v>0</v>
      </c>
      <c r="CU58">
        <v>250</v>
      </c>
      <c r="CV58">
        <v>0</v>
      </c>
      <c r="CW58">
        <v>0</v>
      </c>
      <c r="CX58">
        <v>857.142857142857</v>
      </c>
      <c r="CY58">
        <v>8452.07690026954</v>
      </c>
      <c r="CZ58">
        <v>5465.5</v>
      </c>
      <c r="DA58">
        <v>0</v>
      </c>
      <c r="DB58">
        <v>414</v>
      </c>
      <c r="DC58">
        <v>47.1428571428571</v>
      </c>
      <c r="DD58">
        <v>0</v>
      </c>
      <c r="DE58">
        <v>0</v>
      </c>
      <c r="DF58">
        <v>2525.43404312668</v>
      </c>
      <c r="DG58">
        <v>0</v>
      </c>
      <c r="DH58" s="3">
        <v>259607</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7711</v>
      </c>
      <c r="EG58">
        <v>0</v>
      </c>
      <c r="EH58">
        <v>6828</v>
      </c>
      <c r="EI58">
        <v>197960.69</v>
      </c>
      <c r="EJ58">
        <v>0</v>
      </c>
      <c r="EK58">
        <v>0</v>
      </c>
      <c r="EL58">
        <v>0</v>
      </c>
      <c r="EM58">
        <v>0</v>
      </c>
      <c r="EN58">
        <v>28000</v>
      </c>
      <c r="EO58">
        <v>46779</v>
      </c>
      <c r="EP58">
        <v>46779</v>
      </c>
      <c r="EQ58">
        <v>0</v>
      </c>
      <c r="ER58">
        <v>25920</v>
      </c>
      <c r="ES58">
        <v>0</v>
      </c>
      <c r="ET58">
        <v>0</v>
      </c>
      <c r="EU58">
        <v>600</v>
      </c>
      <c r="EV58" s="4">
        <v>80</v>
      </c>
      <c r="EW58">
        <v>0</v>
      </c>
      <c r="EX58">
        <v>0</v>
      </c>
      <c r="EY58" s="4">
        <v>80</v>
      </c>
      <c r="EZ58">
        <v>0</v>
      </c>
      <c r="FA58">
        <v>0</v>
      </c>
      <c r="FB58">
        <v>0</v>
      </c>
      <c r="FC58">
        <v>0</v>
      </c>
      <c r="FD58">
        <v>0</v>
      </c>
      <c r="FE58">
        <v>0</v>
      </c>
      <c r="FF58">
        <v>0</v>
      </c>
      <c r="FG58">
        <v>0</v>
      </c>
      <c r="FH58">
        <v>0</v>
      </c>
      <c r="FI58" s="4">
        <v>366483.35</v>
      </c>
      <c r="FJ58">
        <v>98212.14</v>
      </c>
      <c r="FK58">
        <v>98212.14</v>
      </c>
      <c r="FL58">
        <v>0</v>
      </c>
      <c r="FM58" s="4">
        <v>51557.1428571428</v>
      </c>
      <c r="FN58">
        <v>0</v>
      </c>
      <c r="FO58">
        <v>0</v>
      </c>
      <c r="FP58">
        <v>0</v>
      </c>
      <c r="FQ58">
        <v>0</v>
      </c>
      <c r="FR58">
        <v>51557.1428571428</v>
      </c>
      <c r="FS58">
        <v>0</v>
      </c>
      <c r="FT58">
        <v>22192.952</v>
      </c>
      <c r="FU58">
        <v>55482.38</v>
      </c>
      <c r="FV58">
        <v>8322.357</v>
      </c>
      <c r="FY58">
        <v>2774119</v>
      </c>
      <c r="FZ58">
        <v>4404025.23854789</v>
      </c>
      <c r="GA58">
        <v>847547.595333333</v>
      </c>
      <c r="GB58">
        <v>3556477.64321456</v>
      </c>
      <c r="GC58">
        <v>-782358.643214555</v>
      </c>
      <c r="GD58">
        <v>-0.282020577781471</v>
      </c>
      <c r="GE58">
        <v>-1629906.23854789</v>
      </c>
      <c r="GF58">
        <v>-0.58754013023518</v>
      </c>
      <c r="GJ58">
        <v>45563</v>
      </c>
      <c r="GL58">
        <v>45574</v>
      </c>
      <c r="GO58">
        <v>45578</v>
      </c>
      <c r="GR58" t="s">
        <v>694</v>
      </c>
      <c r="GU58" t="s">
        <v>694</v>
      </c>
      <c r="HA58">
        <v>45583</v>
      </c>
      <c r="HB58">
        <v>45587</v>
      </c>
      <c r="HE58">
        <v>40</v>
      </c>
      <c r="HF58">
        <v>10</v>
      </c>
      <c r="HG58">
        <v>14</v>
      </c>
      <c r="HH58">
        <v>16</v>
      </c>
      <c r="HK58">
        <v>65</v>
      </c>
      <c r="HL58">
        <v>17</v>
      </c>
      <c r="HM58">
        <v>11</v>
      </c>
      <c r="HN58">
        <v>7</v>
      </c>
      <c r="HO58">
        <v>0</v>
      </c>
      <c r="HP58">
        <v>15</v>
      </c>
      <c r="HQ58">
        <v>145</v>
      </c>
      <c r="HR58">
        <v>48</v>
      </c>
      <c r="HU58" s="10"/>
    </row>
    <row r="59" spans="1:229">
      <c r="A59" s="1">
        <f t="shared" si="0"/>
        <v>58</v>
      </c>
      <c r="B59" s="2">
        <v>2024</v>
      </c>
      <c r="C59" s="2" t="s">
        <v>717</v>
      </c>
      <c r="D59" s="2" t="s">
        <v>27</v>
      </c>
      <c r="E59" s="9">
        <v>70152</v>
      </c>
      <c r="F59" s="2" t="s">
        <v>775</v>
      </c>
      <c r="G59" s="2" t="s">
        <v>28</v>
      </c>
      <c r="H59" s="2" t="s">
        <v>692</v>
      </c>
      <c r="I59" s="2" t="s">
        <v>776</v>
      </c>
      <c r="J59" t="s">
        <v>322</v>
      </c>
      <c r="K59" t="s">
        <v>31</v>
      </c>
      <c r="L59" t="s">
        <v>38</v>
      </c>
      <c r="M59">
        <v>3</v>
      </c>
      <c r="N59">
        <v>4157</v>
      </c>
      <c r="O59" s="3">
        <v>4188</v>
      </c>
      <c r="P59" s="4">
        <v>1</v>
      </c>
      <c r="Q59" s="4">
        <v>0</v>
      </c>
      <c r="R59" s="4">
        <v>26</v>
      </c>
      <c r="S59" s="4">
        <v>7</v>
      </c>
      <c r="T59" s="4">
        <v>33</v>
      </c>
      <c r="U59" s="4">
        <v>34</v>
      </c>
      <c r="V59" s="4">
        <v>0</v>
      </c>
      <c r="W59" s="4">
        <v>1.1</v>
      </c>
      <c r="X59" s="4">
        <v>1.13333333333333</v>
      </c>
      <c r="Y59" s="3">
        <v>15016337</v>
      </c>
      <c r="Z59">
        <v>3661045.65505298</v>
      </c>
      <c r="AA59">
        <v>11355291.344947</v>
      </c>
      <c r="AB59">
        <v>1371462.65066667</v>
      </c>
      <c r="AC59">
        <v>538333.333333333</v>
      </c>
      <c r="AD59">
        <v>538333.333333333</v>
      </c>
      <c r="AE59">
        <v>0</v>
      </c>
      <c r="AF59">
        <v>65484.4013888889</v>
      </c>
      <c r="AG59">
        <v>65484.4013888889</v>
      </c>
      <c r="AH59">
        <v>0</v>
      </c>
      <c r="AI59">
        <v>128276.249277778</v>
      </c>
      <c r="AJ59">
        <v>41996.7423888889</v>
      </c>
      <c r="AK59">
        <v>85650.1555555556</v>
      </c>
      <c r="AL59">
        <v>629.351333333333</v>
      </c>
      <c r="AM59">
        <v>174702</v>
      </c>
      <c r="AN59">
        <v>174702</v>
      </c>
      <c r="AO59">
        <v>0</v>
      </c>
      <c r="AP59">
        <v>0</v>
      </c>
      <c r="AQ59">
        <v>0</v>
      </c>
      <c r="AR59">
        <v>0</v>
      </c>
      <c r="AS59">
        <v>0</v>
      </c>
      <c r="AT59">
        <v>0</v>
      </c>
      <c r="AU59">
        <v>0</v>
      </c>
      <c r="AV59">
        <v>0</v>
      </c>
      <c r="AW59">
        <v>0</v>
      </c>
      <c r="AX59">
        <v>0</v>
      </c>
      <c r="AY59">
        <v>464666.666666665</v>
      </c>
      <c r="AZ59">
        <v>9983828.69428035</v>
      </c>
      <c r="BA59">
        <v>2805512.388664</v>
      </c>
      <c r="BB59">
        <v>152538.0444</v>
      </c>
      <c r="BC59">
        <v>152538.0444</v>
      </c>
      <c r="BD59">
        <v>0</v>
      </c>
      <c r="BE59">
        <v>0</v>
      </c>
      <c r="BF59">
        <v>1296516</v>
      </c>
      <c r="BG59">
        <v>1296516</v>
      </c>
      <c r="BH59">
        <v>0</v>
      </c>
      <c r="BI59">
        <v>12971.34</v>
      </c>
      <c r="BJ59">
        <v>0</v>
      </c>
      <c r="BK59">
        <v>467840.04</v>
      </c>
      <c r="BL59">
        <v>467840.04</v>
      </c>
      <c r="BM59">
        <v>0</v>
      </c>
      <c r="BN59">
        <v>342835.844264</v>
      </c>
      <c r="BO59">
        <v>212742.39</v>
      </c>
      <c r="BP59">
        <v>52800</v>
      </c>
      <c r="BQ59">
        <v>0</v>
      </c>
      <c r="BR59">
        <v>0</v>
      </c>
      <c r="BS59">
        <v>159942.39</v>
      </c>
      <c r="BT59">
        <v>320068.73</v>
      </c>
      <c r="BU59">
        <v>263844</v>
      </c>
      <c r="BV59">
        <v>56224.73</v>
      </c>
      <c r="BW59">
        <v>0</v>
      </c>
      <c r="BX59">
        <v>0</v>
      </c>
      <c r="BY59">
        <v>271352.36</v>
      </c>
      <c r="BZ59">
        <v>271352.36</v>
      </c>
      <c r="CA59">
        <v>202178.56</v>
      </c>
      <c r="CB59">
        <v>1067.54</v>
      </c>
      <c r="CC59">
        <v>68106.26</v>
      </c>
      <c r="CD59">
        <v>0</v>
      </c>
      <c r="CE59">
        <v>0</v>
      </c>
      <c r="CF59">
        <v>0</v>
      </c>
      <c r="CG59">
        <v>0</v>
      </c>
      <c r="CH59">
        <v>6906963.94561635</v>
      </c>
      <c r="CI59">
        <v>378552</v>
      </c>
      <c r="CJ59">
        <v>0</v>
      </c>
      <c r="CK59">
        <v>41053</v>
      </c>
      <c r="CL59">
        <v>0</v>
      </c>
      <c r="CM59">
        <v>177984</v>
      </c>
      <c r="CN59">
        <v>42515</v>
      </c>
      <c r="CO59">
        <v>117000</v>
      </c>
      <c r="CP59">
        <v>492999.999999999</v>
      </c>
      <c r="CQ59">
        <v>11168</v>
      </c>
      <c r="CR59">
        <v>0</v>
      </c>
      <c r="CS59">
        <v>7880</v>
      </c>
      <c r="CT59">
        <v>0</v>
      </c>
      <c r="CU59">
        <v>1688</v>
      </c>
      <c r="CV59">
        <v>0</v>
      </c>
      <c r="CW59">
        <v>0</v>
      </c>
      <c r="CX59">
        <v>1600</v>
      </c>
      <c r="CY59">
        <v>105116.988616352</v>
      </c>
      <c r="CZ59">
        <v>6513</v>
      </c>
      <c r="DA59">
        <v>0</v>
      </c>
      <c r="DB59">
        <v>2012.5786163522</v>
      </c>
      <c r="DC59">
        <v>0</v>
      </c>
      <c r="DD59">
        <v>57900</v>
      </c>
      <c r="DE59">
        <v>15600</v>
      </c>
      <c r="DF59">
        <v>23091.41</v>
      </c>
      <c r="DG59">
        <v>0</v>
      </c>
      <c r="DH59" s="3">
        <v>1019377</v>
      </c>
      <c r="DI59">
        <v>221433.76</v>
      </c>
      <c r="DJ59">
        <v>0</v>
      </c>
      <c r="DK59">
        <v>198813.12</v>
      </c>
      <c r="DL59">
        <v>0</v>
      </c>
      <c r="DM59">
        <v>0</v>
      </c>
      <c r="DN59">
        <v>0</v>
      </c>
      <c r="DO59">
        <v>0</v>
      </c>
      <c r="DP59">
        <v>22620.64</v>
      </c>
      <c r="DQ59">
        <v>15174</v>
      </c>
      <c r="DR59">
        <v>0</v>
      </c>
      <c r="DS59">
        <v>0</v>
      </c>
      <c r="DT59">
        <v>0</v>
      </c>
      <c r="DU59">
        <v>0</v>
      </c>
      <c r="DV59">
        <v>0</v>
      </c>
      <c r="DW59">
        <v>0</v>
      </c>
      <c r="DX59">
        <v>0</v>
      </c>
      <c r="DY59">
        <v>15174</v>
      </c>
      <c r="DZ59">
        <v>0</v>
      </c>
      <c r="EA59">
        <v>0</v>
      </c>
      <c r="EB59">
        <v>0</v>
      </c>
      <c r="EC59">
        <v>0</v>
      </c>
      <c r="ED59">
        <v>0</v>
      </c>
      <c r="EE59">
        <v>0</v>
      </c>
      <c r="EF59">
        <v>81626</v>
      </c>
      <c r="EG59">
        <v>0</v>
      </c>
      <c r="EH59">
        <v>14415</v>
      </c>
      <c r="EI59">
        <v>1496042.73</v>
      </c>
      <c r="EJ59">
        <v>0</v>
      </c>
      <c r="EK59">
        <v>0</v>
      </c>
      <c r="EL59">
        <v>0</v>
      </c>
      <c r="EM59">
        <v>0</v>
      </c>
      <c r="EN59">
        <v>0</v>
      </c>
      <c r="EO59">
        <v>126684</v>
      </c>
      <c r="EP59">
        <v>126684</v>
      </c>
      <c r="EQ59">
        <v>0</v>
      </c>
      <c r="ER59">
        <v>44064</v>
      </c>
      <c r="ES59">
        <v>0</v>
      </c>
      <c r="ET59">
        <v>0</v>
      </c>
      <c r="EU59">
        <v>4180</v>
      </c>
      <c r="EV59" s="4">
        <v>113.333333333333</v>
      </c>
      <c r="EW59">
        <v>0</v>
      </c>
      <c r="EX59">
        <v>0</v>
      </c>
      <c r="EY59" s="4">
        <v>113.333333333333</v>
      </c>
      <c r="EZ59">
        <v>0</v>
      </c>
      <c r="FA59">
        <v>0</v>
      </c>
      <c r="FB59">
        <v>0</v>
      </c>
      <c r="FC59">
        <v>0</v>
      </c>
      <c r="FD59">
        <v>0</v>
      </c>
      <c r="FE59">
        <v>0</v>
      </c>
      <c r="FF59">
        <v>0</v>
      </c>
      <c r="FG59">
        <v>0</v>
      </c>
      <c r="FH59">
        <v>0</v>
      </c>
      <c r="FI59" s="4">
        <v>2382507.02</v>
      </c>
      <c r="FJ59">
        <v>0</v>
      </c>
      <c r="FK59">
        <v>0</v>
      </c>
      <c r="FL59">
        <v>0</v>
      </c>
      <c r="FM59" s="4">
        <v>48003.6666666667</v>
      </c>
      <c r="FN59">
        <v>0</v>
      </c>
      <c r="FO59">
        <v>0</v>
      </c>
      <c r="FP59">
        <v>0</v>
      </c>
      <c r="FQ59">
        <v>0</v>
      </c>
      <c r="FR59">
        <v>48003.6666666667</v>
      </c>
      <c r="FS59">
        <v>0</v>
      </c>
      <c r="FT59">
        <v>120130.696</v>
      </c>
      <c r="FU59">
        <v>300326.74</v>
      </c>
      <c r="FV59">
        <v>45049.011</v>
      </c>
      <c r="FY59">
        <v>15016337</v>
      </c>
      <c r="FZ59">
        <v>11355291.344947</v>
      </c>
      <c r="GA59">
        <v>1371462.65066667</v>
      </c>
      <c r="GB59">
        <v>9983828.69428035</v>
      </c>
      <c r="GC59">
        <v>5032508.30571965</v>
      </c>
      <c r="GD59">
        <v>0.335135546419852</v>
      </c>
      <c r="GE59">
        <v>3661045.65505298</v>
      </c>
      <c r="GF59">
        <v>0.243804175082977</v>
      </c>
      <c r="GJ59">
        <v>45526</v>
      </c>
      <c r="GL59">
        <v>45527</v>
      </c>
      <c r="GO59">
        <v>45531</v>
      </c>
      <c r="GR59">
        <v>45541</v>
      </c>
      <c r="GU59" t="s">
        <v>694</v>
      </c>
      <c r="HA59">
        <v>45553</v>
      </c>
      <c r="HB59">
        <v>45560</v>
      </c>
      <c r="HE59">
        <v>48</v>
      </c>
      <c r="HF59">
        <v>8</v>
      </c>
      <c r="HG59">
        <v>11</v>
      </c>
      <c r="HH59">
        <v>29</v>
      </c>
      <c r="HK59">
        <v>184</v>
      </c>
      <c r="HL59">
        <v>67</v>
      </c>
      <c r="HM59">
        <v>94</v>
      </c>
      <c r="HN59">
        <v>19</v>
      </c>
      <c r="HO59">
        <v>0</v>
      </c>
      <c r="HP59">
        <v>54</v>
      </c>
      <c r="HQ59">
        <v>302</v>
      </c>
      <c r="HR59">
        <v>55</v>
      </c>
      <c r="HU59" s="10"/>
    </row>
    <row r="60" spans="1:229">
      <c r="A60" s="1">
        <f t="shared" si="0"/>
        <v>59</v>
      </c>
      <c r="B60" s="2">
        <v>2024</v>
      </c>
      <c r="C60" s="2" t="s">
        <v>695</v>
      </c>
      <c r="D60" s="2" t="s">
        <v>27</v>
      </c>
      <c r="E60" s="9">
        <v>70152</v>
      </c>
      <c r="F60" s="2" t="s">
        <v>775</v>
      </c>
      <c r="G60" s="2" t="s">
        <v>28</v>
      </c>
      <c r="H60" s="2" t="s">
        <v>692</v>
      </c>
      <c r="I60" s="2" t="s">
        <v>777</v>
      </c>
      <c r="J60" t="s">
        <v>322</v>
      </c>
      <c r="K60" t="s">
        <v>31</v>
      </c>
      <c r="L60" t="s">
        <v>38</v>
      </c>
      <c r="M60">
        <v>3</v>
      </c>
      <c r="N60">
        <v>4051</v>
      </c>
      <c r="O60" s="3">
        <v>4030</v>
      </c>
      <c r="P60" s="4">
        <v>4</v>
      </c>
      <c r="Q60" s="4">
        <v>0</v>
      </c>
      <c r="R60" s="4">
        <v>26</v>
      </c>
      <c r="S60" s="4">
        <v>3</v>
      </c>
      <c r="T60" s="4">
        <v>29</v>
      </c>
      <c r="U60" s="4">
        <v>33</v>
      </c>
      <c r="V60" s="4">
        <v>0</v>
      </c>
      <c r="W60" s="4">
        <v>0.966666666666667</v>
      </c>
      <c r="X60" s="4">
        <v>1.1</v>
      </c>
      <c r="Y60" s="3">
        <v>15481507</v>
      </c>
      <c r="Z60">
        <v>4678053.40795698</v>
      </c>
      <c r="AA60">
        <v>10803453.592043</v>
      </c>
      <c r="AB60">
        <v>1260087.808</v>
      </c>
      <c r="AC60">
        <v>467500</v>
      </c>
      <c r="AD60">
        <v>467500</v>
      </c>
      <c r="AE60">
        <v>0</v>
      </c>
      <c r="AF60">
        <v>63558.3895833334</v>
      </c>
      <c r="AG60">
        <v>63558.3895833334</v>
      </c>
      <c r="AH60">
        <v>0</v>
      </c>
      <c r="AI60">
        <v>124503.418416667</v>
      </c>
      <c r="AJ60">
        <v>40761.5440833334</v>
      </c>
      <c r="AK60">
        <v>83131.0333333334</v>
      </c>
      <c r="AL60">
        <v>610.841</v>
      </c>
      <c r="AM60">
        <v>153526</v>
      </c>
      <c r="AN60">
        <v>153526</v>
      </c>
      <c r="AO60">
        <v>0</v>
      </c>
      <c r="AP60">
        <v>0</v>
      </c>
      <c r="AQ60">
        <v>0</v>
      </c>
      <c r="AR60">
        <v>0</v>
      </c>
      <c r="AS60">
        <v>0</v>
      </c>
      <c r="AT60">
        <v>0</v>
      </c>
      <c r="AU60">
        <v>0</v>
      </c>
      <c r="AV60">
        <v>0</v>
      </c>
      <c r="AW60">
        <v>0</v>
      </c>
      <c r="AX60">
        <v>0</v>
      </c>
      <c r="AY60">
        <v>451000</v>
      </c>
      <c r="AZ60">
        <v>9543365.78404302</v>
      </c>
      <c r="BA60">
        <v>2946575.56176</v>
      </c>
      <c r="BB60">
        <v>439932.7188</v>
      </c>
      <c r="BC60">
        <v>439932.7188</v>
      </c>
      <c r="BD60">
        <v>0</v>
      </c>
      <c r="BE60">
        <v>0</v>
      </c>
      <c r="BF60">
        <v>1223480</v>
      </c>
      <c r="BG60">
        <v>1223480</v>
      </c>
      <c r="BH60">
        <v>0</v>
      </c>
      <c r="BI60">
        <v>10134.72</v>
      </c>
      <c r="BJ60">
        <v>0</v>
      </c>
      <c r="BK60">
        <v>522021.96</v>
      </c>
      <c r="BL60">
        <v>522021.96</v>
      </c>
      <c r="BM60">
        <v>0</v>
      </c>
      <c r="BN60">
        <v>242496.85296</v>
      </c>
      <c r="BO60">
        <v>199665.83</v>
      </c>
      <c r="BP60">
        <v>46400</v>
      </c>
      <c r="BQ60">
        <v>0</v>
      </c>
      <c r="BR60">
        <v>0</v>
      </c>
      <c r="BS60">
        <v>153265.83</v>
      </c>
      <c r="BT60">
        <v>308843.48</v>
      </c>
      <c r="BU60">
        <v>253890</v>
      </c>
      <c r="BV60">
        <v>54953.48</v>
      </c>
      <c r="BW60">
        <v>0</v>
      </c>
      <c r="BX60">
        <v>0</v>
      </c>
      <c r="BY60">
        <v>119592.49</v>
      </c>
      <c r="BZ60">
        <v>119592.49</v>
      </c>
      <c r="CA60">
        <v>82513.86</v>
      </c>
      <c r="CB60">
        <v>24726.85</v>
      </c>
      <c r="CC60">
        <v>12351.78</v>
      </c>
      <c r="CD60">
        <v>0</v>
      </c>
      <c r="CE60">
        <v>0</v>
      </c>
      <c r="CF60">
        <v>0</v>
      </c>
      <c r="CG60">
        <v>0</v>
      </c>
      <c r="CH60">
        <v>6477197.73228302</v>
      </c>
      <c r="CI60">
        <v>208091</v>
      </c>
      <c r="CJ60">
        <v>0</v>
      </c>
      <c r="CK60">
        <v>32040</v>
      </c>
      <c r="CL60">
        <v>0</v>
      </c>
      <c r="CM60">
        <v>71657</v>
      </c>
      <c r="CN60">
        <v>46328</v>
      </c>
      <c r="CO60">
        <v>58066</v>
      </c>
      <c r="CP60">
        <v>478500</v>
      </c>
      <c r="CQ60">
        <v>13807</v>
      </c>
      <c r="CR60">
        <v>0</v>
      </c>
      <c r="CS60">
        <v>10517</v>
      </c>
      <c r="CT60">
        <v>0</v>
      </c>
      <c r="CU60">
        <v>1690</v>
      </c>
      <c r="CV60">
        <v>0</v>
      </c>
      <c r="CW60">
        <v>0</v>
      </c>
      <c r="CX60">
        <v>1600</v>
      </c>
      <c r="CY60">
        <v>46216.9886163522</v>
      </c>
      <c r="CZ60">
        <v>6513</v>
      </c>
      <c r="DA60">
        <v>0</v>
      </c>
      <c r="DB60">
        <v>2012.5786163522</v>
      </c>
      <c r="DC60">
        <v>0</v>
      </c>
      <c r="DD60">
        <v>0</v>
      </c>
      <c r="DE60">
        <v>14600</v>
      </c>
      <c r="DF60">
        <v>23091.41</v>
      </c>
      <c r="DG60">
        <v>0</v>
      </c>
      <c r="DH60" s="3">
        <v>850143</v>
      </c>
      <c r="DI60">
        <v>144365.86</v>
      </c>
      <c r="DJ60">
        <v>0</v>
      </c>
      <c r="DK60">
        <v>94854.36</v>
      </c>
      <c r="DL60">
        <v>0</v>
      </c>
      <c r="DM60">
        <v>0</v>
      </c>
      <c r="DN60">
        <v>0</v>
      </c>
      <c r="DO60">
        <v>0</v>
      </c>
      <c r="DP60">
        <v>49511.5</v>
      </c>
      <c r="DQ60">
        <v>0</v>
      </c>
      <c r="DR60">
        <v>0</v>
      </c>
      <c r="DS60">
        <v>0</v>
      </c>
      <c r="DT60">
        <v>0</v>
      </c>
      <c r="DU60">
        <v>0</v>
      </c>
      <c r="DV60">
        <v>0</v>
      </c>
      <c r="DW60">
        <v>0</v>
      </c>
      <c r="DX60">
        <v>0</v>
      </c>
      <c r="DY60">
        <v>0</v>
      </c>
      <c r="DZ60">
        <v>0</v>
      </c>
      <c r="EA60">
        <v>0</v>
      </c>
      <c r="EB60">
        <v>0</v>
      </c>
      <c r="EC60">
        <v>0</v>
      </c>
      <c r="ED60">
        <v>0</v>
      </c>
      <c r="EE60">
        <v>0</v>
      </c>
      <c r="EF60">
        <v>77571</v>
      </c>
      <c r="EG60">
        <v>0</v>
      </c>
      <c r="EH60">
        <v>10622</v>
      </c>
      <c r="EI60">
        <v>1620225.36</v>
      </c>
      <c r="EJ60">
        <v>0</v>
      </c>
      <c r="EK60">
        <v>0</v>
      </c>
      <c r="EL60">
        <v>0</v>
      </c>
      <c r="EM60">
        <v>0</v>
      </c>
      <c r="EN60">
        <v>0</v>
      </c>
      <c r="EO60">
        <v>109457.5</v>
      </c>
      <c r="EP60">
        <v>109457.5</v>
      </c>
      <c r="EQ60">
        <v>0</v>
      </c>
      <c r="ER60">
        <v>40986</v>
      </c>
      <c r="ES60">
        <v>0</v>
      </c>
      <c r="ET60">
        <v>0</v>
      </c>
      <c r="EU60">
        <v>1200</v>
      </c>
      <c r="EV60" s="4">
        <v>110</v>
      </c>
      <c r="EW60">
        <v>0</v>
      </c>
      <c r="EX60">
        <v>0</v>
      </c>
      <c r="EY60" s="4">
        <v>110</v>
      </c>
      <c r="EZ60">
        <v>0</v>
      </c>
      <c r="FA60">
        <v>0</v>
      </c>
      <c r="FB60">
        <v>0</v>
      </c>
      <c r="FC60">
        <v>0</v>
      </c>
      <c r="FD60">
        <v>0</v>
      </c>
      <c r="FE60">
        <v>0</v>
      </c>
      <c r="FF60">
        <v>0</v>
      </c>
      <c r="FG60">
        <v>0</v>
      </c>
      <c r="FH60">
        <v>0</v>
      </c>
      <c r="FI60" s="4">
        <v>2347971.64</v>
      </c>
      <c r="FJ60">
        <v>0</v>
      </c>
      <c r="FK60">
        <v>0</v>
      </c>
      <c r="FL60">
        <v>0</v>
      </c>
      <c r="FM60" s="4">
        <v>48003.6666666667</v>
      </c>
      <c r="FN60">
        <v>0</v>
      </c>
      <c r="FO60">
        <v>0</v>
      </c>
      <c r="FP60">
        <v>0</v>
      </c>
      <c r="FQ60">
        <v>0</v>
      </c>
      <c r="FR60">
        <v>48003.6666666667</v>
      </c>
      <c r="FS60">
        <v>0</v>
      </c>
      <c r="FT60">
        <v>123852.056</v>
      </c>
      <c r="FU60">
        <v>309630.14</v>
      </c>
      <c r="FV60">
        <v>46444.521</v>
      </c>
      <c r="FY60">
        <v>15481507</v>
      </c>
      <c r="FZ60">
        <v>10803453.592043</v>
      </c>
      <c r="GA60">
        <v>1260087.808</v>
      </c>
      <c r="GB60">
        <v>9543365.78404302</v>
      </c>
      <c r="GC60">
        <v>5938141.21595698</v>
      </c>
      <c r="GD60">
        <v>0.383563513290856</v>
      </c>
      <c r="GE60">
        <v>4678053.40795698</v>
      </c>
      <c r="GF60">
        <v>0.302170415835938</v>
      </c>
      <c r="GJ60">
        <v>45573</v>
      </c>
      <c r="GL60">
        <v>45577</v>
      </c>
      <c r="GO60">
        <v>45580</v>
      </c>
      <c r="GR60">
        <v>45592</v>
      </c>
      <c r="GU60" t="s">
        <v>694</v>
      </c>
      <c r="HA60">
        <v>45603</v>
      </c>
      <c r="HB60">
        <v>45606</v>
      </c>
      <c r="HE60">
        <v>46</v>
      </c>
      <c r="HF60">
        <v>7</v>
      </c>
      <c r="HG60">
        <v>10</v>
      </c>
      <c r="HH60">
        <v>29</v>
      </c>
      <c r="HK60">
        <v>183</v>
      </c>
      <c r="HL60">
        <v>78</v>
      </c>
      <c r="HM60">
        <v>70</v>
      </c>
      <c r="HN60">
        <v>14</v>
      </c>
      <c r="HO60">
        <v>0</v>
      </c>
      <c r="HP60">
        <v>53</v>
      </c>
      <c r="HQ60">
        <v>235</v>
      </c>
      <c r="HR60">
        <v>64</v>
      </c>
      <c r="HU60" s="10"/>
    </row>
    <row r="61" spans="1:229">
      <c r="A61" s="1">
        <f t="shared" si="0"/>
        <v>60</v>
      </c>
      <c r="B61" s="2">
        <v>2024</v>
      </c>
      <c r="C61" s="2" t="s">
        <v>695</v>
      </c>
      <c r="D61" s="2" t="s">
        <v>27</v>
      </c>
      <c r="E61" s="9">
        <v>50639</v>
      </c>
      <c r="F61" s="2" t="s">
        <v>723</v>
      </c>
      <c r="G61" s="2" t="s">
        <v>36</v>
      </c>
      <c r="H61" s="2" t="s">
        <v>778</v>
      </c>
      <c r="I61" s="2" t="s">
        <v>779</v>
      </c>
      <c r="J61" t="s">
        <v>319</v>
      </c>
      <c r="K61" t="s">
        <v>31</v>
      </c>
      <c r="L61" t="s">
        <v>32</v>
      </c>
      <c r="M61">
        <v>2</v>
      </c>
      <c r="N61">
        <v>2147</v>
      </c>
      <c r="O61" s="3">
        <v>2201</v>
      </c>
      <c r="P61" s="4">
        <v>9</v>
      </c>
      <c r="Q61" s="4">
        <v>0</v>
      </c>
      <c r="R61" s="4">
        <v>5</v>
      </c>
      <c r="S61" s="4">
        <v>4</v>
      </c>
      <c r="T61" s="4">
        <v>9</v>
      </c>
      <c r="U61" s="4">
        <v>18</v>
      </c>
      <c r="V61" s="4">
        <v>0</v>
      </c>
      <c r="W61" s="4">
        <v>0.3</v>
      </c>
      <c r="X61" s="4">
        <v>0.6</v>
      </c>
      <c r="Y61" s="3">
        <v>2530093</v>
      </c>
      <c r="Z61">
        <v>-1017678.36211456</v>
      </c>
      <c r="AA61">
        <v>3547771.36211456</v>
      </c>
      <c r="AB61">
        <v>635660.6965</v>
      </c>
      <c r="AC61">
        <v>360000</v>
      </c>
      <c r="AD61">
        <v>360000</v>
      </c>
      <c r="AE61">
        <v>0</v>
      </c>
      <c r="AF61">
        <v>22401.3725</v>
      </c>
      <c r="AG61">
        <v>22401.3725</v>
      </c>
      <c r="AH61">
        <v>0</v>
      </c>
      <c r="AI61">
        <v>7259.324</v>
      </c>
      <c r="AJ61">
        <v>2692.5865</v>
      </c>
      <c r="AK61">
        <v>2553.463</v>
      </c>
      <c r="AL61">
        <v>2013.2745</v>
      </c>
      <c r="AM61">
        <v>0</v>
      </c>
      <c r="AN61">
        <v>0</v>
      </c>
      <c r="AO61">
        <v>0</v>
      </c>
      <c r="AP61">
        <v>0</v>
      </c>
      <c r="AQ61">
        <v>0</v>
      </c>
      <c r="AR61">
        <v>0</v>
      </c>
      <c r="AS61">
        <v>0</v>
      </c>
      <c r="AT61">
        <v>0</v>
      </c>
      <c r="AU61">
        <v>0</v>
      </c>
      <c r="AV61">
        <v>0</v>
      </c>
      <c r="AW61">
        <v>0</v>
      </c>
      <c r="AX61">
        <v>0</v>
      </c>
      <c r="AY61">
        <v>246000</v>
      </c>
      <c r="AZ61">
        <v>2912110.66561456</v>
      </c>
      <c r="BA61">
        <v>927073.49</v>
      </c>
      <c r="BB61">
        <v>62640</v>
      </c>
      <c r="BC61">
        <v>62640</v>
      </c>
      <c r="BD61">
        <v>0</v>
      </c>
      <c r="BE61">
        <v>0</v>
      </c>
      <c r="BF61">
        <v>280775</v>
      </c>
      <c r="BG61">
        <v>280775</v>
      </c>
      <c r="BH61">
        <v>0</v>
      </c>
      <c r="BI61">
        <v>0</v>
      </c>
      <c r="BJ61">
        <v>276070</v>
      </c>
      <c r="BK61">
        <v>0</v>
      </c>
      <c r="BL61">
        <v>0</v>
      </c>
      <c r="BM61">
        <v>0</v>
      </c>
      <c r="BN61">
        <v>66340.11</v>
      </c>
      <c r="BO61">
        <v>90228.69</v>
      </c>
      <c r="BP61">
        <v>14400</v>
      </c>
      <c r="BQ61">
        <v>0</v>
      </c>
      <c r="BR61">
        <v>0</v>
      </c>
      <c r="BS61">
        <v>75828.69</v>
      </c>
      <c r="BT61">
        <v>151019.69</v>
      </c>
      <c r="BU61">
        <v>138663</v>
      </c>
      <c r="BV61">
        <v>12356.69</v>
      </c>
      <c r="BW61">
        <v>0</v>
      </c>
      <c r="BX61">
        <v>0</v>
      </c>
      <c r="BY61">
        <v>379941.99</v>
      </c>
      <c r="BZ61">
        <v>267355.64</v>
      </c>
      <c r="CA61">
        <v>228228.15</v>
      </c>
      <c r="CB61">
        <v>39127.49</v>
      </c>
      <c r="CC61">
        <v>0</v>
      </c>
      <c r="CD61">
        <v>112586.35</v>
      </c>
      <c r="CE61">
        <v>112586.35</v>
      </c>
      <c r="CF61">
        <v>0</v>
      </c>
      <c r="CG61">
        <v>0</v>
      </c>
      <c r="CH61">
        <v>1605095.18561456</v>
      </c>
      <c r="CI61">
        <v>253274</v>
      </c>
      <c r="CJ61">
        <v>0</v>
      </c>
      <c r="CK61">
        <v>0</v>
      </c>
      <c r="CL61">
        <v>124752</v>
      </c>
      <c r="CM61">
        <v>60216</v>
      </c>
      <c r="CN61">
        <v>22563</v>
      </c>
      <c r="CO61">
        <v>45743</v>
      </c>
      <c r="CP61">
        <v>144000</v>
      </c>
      <c r="CQ61">
        <v>8574.14285714286</v>
      </c>
      <c r="CR61">
        <v>1167</v>
      </c>
      <c r="CS61">
        <v>6300</v>
      </c>
      <c r="CT61">
        <v>0</v>
      </c>
      <c r="CU61">
        <v>250</v>
      </c>
      <c r="CV61">
        <v>0</v>
      </c>
      <c r="CW61">
        <v>0</v>
      </c>
      <c r="CX61">
        <v>857.142857142857</v>
      </c>
      <c r="CY61">
        <v>17424.0769002696</v>
      </c>
      <c r="CZ61">
        <v>5465.5</v>
      </c>
      <c r="DA61">
        <v>0</v>
      </c>
      <c r="DB61">
        <v>414</v>
      </c>
      <c r="DC61">
        <v>47.1428571428571</v>
      </c>
      <c r="DD61">
        <v>0</v>
      </c>
      <c r="DE61">
        <v>0</v>
      </c>
      <c r="DF61">
        <v>11497.4340431267</v>
      </c>
      <c r="DG61">
        <v>0</v>
      </c>
      <c r="DH61" s="3">
        <v>175113</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15673</v>
      </c>
      <c r="EG61">
        <v>0</v>
      </c>
      <c r="EH61">
        <v>0</v>
      </c>
      <c r="EI61">
        <v>272481.94</v>
      </c>
      <c r="EJ61">
        <v>0</v>
      </c>
      <c r="EK61">
        <v>0</v>
      </c>
      <c r="EL61">
        <v>0</v>
      </c>
      <c r="EM61">
        <v>0</v>
      </c>
      <c r="EN61">
        <v>40000</v>
      </c>
      <c r="EO61">
        <v>43761</v>
      </c>
      <c r="EP61">
        <v>43761</v>
      </c>
      <c r="EQ61">
        <v>0</v>
      </c>
      <c r="ER61">
        <v>19440</v>
      </c>
      <c r="ES61">
        <v>0</v>
      </c>
      <c r="ET61">
        <v>0</v>
      </c>
      <c r="EU61">
        <v>0</v>
      </c>
      <c r="EV61" s="4">
        <v>60</v>
      </c>
      <c r="EW61">
        <v>0</v>
      </c>
      <c r="EX61">
        <v>0</v>
      </c>
      <c r="EY61" s="4">
        <v>60</v>
      </c>
      <c r="EZ61">
        <v>0</v>
      </c>
      <c r="FA61">
        <v>0</v>
      </c>
      <c r="FB61">
        <v>0</v>
      </c>
      <c r="FC61">
        <v>0</v>
      </c>
      <c r="FD61">
        <v>0</v>
      </c>
      <c r="FE61">
        <v>35000</v>
      </c>
      <c r="FF61">
        <v>0</v>
      </c>
      <c r="FG61">
        <v>35000</v>
      </c>
      <c r="FH61">
        <v>0</v>
      </c>
      <c r="FI61" s="4">
        <v>450304</v>
      </c>
      <c r="FJ61">
        <v>0</v>
      </c>
      <c r="FK61">
        <v>0</v>
      </c>
      <c r="FL61">
        <v>0</v>
      </c>
      <c r="FM61" s="4">
        <v>51557.1428571428</v>
      </c>
      <c r="FN61">
        <v>0</v>
      </c>
      <c r="FO61">
        <v>0</v>
      </c>
      <c r="FP61">
        <v>0</v>
      </c>
      <c r="FQ61">
        <v>0</v>
      </c>
      <c r="FR61">
        <v>51557.1428571428</v>
      </c>
      <c r="FS61">
        <v>0</v>
      </c>
      <c r="FT61">
        <v>20240.744</v>
      </c>
      <c r="FU61">
        <v>50601.86</v>
      </c>
      <c r="FV61">
        <v>7590.279</v>
      </c>
      <c r="FY61">
        <v>2530093</v>
      </c>
      <c r="FZ61">
        <v>3547771.36211456</v>
      </c>
      <c r="GA61">
        <v>635660.6965</v>
      </c>
      <c r="GB61">
        <v>2912110.66561456</v>
      </c>
      <c r="GC61">
        <v>-382017.665614556</v>
      </c>
      <c r="GD61">
        <v>-0.150989574539179</v>
      </c>
      <c r="GE61">
        <v>-1017678.36211456</v>
      </c>
      <c r="GF61">
        <v>-0.402229626387076</v>
      </c>
      <c r="GJ61">
        <v>45604</v>
      </c>
      <c r="GL61">
        <v>45613</v>
      </c>
      <c r="GO61" t="s">
        <v>694</v>
      </c>
      <c r="GR61" t="s">
        <v>694</v>
      </c>
      <c r="GU61" t="s">
        <v>694</v>
      </c>
      <c r="HA61">
        <v>45618</v>
      </c>
      <c r="HB61">
        <v>45622</v>
      </c>
      <c r="HE61">
        <v>40</v>
      </c>
      <c r="HF61">
        <v>10</v>
      </c>
      <c r="HG61">
        <v>14</v>
      </c>
      <c r="HH61">
        <v>16</v>
      </c>
      <c r="HK61">
        <v>59</v>
      </c>
      <c r="HL61">
        <v>4</v>
      </c>
      <c r="HM61">
        <v>18.5</v>
      </c>
      <c r="HN61">
        <v>7</v>
      </c>
      <c r="HO61">
        <v>0</v>
      </c>
      <c r="HP61">
        <v>7.5</v>
      </c>
      <c r="HQ61">
        <v>83</v>
      </c>
      <c r="HR61">
        <v>41</v>
      </c>
      <c r="HU61" s="10"/>
    </row>
    <row r="62" spans="1:229">
      <c r="A62" s="1">
        <f t="shared" si="0"/>
        <v>61</v>
      </c>
      <c r="B62" s="2">
        <v>2025</v>
      </c>
      <c r="C62" s="2" t="s">
        <v>26</v>
      </c>
      <c r="D62" s="2" t="s">
        <v>27</v>
      </c>
      <c r="E62" s="9">
        <v>70520</v>
      </c>
      <c r="F62" s="2" t="s">
        <v>699</v>
      </c>
      <c r="G62" s="2" t="s">
        <v>28</v>
      </c>
      <c r="H62" s="2" t="s">
        <v>692</v>
      </c>
      <c r="I62" s="2" t="s">
        <v>29</v>
      </c>
      <c r="J62" t="s">
        <v>308</v>
      </c>
      <c r="K62" t="s">
        <v>31</v>
      </c>
      <c r="L62" t="s">
        <v>32</v>
      </c>
      <c r="M62">
        <v>2</v>
      </c>
      <c r="N62">
        <v>2884</v>
      </c>
      <c r="O62" s="3">
        <v>2925</v>
      </c>
      <c r="P62" s="4">
        <v>7</v>
      </c>
      <c r="R62" s="4">
        <v>8</v>
      </c>
      <c r="S62" s="4">
        <v>6</v>
      </c>
      <c r="T62" s="4">
        <v>14</v>
      </c>
      <c r="U62" s="4">
        <v>21</v>
      </c>
      <c r="W62" s="4">
        <v>0.466666666666667</v>
      </c>
      <c r="X62" s="4">
        <v>0.7</v>
      </c>
      <c r="Y62" s="3">
        <v>4323005</v>
      </c>
      <c r="Z62">
        <v>-87970.9836333338</v>
      </c>
      <c r="AA62">
        <v>4410975.98363333</v>
      </c>
      <c r="AB62">
        <v>651412.538</v>
      </c>
      <c r="AC62">
        <v>332500</v>
      </c>
      <c r="AD62">
        <v>332500</v>
      </c>
      <c r="AE62">
        <v>0</v>
      </c>
      <c r="AF62">
        <v>23947.301</v>
      </c>
      <c r="AG62">
        <v>23947.301</v>
      </c>
      <c r="AH62">
        <v>0</v>
      </c>
      <c r="AI62">
        <v>7965.237</v>
      </c>
      <c r="AJ62">
        <v>5057.864</v>
      </c>
      <c r="AK62">
        <v>2267.258</v>
      </c>
      <c r="AL62">
        <v>640.115</v>
      </c>
      <c r="AM62">
        <v>0</v>
      </c>
      <c r="AN62">
        <v>0</v>
      </c>
      <c r="AO62">
        <v>0</v>
      </c>
      <c r="AP62">
        <v>0</v>
      </c>
      <c r="AQ62">
        <v>0</v>
      </c>
      <c r="AR62">
        <v>0</v>
      </c>
      <c r="AS62">
        <v>0</v>
      </c>
      <c r="AT62">
        <v>0</v>
      </c>
      <c r="AU62">
        <v>0</v>
      </c>
      <c r="AV62">
        <v>0</v>
      </c>
      <c r="AW62">
        <v>0</v>
      </c>
      <c r="AX62">
        <v>0</v>
      </c>
      <c r="AY62">
        <v>287000</v>
      </c>
      <c r="AZ62">
        <v>3759563.44563333</v>
      </c>
      <c r="BA62">
        <v>1228410.8713</v>
      </c>
      <c r="BB62">
        <v>48934.5084</v>
      </c>
      <c r="BC62">
        <v>48934.5084</v>
      </c>
      <c r="BD62">
        <v>0</v>
      </c>
      <c r="BE62">
        <v>0</v>
      </c>
      <c r="BF62">
        <v>284107</v>
      </c>
      <c r="BG62">
        <v>284107</v>
      </c>
      <c r="BH62">
        <v>0</v>
      </c>
      <c r="BI62">
        <v>17774.4537</v>
      </c>
      <c r="BJ62">
        <v>490900.26</v>
      </c>
      <c r="BK62">
        <v>0</v>
      </c>
      <c r="BL62">
        <v>0</v>
      </c>
      <c r="BM62">
        <v>0</v>
      </c>
      <c r="BN62">
        <v>50973.1892</v>
      </c>
      <c r="BO62">
        <v>126110.51</v>
      </c>
      <c r="BP62">
        <v>22400</v>
      </c>
      <c r="BQ62">
        <v>0</v>
      </c>
      <c r="BR62">
        <v>0</v>
      </c>
      <c r="BS62">
        <v>103710.51</v>
      </c>
      <c r="BT62">
        <v>209610.95</v>
      </c>
      <c r="BU62">
        <v>184275</v>
      </c>
      <c r="BV62">
        <v>25335.95</v>
      </c>
      <c r="BW62">
        <v>0</v>
      </c>
      <c r="BX62">
        <v>0</v>
      </c>
      <c r="BY62">
        <v>117330.72</v>
      </c>
      <c r="BZ62">
        <v>1628.8</v>
      </c>
      <c r="CA62">
        <v>0</v>
      </c>
      <c r="CB62">
        <v>1628.8</v>
      </c>
      <c r="CC62">
        <v>0</v>
      </c>
      <c r="CD62">
        <v>115701.92</v>
      </c>
      <c r="CE62">
        <v>115701.92</v>
      </c>
      <c r="CF62">
        <v>0</v>
      </c>
      <c r="CG62">
        <v>0</v>
      </c>
      <c r="CH62">
        <v>2413821.85433333</v>
      </c>
      <c r="CI62">
        <v>344851</v>
      </c>
      <c r="CJ62">
        <v>0</v>
      </c>
      <c r="CK62">
        <v>0</v>
      </c>
      <c r="CL62">
        <v>193968</v>
      </c>
      <c r="CM62">
        <v>43610</v>
      </c>
      <c r="CN62">
        <v>20666</v>
      </c>
      <c r="CO62">
        <v>86607</v>
      </c>
      <c r="CP62">
        <v>210000</v>
      </c>
      <c r="CQ62">
        <v>10950.4</v>
      </c>
      <c r="CR62">
        <v>2843.1</v>
      </c>
      <c r="CS62">
        <v>6747.3</v>
      </c>
      <c r="CT62">
        <v>0</v>
      </c>
      <c r="CU62">
        <v>400</v>
      </c>
      <c r="CV62">
        <v>0</v>
      </c>
      <c r="CW62">
        <v>0</v>
      </c>
      <c r="CX62">
        <v>960</v>
      </c>
      <c r="CY62">
        <v>7248.716</v>
      </c>
      <c r="CZ62">
        <v>3650</v>
      </c>
      <c r="DA62">
        <v>0</v>
      </c>
      <c r="DB62">
        <v>365</v>
      </c>
      <c r="DC62">
        <v>220</v>
      </c>
      <c r="DD62">
        <v>0</v>
      </c>
      <c r="DE62">
        <v>0</v>
      </c>
      <c r="DF62">
        <v>3013.716</v>
      </c>
      <c r="DG62">
        <v>0</v>
      </c>
      <c r="DH62" s="3">
        <v>168948</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26033</v>
      </c>
      <c r="EG62">
        <v>0</v>
      </c>
      <c r="EH62">
        <v>3600</v>
      </c>
      <c r="EI62">
        <v>645471.2</v>
      </c>
      <c r="EJ62">
        <v>0</v>
      </c>
      <c r="EK62">
        <v>0</v>
      </c>
      <c r="EL62">
        <v>0</v>
      </c>
      <c r="EM62">
        <v>0</v>
      </c>
      <c r="EN62">
        <v>0</v>
      </c>
      <c r="EO62">
        <v>11376</v>
      </c>
      <c r="EP62">
        <v>0</v>
      </c>
      <c r="EQ62">
        <v>11376</v>
      </c>
      <c r="ER62">
        <v>22113</v>
      </c>
      <c r="ES62">
        <v>0</v>
      </c>
      <c r="ET62">
        <v>0</v>
      </c>
      <c r="EU62">
        <v>3000</v>
      </c>
      <c r="EV62" s="4">
        <v>70</v>
      </c>
      <c r="EW62">
        <v>0</v>
      </c>
      <c r="EX62">
        <v>0</v>
      </c>
      <c r="EY62" s="4">
        <v>70</v>
      </c>
      <c r="EZ62">
        <v>0</v>
      </c>
      <c r="FA62">
        <v>0</v>
      </c>
      <c r="FB62">
        <v>0</v>
      </c>
      <c r="FC62">
        <v>0</v>
      </c>
      <c r="FD62">
        <v>0</v>
      </c>
      <c r="FE62">
        <v>33333.3333333333</v>
      </c>
      <c r="FF62">
        <v>0</v>
      </c>
      <c r="FG62">
        <v>33333.3333333333</v>
      </c>
      <c r="FH62">
        <v>0</v>
      </c>
      <c r="FI62" s="4">
        <v>749173.01</v>
      </c>
      <c r="FJ62">
        <v>41212.04</v>
      </c>
      <c r="FK62">
        <v>41212.04</v>
      </c>
      <c r="FL62">
        <v>0</v>
      </c>
      <c r="FM62" s="4">
        <v>2429</v>
      </c>
      <c r="FN62">
        <v>0</v>
      </c>
      <c r="FO62">
        <v>0</v>
      </c>
      <c r="FP62">
        <v>0</v>
      </c>
      <c r="FQ62">
        <v>0</v>
      </c>
      <c r="FR62">
        <v>2429</v>
      </c>
      <c r="FS62">
        <v>0</v>
      </c>
      <c r="FT62">
        <v>34584.04</v>
      </c>
      <c r="FU62">
        <v>86460.1</v>
      </c>
      <c r="FV62">
        <v>12969.015</v>
      </c>
      <c r="FY62">
        <v>4323005</v>
      </c>
      <c r="FZ62">
        <v>4410975.98363333</v>
      </c>
      <c r="GA62">
        <v>651412.538</v>
      </c>
      <c r="GB62">
        <v>3759563.44563333</v>
      </c>
      <c r="GC62">
        <v>563441.554366666</v>
      </c>
      <c r="GD62">
        <v>0.130335624031586</v>
      </c>
      <c r="GE62">
        <v>-87970.9836333338</v>
      </c>
      <c r="GF62">
        <v>-0.0203494984700073</v>
      </c>
      <c r="GJ62">
        <v>45653</v>
      </c>
      <c r="GL62">
        <v>45660</v>
      </c>
      <c r="GO62">
        <v>45662</v>
      </c>
      <c r="GR62" t="s">
        <v>694</v>
      </c>
      <c r="GU62" t="s">
        <v>694</v>
      </c>
      <c r="HA62">
        <v>45668</v>
      </c>
      <c r="HB62">
        <v>45674</v>
      </c>
      <c r="HE62">
        <v>39</v>
      </c>
      <c r="HF62">
        <v>8</v>
      </c>
      <c r="HG62">
        <v>11</v>
      </c>
      <c r="HH62">
        <v>20</v>
      </c>
      <c r="HK62">
        <v>110</v>
      </c>
      <c r="HL62">
        <v>26</v>
      </c>
      <c r="HM62">
        <v>12</v>
      </c>
      <c r="HN62">
        <v>16</v>
      </c>
      <c r="HO62">
        <v>0</v>
      </c>
      <c r="HP62">
        <v>12</v>
      </c>
      <c r="HQ62">
        <v>82</v>
      </c>
      <c r="HR62">
        <v>76</v>
      </c>
      <c r="HU62" s="10"/>
    </row>
    <row r="63" spans="1:229">
      <c r="A63" s="1">
        <f t="shared" si="0"/>
        <v>62</v>
      </c>
      <c r="B63" s="2">
        <v>2025</v>
      </c>
      <c r="C63" s="2" t="s">
        <v>26</v>
      </c>
      <c r="D63" s="2" t="s">
        <v>27</v>
      </c>
      <c r="E63" s="9">
        <v>70152</v>
      </c>
      <c r="F63" s="2" t="s">
        <v>775</v>
      </c>
      <c r="G63" s="2" t="s">
        <v>28</v>
      </c>
      <c r="H63" s="2" t="s">
        <v>692</v>
      </c>
      <c r="I63" s="2" t="s">
        <v>780</v>
      </c>
      <c r="J63" t="s">
        <v>325</v>
      </c>
      <c r="K63" t="s">
        <v>31</v>
      </c>
      <c r="L63" t="s">
        <v>32</v>
      </c>
      <c r="M63">
        <v>3</v>
      </c>
      <c r="N63">
        <v>4692</v>
      </c>
      <c r="O63" s="3">
        <v>4800</v>
      </c>
      <c r="P63" s="4">
        <v>4</v>
      </c>
      <c r="R63" s="4">
        <v>32</v>
      </c>
      <c r="S63" s="4">
        <v>7</v>
      </c>
      <c r="T63" s="4">
        <v>39</v>
      </c>
      <c r="U63" s="4">
        <v>43</v>
      </c>
      <c r="W63" s="4">
        <v>1.3</v>
      </c>
      <c r="X63" s="4">
        <v>1.43333333333333</v>
      </c>
      <c r="Y63" s="3">
        <v>18062844</v>
      </c>
      <c r="Z63">
        <v>7006259.67663334</v>
      </c>
      <c r="AA63">
        <v>11056584.3233667</v>
      </c>
      <c r="AB63">
        <v>1513734.96333333</v>
      </c>
      <c r="AC63">
        <v>609166.666666667</v>
      </c>
      <c r="AD63">
        <v>609166.666666667</v>
      </c>
      <c r="AE63">
        <v>0</v>
      </c>
      <c r="AF63">
        <v>42965.61</v>
      </c>
      <c r="AG63">
        <v>42965.61</v>
      </c>
      <c r="AH63">
        <v>0</v>
      </c>
      <c r="AI63">
        <v>46294.02</v>
      </c>
      <c r="AJ63">
        <v>39804.34</v>
      </c>
      <c r="AK63">
        <v>6489.68</v>
      </c>
      <c r="AL63">
        <v>0</v>
      </c>
      <c r="AM63">
        <v>227642</v>
      </c>
      <c r="AN63">
        <v>227642</v>
      </c>
      <c r="AO63">
        <v>0</v>
      </c>
      <c r="AP63">
        <v>0</v>
      </c>
      <c r="AQ63">
        <v>0</v>
      </c>
      <c r="AR63">
        <v>0</v>
      </c>
      <c r="AS63">
        <v>0</v>
      </c>
      <c r="AT63">
        <v>0</v>
      </c>
      <c r="AU63">
        <v>0</v>
      </c>
      <c r="AV63">
        <v>0</v>
      </c>
      <c r="AW63">
        <v>0</v>
      </c>
      <c r="AX63">
        <v>0</v>
      </c>
      <c r="AY63">
        <v>587666.666666665</v>
      </c>
      <c r="AZ63">
        <v>9542849.36003333</v>
      </c>
      <c r="BA63">
        <v>3238382.6667</v>
      </c>
      <c r="BB63">
        <v>169646.0112</v>
      </c>
      <c r="BC63">
        <v>169646.0112</v>
      </c>
      <c r="BD63">
        <v>0</v>
      </c>
      <c r="BE63">
        <v>0</v>
      </c>
      <c r="BF63">
        <v>1526582</v>
      </c>
      <c r="BG63">
        <v>1526582</v>
      </c>
      <c r="BH63">
        <v>0</v>
      </c>
      <c r="BI63">
        <v>18545.76</v>
      </c>
      <c r="BJ63">
        <v>61616</v>
      </c>
      <c r="BK63">
        <v>415950.43</v>
      </c>
      <c r="BL63">
        <v>415950.43</v>
      </c>
      <c r="BM63">
        <v>0</v>
      </c>
      <c r="BN63">
        <v>257166.0655</v>
      </c>
      <c r="BO63">
        <v>203695.5</v>
      </c>
      <c r="BP63">
        <v>62400</v>
      </c>
      <c r="BQ63">
        <v>0</v>
      </c>
      <c r="BR63">
        <v>0</v>
      </c>
      <c r="BS63">
        <v>141295.5</v>
      </c>
      <c r="BT63">
        <v>585180.9</v>
      </c>
      <c r="BU63">
        <v>499200</v>
      </c>
      <c r="BV63">
        <v>85980.9</v>
      </c>
      <c r="BW63">
        <v>0</v>
      </c>
      <c r="BX63">
        <v>0</v>
      </c>
      <c r="BY63">
        <v>63253.48</v>
      </c>
      <c r="BZ63">
        <v>10840.51</v>
      </c>
      <c r="CA63">
        <v>10840.51</v>
      </c>
      <c r="CB63">
        <v>0</v>
      </c>
      <c r="CC63">
        <v>0</v>
      </c>
      <c r="CD63">
        <v>52412.97</v>
      </c>
      <c r="CE63">
        <v>0</v>
      </c>
      <c r="CF63">
        <v>52412.97</v>
      </c>
      <c r="CG63">
        <v>0</v>
      </c>
      <c r="CH63">
        <v>6241213.21333333</v>
      </c>
      <c r="CI63">
        <v>201375</v>
      </c>
      <c r="CJ63">
        <v>0</v>
      </c>
      <c r="CK63">
        <v>35720</v>
      </c>
      <c r="CL63">
        <v>0</v>
      </c>
      <c r="CM63">
        <v>47092</v>
      </c>
      <c r="CN63">
        <v>44653</v>
      </c>
      <c r="CO63">
        <v>73910</v>
      </c>
      <c r="CP63">
        <v>537499.999999999</v>
      </c>
      <c r="CQ63">
        <v>13963.51</v>
      </c>
      <c r="CR63">
        <v>4085.9</v>
      </c>
      <c r="CS63">
        <v>8517.61</v>
      </c>
      <c r="CT63">
        <v>0</v>
      </c>
      <c r="CU63">
        <v>400</v>
      </c>
      <c r="CV63">
        <v>0</v>
      </c>
      <c r="CW63">
        <v>0</v>
      </c>
      <c r="CX63">
        <v>960</v>
      </c>
      <c r="CY63">
        <v>7687.716</v>
      </c>
      <c r="CZ63">
        <v>3650</v>
      </c>
      <c r="DA63">
        <v>0</v>
      </c>
      <c r="DB63">
        <v>512</v>
      </c>
      <c r="DC63">
        <v>154</v>
      </c>
      <c r="DD63">
        <v>0</v>
      </c>
      <c r="DE63">
        <v>0</v>
      </c>
      <c r="DF63">
        <v>3371.716</v>
      </c>
      <c r="DG63">
        <v>0</v>
      </c>
      <c r="DH63" s="3">
        <v>461805</v>
      </c>
      <c r="DI63">
        <v>140800</v>
      </c>
      <c r="DJ63">
        <v>0</v>
      </c>
      <c r="DK63">
        <v>140800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80061</v>
      </c>
      <c r="EG63">
        <v>0</v>
      </c>
      <c r="EH63">
        <v>3900</v>
      </c>
      <c r="EI63">
        <v>1104885.71</v>
      </c>
      <c r="EJ63">
        <v>0</v>
      </c>
      <c r="EK63">
        <v>0</v>
      </c>
      <c r="EL63">
        <v>89817</v>
      </c>
      <c r="EM63">
        <v>0</v>
      </c>
      <c r="EN63">
        <v>60000</v>
      </c>
      <c r="EO63">
        <v>136116</v>
      </c>
      <c r="EP63">
        <v>136116</v>
      </c>
      <c r="EQ63">
        <v>0</v>
      </c>
      <c r="ER63">
        <v>48762</v>
      </c>
      <c r="ES63">
        <v>0</v>
      </c>
      <c r="ET63">
        <v>0</v>
      </c>
      <c r="EU63">
        <v>600</v>
      </c>
      <c r="EV63" s="4">
        <v>143.333333333333</v>
      </c>
      <c r="EW63">
        <v>0</v>
      </c>
      <c r="EX63">
        <v>0</v>
      </c>
      <c r="EY63" s="4">
        <v>143.333333333333</v>
      </c>
      <c r="EZ63">
        <v>0</v>
      </c>
      <c r="FA63">
        <v>0</v>
      </c>
      <c r="FB63">
        <v>0</v>
      </c>
      <c r="FC63">
        <v>0</v>
      </c>
      <c r="FD63">
        <v>0</v>
      </c>
      <c r="FE63">
        <v>50000</v>
      </c>
      <c r="FF63">
        <v>0</v>
      </c>
      <c r="FG63">
        <v>50000</v>
      </c>
      <c r="FH63">
        <v>0</v>
      </c>
      <c r="FI63" s="4">
        <v>2741132.98</v>
      </c>
      <c r="FJ63">
        <v>0</v>
      </c>
      <c r="FK63">
        <v>0</v>
      </c>
      <c r="FL63">
        <v>0</v>
      </c>
      <c r="FM63" s="4">
        <v>2715.8</v>
      </c>
      <c r="FN63">
        <v>0</v>
      </c>
      <c r="FO63">
        <v>0</v>
      </c>
      <c r="FP63">
        <v>0</v>
      </c>
      <c r="FQ63">
        <v>0</v>
      </c>
      <c r="FR63">
        <v>2715.8</v>
      </c>
      <c r="FS63">
        <v>0</v>
      </c>
      <c r="FT63">
        <v>144502.752</v>
      </c>
      <c r="FU63">
        <v>361256.88</v>
      </c>
      <c r="FV63">
        <v>54188.532</v>
      </c>
      <c r="FY63">
        <v>18062844</v>
      </c>
      <c r="FZ63">
        <v>11056584.3233667</v>
      </c>
      <c r="GA63">
        <v>1513734.96333333</v>
      </c>
      <c r="GB63">
        <v>9542849.36003333</v>
      </c>
      <c r="GC63">
        <v>8519994.63996667</v>
      </c>
      <c r="GD63">
        <v>0.471686221724922</v>
      </c>
      <c r="GE63">
        <v>7006259.67663334</v>
      </c>
      <c r="GF63">
        <v>0.387882421872953</v>
      </c>
      <c r="GJ63">
        <v>45627</v>
      </c>
      <c r="GL63">
        <v>45631</v>
      </c>
      <c r="GO63">
        <v>45635</v>
      </c>
      <c r="GR63">
        <v>45657</v>
      </c>
      <c r="GU63" t="s">
        <v>694</v>
      </c>
      <c r="HA63">
        <v>45663</v>
      </c>
      <c r="HB63">
        <v>45670</v>
      </c>
      <c r="HE63">
        <v>42</v>
      </c>
      <c r="HF63">
        <v>7</v>
      </c>
      <c r="HG63">
        <v>10</v>
      </c>
      <c r="HH63">
        <v>25</v>
      </c>
      <c r="HK63">
        <v>174</v>
      </c>
      <c r="HL63">
        <v>94</v>
      </c>
      <c r="HM63">
        <v>83</v>
      </c>
      <c r="HN63">
        <v>18</v>
      </c>
      <c r="HO63">
        <v>0</v>
      </c>
      <c r="HP63">
        <v>44</v>
      </c>
      <c r="HQ63">
        <v>306</v>
      </c>
      <c r="HR63">
        <v>208</v>
      </c>
      <c r="HU63" s="10"/>
    </row>
    <row r="64" spans="1:229">
      <c r="A64" s="1">
        <f t="shared" si="0"/>
        <v>63</v>
      </c>
      <c r="B64" s="2">
        <v>2025</v>
      </c>
      <c r="C64" s="2" t="s">
        <v>703</v>
      </c>
      <c r="D64" s="2" t="s">
        <v>27</v>
      </c>
      <c r="E64" s="9">
        <v>70520</v>
      </c>
      <c r="F64" s="2" t="s">
        <v>699</v>
      </c>
      <c r="G64" s="2" t="s">
        <v>28</v>
      </c>
      <c r="H64" s="2" t="s">
        <v>692</v>
      </c>
      <c r="I64" s="2" t="s">
        <v>781</v>
      </c>
      <c r="J64" t="s">
        <v>30</v>
      </c>
      <c r="K64" t="s">
        <v>31</v>
      </c>
      <c r="L64" t="s">
        <v>38</v>
      </c>
      <c r="M64">
        <v>2</v>
      </c>
      <c r="N64">
        <v>2710</v>
      </c>
      <c r="O64" s="3">
        <v>2710</v>
      </c>
      <c r="P64" s="4">
        <v>13.75</v>
      </c>
      <c r="R64" s="4">
        <v>9.70833333340124</v>
      </c>
      <c r="S64" s="4">
        <v>4.08333333329938</v>
      </c>
      <c r="T64" s="4">
        <v>13.7916666667006</v>
      </c>
      <c r="U64" s="4">
        <v>27.5416666667006</v>
      </c>
      <c r="W64" s="4">
        <v>0.459722222223354</v>
      </c>
      <c r="X64" s="4">
        <v>0.918055555556687</v>
      </c>
      <c r="Y64" s="3">
        <v>5092400</v>
      </c>
      <c r="Z64">
        <v>-416399.635823635</v>
      </c>
      <c r="AA64">
        <v>5508799.63582364</v>
      </c>
      <c r="AB64">
        <v>858068.536667668</v>
      </c>
      <c r="AC64">
        <v>436076.388889426</v>
      </c>
      <c r="AD64">
        <v>436076.388889426</v>
      </c>
      <c r="AE64">
        <v>0</v>
      </c>
      <c r="AF64">
        <v>34210.47</v>
      </c>
      <c r="AG64">
        <v>34210.47</v>
      </c>
      <c r="AH64">
        <v>0</v>
      </c>
      <c r="AI64">
        <v>11378.9</v>
      </c>
      <c r="AJ64">
        <v>7225.51</v>
      </c>
      <c r="AK64">
        <v>3238.93</v>
      </c>
      <c r="AL64">
        <v>914.46</v>
      </c>
      <c r="AM64">
        <v>0</v>
      </c>
      <c r="AN64">
        <v>0</v>
      </c>
      <c r="AO64">
        <v>0</v>
      </c>
      <c r="AP64">
        <v>0</v>
      </c>
      <c r="AQ64">
        <v>0</v>
      </c>
      <c r="AR64">
        <v>0</v>
      </c>
      <c r="AS64">
        <v>0</v>
      </c>
      <c r="AT64">
        <v>0</v>
      </c>
      <c r="AU64">
        <v>0</v>
      </c>
      <c r="AV64">
        <v>0</v>
      </c>
      <c r="AW64">
        <v>0</v>
      </c>
      <c r="AX64">
        <v>0</v>
      </c>
      <c r="AY64">
        <v>376402.777778242</v>
      </c>
      <c r="AZ64">
        <v>4650731.09915597</v>
      </c>
      <c r="BA64">
        <v>1431987.83026672</v>
      </c>
      <c r="BB64">
        <v>0</v>
      </c>
      <c r="BC64">
        <v>0</v>
      </c>
      <c r="BD64">
        <v>0</v>
      </c>
      <c r="BE64">
        <v>0</v>
      </c>
      <c r="BF64">
        <v>645562</v>
      </c>
      <c r="BG64">
        <v>645562</v>
      </c>
      <c r="BH64">
        <v>0</v>
      </c>
      <c r="BI64">
        <v>14878.944</v>
      </c>
      <c r="BJ64">
        <v>395980</v>
      </c>
      <c r="BK64">
        <v>36720</v>
      </c>
      <c r="BL64">
        <v>36720</v>
      </c>
      <c r="BM64">
        <v>0</v>
      </c>
      <c r="BN64">
        <v>55638.6396</v>
      </c>
      <c r="BO64">
        <v>93406.796666721</v>
      </c>
      <c r="BP64">
        <v>22066.666666721</v>
      </c>
      <c r="BQ64">
        <v>0</v>
      </c>
      <c r="BR64">
        <v>0</v>
      </c>
      <c r="BS64">
        <v>71340.13</v>
      </c>
      <c r="BT64">
        <v>189801.45</v>
      </c>
      <c r="BU64">
        <v>170730</v>
      </c>
      <c r="BV64">
        <v>19071.45</v>
      </c>
      <c r="BW64">
        <v>0</v>
      </c>
      <c r="BX64">
        <v>0</v>
      </c>
      <c r="BY64">
        <v>241630.59</v>
      </c>
      <c r="BZ64">
        <v>75612.59</v>
      </c>
      <c r="CA64">
        <v>75612.59</v>
      </c>
      <c r="CB64">
        <v>0</v>
      </c>
      <c r="CC64">
        <v>0</v>
      </c>
      <c r="CD64">
        <v>166018</v>
      </c>
      <c r="CE64">
        <v>157100</v>
      </c>
      <c r="CF64">
        <v>8918</v>
      </c>
      <c r="CG64">
        <v>0</v>
      </c>
      <c r="CH64">
        <v>2977112.67888925</v>
      </c>
      <c r="CI64">
        <v>320957</v>
      </c>
      <c r="CJ64">
        <v>0</v>
      </c>
      <c r="CK64">
        <v>0</v>
      </c>
      <c r="CL64">
        <v>191961</v>
      </c>
      <c r="CM64">
        <v>50310</v>
      </c>
      <c r="CN64">
        <v>18290</v>
      </c>
      <c r="CO64">
        <v>60396</v>
      </c>
      <c r="CP64">
        <v>261645.833333656</v>
      </c>
      <c r="CQ64">
        <v>9571.22</v>
      </c>
      <c r="CR64">
        <v>3553.88</v>
      </c>
      <c r="CS64">
        <v>6017.34</v>
      </c>
      <c r="CT64">
        <v>0</v>
      </c>
      <c r="CU64">
        <v>0</v>
      </c>
      <c r="CV64">
        <v>0</v>
      </c>
      <c r="CW64">
        <v>0</v>
      </c>
      <c r="CX64">
        <v>0</v>
      </c>
      <c r="CY64">
        <v>12203.12</v>
      </c>
      <c r="CZ64">
        <v>3650</v>
      </c>
      <c r="DA64">
        <v>0</v>
      </c>
      <c r="DB64">
        <v>365</v>
      </c>
      <c r="DC64">
        <v>176</v>
      </c>
      <c r="DD64">
        <v>0</v>
      </c>
      <c r="DE64">
        <v>0</v>
      </c>
      <c r="DF64">
        <v>8012.12</v>
      </c>
      <c r="DG64">
        <v>0</v>
      </c>
      <c r="DH64" s="3">
        <v>425150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26397</v>
      </c>
      <c r="EG64">
        <v>0</v>
      </c>
      <c r="EH64">
        <v>3300</v>
      </c>
      <c r="EI64">
        <v>741139.75</v>
      </c>
      <c r="EJ64">
        <v>0</v>
      </c>
      <c r="EK64">
        <v>0</v>
      </c>
      <c r="EL64">
        <v>104301</v>
      </c>
      <c r="EM64">
        <v>34455</v>
      </c>
      <c r="EN64">
        <v>0</v>
      </c>
      <c r="EO64">
        <v>12087</v>
      </c>
      <c r="EP64">
        <v>0</v>
      </c>
      <c r="EQ64">
        <v>12087</v>
      </c>
      <c r="ER64">
        <v>28257.7500000348</v>
      </c>
      <c r="ES64">
        <v>0</v>
      </c>
      <c r="ET64">
        <v>0</v>
      </c>
      <c r="EU64">
        <v>1200</v>
      </c>
      <c r="EV64" s="4">
        <v>91.8055555556687</v>
      </c>
      <c r="EW64">
        <v>0</v>
      </c>
      <c r="EX64">
        <v>0</v>
      </c>
      <c r="EY64" s="4">
        <v>91.8055555556687</v>
      </c>
      <c r="EZ64">
        <v>0</v>
      </c>
      <c r="FA64">
        <v>0</v>
      </c>
      <c r="FB64">
        <v>0</v>
      </c>
      <c r="FC64">
        <v>0</v>
      </c>
      <c r="FD64">
        <v>0</v>
      </c>
      <c r="FE64">
        <v>30000</v>
      </c>
      <c r="FF64">
        <v>0</v>
      </c>
      <c r="FG64">
        <v>30000</v>
      </c>
      <c r="FH64">
        <v>0</v>
      </c>
      <c r="FI64" s="4">
        <v>768260.37</v>
      </c>
      <c r="FJ64">
        <v>40231.43</v>
      </c>
      <c r="FK64">
        <v>40231.43</v>
      </c>
      <c r="FL64">
        <v>0</v>
      </c>
      <c r="FM64" s="4">
        <v>0</v>
      </c>
      <c r="FN64">
        <v>0</v>
      </c>
      <c r="FO64">
        <v>0</v>
      </c>
      <c r="FP64">
        <v>0</v>
      </c>
      <c r="FQ64">
        <v>0</v>
      </c>
      <c r="FR64">
        <v>0</v>
      </c>
      <c r="FS64">
        <v>0</v>
      </c>
      <c r="FT64">
        <v>40739.2</v>
      </c>
      <c r="FU64">
        <v>101848</v>
      </c>
      <c r="FV64">
        <v>15277.2</v>
      </c>
      <c r="FY64">
        <v>5092400</v>
      </c>
      <c r="FZ64">
        <v>5508799.63582364</v>
      </c>
      <c r="GA64">
        <v>858068.536667668</v>
      </c>
      <c r="GB64">
        <v>4650731.09915597</v>
      </c>
      <c r="GC64">
        <v>441668.900844033</v>
      </c>
      <c r="GD64">
        <v>0.0867309914468685</v>
      </c>
      <c r="GE64">
        <v>-416399.635823635</v>
      </c>
      <c r="GF64">
        <v>-0.0817688390196441</v>
      </c>
      <c r="GJ64">
        <v>45678.3333333333</v>
      </c>
      <c r="GL64">
        <v>45692.0833333333</v>
      </c>
      <c r="GO64">
        <v>45694.875</v>
      </c>
      <c r="GR64" t="s">
        <v>694</v>
      </c>
      <c r="GU64" t="s">
        <v>694</v>
      </c>
      <c r="HA64">
        <v>45701.7916666667</v>
      </c>
      <c r="HB64">
        <v>45705.875</v>
      </c>
      <c r="HE64">
        <v>38</v>
      </c>
      <c r="HF64">
        <v>8</v>
      </c>
      <c r="HG64">
        <v>11</v>
      </c>
      <c r="HH64">
        <v>19</v>
      </c>
      <c r="HK64">
        <v>97</v>
      </c>
      <c r="HL64">
        <v>38</v>
      </c>
      <c r="HM64">
        <v>11</v>
      </c>
      <c r="HN64">
        <v>19</v>
      </c>
      <c r="HO64">
        <v>0</v>
      </c>
      <c r="HP64">
        <v>21</v>
      </c>
      <c r="HQ64">
        <v>134</v>
      </c>
      <c r="HR64">
        <v>11</v>
      </c>
      <c r="HU64" s="10"/>
    </row>
    <row r="65" spans="1:229">
      <c r="A65" s="1">
        <f t="shared" si="0"/>
        <v>64</v>
      </c>
      <c r="B65" s="2">
        <v>2025</v>
      </c>
      <c r="C65" s="2" t="s">
        <v>703</v>
      </c>
      <c r="D65" s="2" t="s">
        <v>27</v>
      </c>
      <c r="E65" s="9">
        <v>70318</v>
      </c>
      <c r="F65" s="2" t="s">
        <v>709</v>
      </c>
      <c r="G65" s="2" t="s">
        <v>28</v>
      </c>
      <c r="H65" s="2" t="s">
        <v>743</v>
      </c>
      <c r="I65" s="2" t="s">
        <v>782</v>
      </c>
      <c r="J65" t="s">
        <v>323</v>
      </c>
      <c r="K65" t="s">
        <v>31</v>
      </c>
      <c r="L65" t="s">
        <v>38</v>
      </c>
      <c r="M65">
        <v>2</v>
      </c>
      <c r="N65">
        <v>6319</v>
      </c>
      <c r="O65" s="3">
        <v>6332</v>
      </c>
      <c r="P65" s="4">
        <v>1.6875</v>
      </c>
      <c r="R65" s="4">
        <v>37.9375</v>
      </c>
      <c r="S65" s="4">
        <v>2.45833333340124</v>
      </c>
      <c r="T65" s="4">
        <v>40.3958333334012</v>
      </c>
      <c r="U65" s="4">
        <v>42.0833333334012</v>
      </c>
      <c r="W65" s="4">
        <v>1.34652777778004</v>
      </c>
      <c r="X65" s="4">
        <v>1.40277777778004</v>
      </c>
      <c r="Y65" s="3">
        <v>11546626.2425789</v>
      </c>
      <c r="Z65">
        <v>-2047793.60529524</v>
      </c>
      <c r="AA65">
        <v>13594419.8478741</v>
      </c>
      <c r="AB65">
        <v>1432842.90910876</v>
      </c>
      <c r="AC65">
        <v>490972.222223015</v>
      </c>
      <c r="AD65">
        <v>490972.222223015</v>
      </c>
      <c r="AE65">
        <v>0</v>
      </c>
      <c r="AF65">
        <v>239056.36</v>
      </c>
      <c r="AG65">
        <v>239056.36</v>
      </c>
      <c r="AH65">
        <v>0</v>
      </c>
      <c r="AI65">
        <v>9298.7</v>
      </c>
      <c r="AJ65">
        <v>6823.7</v>
      </c>
      <c r="AK65">
        <v>2475</v>
      </c>
      <c r="AL65">
        <v>0</v>
      </c>
      <c r="AM65">
        <v>118376.73799593</v>
      </c>
      <c r="AN65">
        <v>118376.73799593</v>
      </c>
      <c r="AO65">
        <v>0</v>
      </c>
      <c r="AP65">
        <v>0</v>
      </c>
      <c r="AQ65">
        <v>0</v>
      </c>
      <c r="AR65">
        <v>0</v>
      </c>
      <c r="AS65">
        <v>0</v>
      </c>
      <c r="AT65">
        <v>0</v>
      </c>
      <c r="AU65">
        <v>0</v>
      </c>
      <c r="AV65">
        <v>0</v>
      </c>
      <c r="AW65">
        <v>0</v>
      </c>
      <c r="AX65">
        <v>0</v>
      </c>
      <c r="AY65">
        <v>575138.888889816</v>
      </c>
      <c r="AZ65">
        <v>12161576.9387654</v>
      </c>
      <c r="BA65">
        <v>6946683.68413344</v>
      </c>
      <c r="BB65">
        <v>201653.4528</v>
      </c>
      <c r="BC65">
        <v>201653.4528</v>
      </c>
      <c r="BD65">
        <v>0</v>
      </c>
      <c r="BE65">
        <v>0</v>
      </c>
      <c r="BF65">
        <v>4853200</v>
      </c>
      <c r="BG65">
        <v>4853200</v>
      </c>
      <c r="BH65">
        <v>0</v>
      </c>
      <c r="BI65">
        <v>16891.2</v>
      </c>
      <c r="BJ65">
        <v>0</v>
      </c>
      <c r="BK65">
        <v>838500</v>
      </c>
      <c r="BL65">
        <v>838500</v>
      </c>
      <c r="BM65">
        <v>0</v>
      </c>
      <c r="BN65">
        <v>207720.768</v>
      </c>
      <c r="BO65">
        <v>109823.263333442</v>
      </c>
      <c r="BP65">
        <v>64633.333333442</v>
      </c>
      <c r="BQ65">
        <v>0</v>
      </c>
      <c r="BR65">
        <v>0</v>
      </c>
      <c r="BS65">
        <v>45189.93</v>
      </c>
      <c r="BT65">
        <v>718895</v>
      </c>
      <c r="BU65">
        <v>658528</v>
      </c>
      <c r="BV65">
        <v>60367</v>
      </c>
      <c r="BW65">
        <v>0</v>
      </c>
      <c r="BX65">
        <v>0</v>
      </c>
      <c r="BY65">
        <v>79186.96</v>
      </c>
      <c r="BZ65">
        <v>12394.96</v>
      </c>
      <c r="CA65">
        <v>12394.96</v>
      </c>
      <c r="CB65">
        <v>0</v>
      </c>
      <c r="CC65">
        <v>0</v>
      </c>
      <c r="CD65">
        <v>66792</v>
      </c>
      <c r="CE65">
        <v>0</v>
      </c>
      <c r="CF65">
        <v>66792</v>
      </c>
      <c r="CG65">
        <v>0</v>
      </c>
      <c r="CH65">
        <v>5135706.29463194</v>
      </c>
      <c r="CI65">
        <v>52753</v>
      </c>
      <c r="CJ65">
        <v>0</v>
      </c>
      <c r="CK65">
        <v>7992</v>
      </c>
      <c r="CL65">
        <v>0</v>
      </c>
      <c r="CM65">
        <v>28714</v>
      </c>
      <c r="CN65">
        <v>0</v>
      </c>
      <c r="CO65">
        <v>16047</v>
      </c>
      <c r="CP65">
        <v>505000.000000814</v>
      </c>
      <c r="CQ65">
        <v>31776.7</v>
      </c>
      <c r="CR65">
        <v>9186.7</v>
      </c>
      <c r="CS65">
        <v>20640</v>
      </c>
      <c r="CT65">
        <v>0</v>
      </c>
      <c r="CU65">
        <v>1000</v>
      </c>
      <c r="CV65">
        <v>0</v>
      </c>
      <c r="CW65">
        <v>0</v>
      </c>
      <c r="CX65">
        <v>950</v>
      </c>
      <c r="CY65">
        <v>10714.32</v>
      </c>
      <c r="CZ65">
        <v>3650</v>
      </c>
      <c r="DA65">
        <v>0</v>
      </c>
      <c r="DB65">
        <v>85</v>
      </c>
      <c r="DC65">
        <v>220</v>
      </c>
      <c r="DD65">
        <v>0</v>
      </c>
      <c r="DE65">
        <v>0</v>
      </c>
      <c r="DF65">
        <v>6759.32</v>
      </c>
      <c r="DG65">
        <v>0</v>
      </c>
      <c r="DH65" s="3">
        <v>0</v>
      </c>
      <c r="DI65">
        <v>150028.25</v>
      </c>
      <c r="DJ65">
        <v>0</v>
      </c>
      <c r="DK65">
        <v>98600</v>
      </c>
      <c r="DL65">
        <v>0</v>
      </c>
      <c r="DM65">
        <v>0</v>
      </c>
      <c r="DN65">
        <v>0</v>
      </c>
      <c r="DO65">
        <v>0</v>
      </c>
      <c r="DP65">
        <v>51428.25</v>
      </c>
      <c r="DQ65">
        <v>71832.5</v>
      </c>
      <c r="DR65">
        <v>0</v>
      </c>
      <c r="DS65">
        <v>0</v>
      </c>
      <c r="DT65">
        <v>71832.5</v>
      </c>
      <c r="DU65">
        <v>0</v>
      </c>
      <c r="DV65">
        <v>0</v>
      </c>
      <c r="DW65">
        <v>0</v>
      </c>
      <c r="DX65">
        <v>0</v>
      </c>
      <c r="DY65">
        <v>0</v>
      </c>
      <c r="DZ65">
        <v>0</v>
      </c>
      <c r="EA65">
        <v>0</v>
      </c>
      <c r="EB65">
        <v>0</v>
      </c>
      <c r="EC65">
        <v>0</v>
      </c>
      <c r="ED65">
        <v>0</v>
      </c>
      <c r="EE65">
        <v>0</v>
      </c>
      <c r="EF65">
        <v>57988</v>
      </c>
      <c r="EG65">
        <v>0</v>
      </c>
      <c r="EH65">
        <v>118833</v>
      </c>
      <c r="EI65">
        <v>2508304</v>
      </c>
      <c r="EJ65">
        <v>0</v>
      </c>
      <c r="EK65">
        <v>616500</v>
      </c>
      <c r="EL65">
        <v>0</v>
      </c>
      <c r="EM65">
        <v>477706</v>
      </c>
      <c r="EN65">
        <v>0</v>
      </c>
      <c r="EO65">
        <v>80000</v>
      </c>
      <c r="EP65">
        <v>80000</v>
      </c>
      <c r="EQ65">
        <v>0</v>
      </c>
      <c r="ER65">
        <v>43177.5000000697</v>
      </c>
      <c r="ES65">
        <v>0</v>
      </c>
      <c r="ET65">
        <v>0</v>
      </c>
      <c r="EU65">
        <v>2940</v>
      </c>
      <c r="EV65" s="4">
        <v>207.611111111446</v>
      </c>
      <c r="EW65">
        <v>0</v>
      </c>
      <c r="EX65">
        <v>0</v>
      </c>
      <c r="EY65" s="4">
        <v>207.611111111446</v>
      </c>
      <c r="EZ65">
        <v>0</v>
      </c>
      <c r="FA65">
        <v>0</v>
      </c>
      <c r="FB65">
        <v>0</v>
      </c>
      <c r="FC65">
        <v>0</v>
      </c>
      <c r="FD65">
        <v>0</v>
      </c>
      <c r="FE65">
        <v>50000</v>
      </c>
      <c r="FF65">
        <v>0</v>
      </c>
      <c r="FG65">
        <v>50000</v>
      </c>
      <c r="FH65">
        <v>0</v>
      </c>
      <c r="FI65" s="4">
        <v>0</v>
      </c>
      <c r="FJ65">
        <v>0</v>
      </c>
      <c r="FK65">
        <v>0</v>
      </c>
      <c r="FL65">
        <v>0</v>
      </c>
      <c r="FM65" s="4">
        <v>0</v>
      </c>
      <c r="FN65">
        <v>0</v>
      </c>
      <c r="FO65">
        <v>0</v>
      </c>
      <c r="FP65">
        <v>0</v>
      </c>
      <c r="FQ65">
        <v>0</v>
      </c>
      <c r="FR65">
        <v>0</v>
      </c>
      <c r="FS65">
        <v>0</v>
      </c>
      <c r="FT65">
        <v>92373.0099406312</v>
      </c>
      <c r="FU65">
        <v>230932.524851578</v>
      </c>
      <c r="FV65">
        <v>34639.8787277367</v>
      </c>
      <c r="FY65">
        <v>11546626.2425789</v>
      </c>
      <c r="FZ65">
        <v>13594419.8478741</v>
      </c>
      <c r="GA65">
        <v>1432842.90910876</v>
      </c>
      <c r="GB65">
        <v>12161576.9387654</v>
      </c>
      <c r="GC65">
        <v>-614950.696186481</v>
      </c>
      <c r="GD65">
        <v>-0.0532580412033094</v>
      </c>
      <c r="GE65">
        <v>-2047793.60529524</v>
      </c>
      <c r="GF65">
        <v>-0.177349951602649</v>
      </c>
      <c r="GJ65">
        <v>45670.3958333333</v>
      </c>
      <c r="GL65">
        <v>45672.0833333333</v>
      </c>
      <c r="GO65">
        <v>45686.8541666667</v>
      </c>
      <c r="GR65" t="s">
        <v>694</v>
      </c>
      <c r="GU65" t="s">
        <v>694</v>
      </c>
      <c r="HA65">
        <v>45710.0208333333</v>
      </c>
      <c r="HB65">
        <v>45712.4791666667</v>
      </c>
      <c r="HE65">
        <v>38</v>
      </c>
      <c r="HF65">
        <v>3</v>
      </c>
      <c r="HG65">
        <v>11</v>
      </c>
      <c r="HH65">
        <v>24</v>
      </c>
      <c r="HK65">
        <v>308</v>
      </c>
      <c r="HL65">
        <v>158</v>
      </c>
      <c r="HM65">
        <v>62</v>
      </c>
      <c r="HN65">
        <v>100</v>
      </c>
      <c r="HO65">
        <v>0</v>
      </c>
      <c r="HP65">
        <v>34</v>
      </c>
      <c r="HQ65">
        <v>287</v>
      </c>
      <c r="HR65">
        <v>21</v>
      </c>
      <c r="HU65" s="10"/>
    </row>
    <row r="66" spans="1:229">
      <c r="A66" s="1">
        <f t="shared" si="0"/>
        <v>65</v>
      </c>
      <c r="B66" s="2">
        <v>2025</v>
      </c>
      <c r="C66" s="2" t="s">
        <v>703</v>
      </c>
      <c r="D66" s="2" t="s">
        <v>27</v>
      </c>
      <c r="E66" s="9">
        <v>50639</v>
      </c>
      <c r="F66" s="2" t="s">
        <v>723</v>
      </c>
      <c r="G66" s="2" t="s">
        <v>36</v>
      </c>
      <c r="H66" s="2" t="s">
        <v>737</v>
      </c>
      <c r="I66" s="2" t="s">
        <v>783</v>
      </c>
      <c r="J66" t="s">
        <v>321</v>
      </c>
      <c r="K66" t="s">
        <v>31</v>
      </c>
      <c r="L66" t="s">
        <v>38</v>
      </c>
      <c r="M66">
        <v>2</v>
      </c>
      <c r="N66">
        <v>3716</v>
      </c>
      <c r="O66" s="3">
        <v>3896</v>
      </c>
      <c r="P66" s="4">
        <v>9.58333333340124</v>
      </c>
      <c r="R66" s="4">
        <v>51.125</v>
      </c>
      <c r="S66" s="4">
        <v>4</v>
      </c>
      <c r="T66" s="4">
        <v>55.125</v>
      </c>
      <c r="U66" s="4">
        <v>64.7083333334012</v>
      </c>
      <c r="W66" s="4">
        <v>1.8375</v>
      </c>
      <c r="X66" s="4">
        <v>2.15694444444671</v>
      </c>
      <c r="Y66" s="3">
        <v>9191691</v>
      </c>
      <c r="Z66">
        <v>-1454468.24664716</v>
      </c>
      <c r="AA66">
        <v>10646159.2466472</v>
      </c>
      <c r="AB66">
        <v>2160577.61666884</v>
      </c>
      <c r="AC66">
        <v>1186319.44444569</v>
      </c>
      <c r="AD66">
        <v>1186319.44444569</v>
      </c>
      <c r="AE66">
        <v>0</v>
      </c>
      <c r="AF66">
        <v>86562.87</v>
      </c>
      <c r="AG66">
        <v>86562.87</v>
      </c>
      <c r="AH66">
        <v>0</v>
      </c>
      <c r="AI66">
        <v>3348.08</v>
      </c>
      <c r="AJ66">
        <v>0</v>
      </c>
      <c r="AK66">
        <v>3348.08</v>
      </c>
      <c r="AL66">
        <v>0</v>
      </c>
      <c r="AM66">
        <v>0</v>
      </c>
      <c r="AN66">
        <v>0</v>
      </c>
      <c r="AO66">
        <v>0</v>
      </c>
      <c r="AP66">
        <v>0</v>
      </c>
      <c r="AQ66">
        <v>0</v>
      </c>
      <c r="AR66">
        <v>0</v>
      </c>
      <c r="AS66">
        <v>0</v>
      </c>
      <c r="AT66">
        <v>0</v>
      </c>
      <c r="AU66">
        <v>0</v>
      </c>
      <c r="AV66">
        <v>0</v>
      </c>
      <c r="AW66">
        <v>0</v>
      </c>
      <c r="AX66">
        <v>0</v>
      </c>
      <c r="AY66">
        <v>884347.222223151</v>
      </c>
      <c r="AZ66">
        <v>8485581.62997832</v>
      </c>
      <c r="BA66">
        <v>4737506.6012</v>
      </c>
      <c r="BB66">
        <v>692227.3392</v>
      </c>
      <c r="BC66">
        <v>692227.3392</v>
      </c>
      <c r="BD66">
        <v>0</v>
      </c>
      <c r="BE66">
        <v>0</v>
      </c>
      <c r="BF66">
        <v>1386993</v>
      </c>
      <c r="BG66">
        <v>1386993</v>
      </c>
      <c r="BH66">
        <v>0</v>
      </c>
      <c r="BI66">
        <v>27617.112</v>
      </c>
      <c r="BJ66">
        <v>1975641</v>
      </c>
      <c r="BK66">
        <v>37950</v>
      </c>
      <c r="BL66">
        <v>37950</v>
      </c>
      <c r="BM66">
        <v>0</v>
      </c>
      <c r="BN66">
        <v>118550.52</v>
      </c>
      <c r="BO66">
        <v>153345.73</v>
      </c>
      <c r="BP66">
        <v>88200</v>
      </c>
      <c r="BQ66">
        <v>0</v>
      </c>
      <c r="BR66">
        <v>0</v>
      </c>
      <c r="BS66">
        <v>65145.73</v>
      </c>
      <c r="BT66">
        <v>345181.9</v>
      </c>
      <c r="BU66">
        <v>245448</v>
      </c>
      <c r="BV66">
        <v>99733.9</v>
      </c>
      <c r="BW66">
        <v>0</v>
      </c>
      <c r="BX66">
        <v>0</v>
      </c>
      <c r="BY66">
        <v>163553.4</v>
      </c>
      <c r="BZ66">
        <v>154815.9</v>
      </c>
      <c r="CA66">
        <v>154815.9</v>
      </c>
      <c r="CB66">
        <v>0</v>
      </c>
      <c r="CC66">
        <v>0</v>
      </c>
      <c r="CD66">
        <v>8737.5</v>
      </c>
      <c r="CE66">
        <v>0</v>
      </c>
      <c r="CF66">
        <v>8737.5</v>
      </c>
      <c r="CG66">
        <v>0</v>
      </c>
      <c r="CH66">
        <v>3584521.62877832</v>
      </c>
      <c r="CI66">
        <v>592643</v>
      </c>
      <c r="CJ66">
        <v>0</v>
      </c>
      <c r="CK66">
        <v>0</v>
      </c>
      <c r="CL66">
        <v>307790</v>
      </c>
      <c r="CM66">
        <v>147834</v>
      </c>
      <c r="CN66">
        <v>7998</v>
      </c>
      <c r="CO66">
        <v>129021</v>
      </c>
      <c r="CP66">
        <v>452958.333333809</v>
      </c>
      <c r="CQ66">
        <v>44102.83</v>
      </c>
      <c r="CR66">
        <v>11942.71</v>
      </c>
      <c r="CS66">
        <v>31160.12</v>
      </c>
      <c r="CT66">
        <v>0</v>
      </c>
      <c r="CU66">
        <v>1000</v>
      </c>
      <c r="CV66">
        <v>0</v>
      </c>
      <c r="CW66">
        <v>0</v>
      </c>
      <c r="CX66">
        <v>0</v>
      </c>
      <c r="CY66">
        <v>22849.12</v>
      </c>
      <c r="CZ66">
        <v>3650</v>
      </c>
      <c r="DA66">
        <v>0</v>
      </c>
      <c r="DB66">
        <v>368</v>
      </c>
      <c r="DC66">
        <v>110</v>
      </c>
      <c r="DD66">
        <v>0</v>
      </c>
      <c r="DE66">
        <v>13000</v>
      </c>
      <c r="DF66">
        <v>5721.12</v>
      </c>
      <c r="DG66">
        <v>0</v>
      </c>
      <c r="DH66" s="3">
        <v>-1522622</v>
      </c>
      <c r="DI66">
        <v>297795</v>
      </c>
      <c r="DJ66">
        <v>0</v>
      </c>
      <c r="DK66">
        <v>297795</v>
      </c>
      <c r="DL66">
        <v>0</v>
      </c>
      <c r="DM66">
        <v>0</v>
      </c>
      <c r="DN66">
        <v>0</v>
      </c>
      <c r="DO66">
        <v>0</v>
      </c>
      <c r="DP66">
        <v>0</v>
      </c>
      <c r="DQ66">
        <v>39836.4</v>
      </c>
      <c r="DR66">
        <v>0</v>
      </c>
      <c r="DS66">
        <v>0</v>
      </c>
      <c r="DT66">
        <v>39836.4</v>
      </c>
      <c r="DU66">
        <v>0</v>
      </c>
      <c r="DV66">
        <v>0</v>
      </c>
      <c r="DW66">
        <v>0</v>
      </c>
      <c r="DX66">
        <v>0</v>
      </c>
      <c r="DY66">
        <v>0</v>
      </c>
      <c r="DZ66">
        <v>32900</v>
      </c>
      <c r="EA66">
        <v>32900</v>
      </c>
      <c r="EB66">
        <v>0</v>
      </c>
      <c r="EC66">
        <v>0</v>
      </c>
      <c r="ED66">
        <v>0</v>
      </c>
      <c r="EE66">
        <v>0</v>
      </c>
      <c r="EF66">
        <v>40974</v>
      </c>
      <c r="EG66">
        <v>0</v>
      </c>
      <c r="EH66">
        <v>0</v>
      </c>
      <c r="EI66">
        <v>1433130.23</v>
      </c>
      <c r="EJ66">
        <v>0</v>
      </c>
      <c r="EK66">
        <v>0</v>
      </c>
      <c r="EL66">
        <v>0</v>
      </c>
      <c r="EM66">
        <v>0</v>
      </c>
      <c r="EN66">
        <v>115100</v>
      </c>
      <c r="EO66">
        <v>93158.2</v>
      </c>
      <c r="EP66">
        <v>93158.2</v>
      </c>
      <c r="EQ66">
        <v>0</v>
      </c>
      <c r="ER66">
        <v>62896.500000066</v>
      </c>
      <c r="ES66">
        <v>0</v>
      </c>
      <c r="ET66">
        <v>0</v>
      </c>
      <c r="EU66">
        <v>1800</v>
      </c>
      <c r="EV66" s="4">
        <v>215.694444444671</v>
      </c>
      <c r="EW66">
        <v>0</v>
      </c>
      <c r="EX66">
        <v>0</v>
      </c>
      <c r="EY66" s="4">
        <v>215.694444444671</v>
      </c>
      <c r="EZ66">
        <v>0</v>
      </c>
      <c r="FA66">
        <v>0</v>
      </c>
      <c r="FB66">
        <v>0</v>
      </c>
      <c r="FC66">
        <v>0</v>
      </c>
      <c r="FD66">
        <v>0</v>
      </c>
      <c r="FE66">
        <v>30000</v>
      </c>
      <c r="FF66">
        <v>0</v>
      </c>
      <c r="FG66">
        <v>30000</v>
      </c>
      <c r="FH66">
        <v>0</v>
      </c>
      <c r="FI66" s="4">
        <v>1517571.45</v>
      </c>
      <c r="FJ66">
        <v>44270.45</v>
      </c>
      <c r="FK66">
        <v>44270.45</v>
      </c>
      <c r="FL66">
        <v>0</v>
      </c>
      <c r="FM66" s="4">
        <v>0</v>
      </c>
      <c r="FN66">
        <v>0</v>
      </c>
      <c r="FO66">
        <v>0</v>
      </c>
      <c r="FP66">
        <v>0</v>
      </c>
      <c r="FQ66">
        <v>0</v>
      </c>
      <c r="FR66">
        <v>0</v>
      </c>
      <c r="FS66">
        <v>0</v>
      </c>
      <c r="FT66">
        <v>73533.528</v>
      </c>
      <c r="FU66">
        <v>183833.82</v>
      </c>
      <c r="FV66">
        <v>27575.073</v>
      </c>
      <c r="FY66">
        <v>9191691</v>
      </c>
      <c r="FZ66">
        <v>10646159.2466472</v>
      </c>
      <c r="GA66">
        <v>2160577.61666884</v>
      </c>
      <c r="GB66">
        <v>8485581.62997832</v>
      </c>
      <c r="GC66">
        <v>706109.37002168</v>
      </c>
      <c r="GD66">
        <v>0.076820398990967</v>
      </c>
      <c r="GE66">
        <v>-1454468.24664716</v>
      </c>
      <c r="GF66">
        <v>-0.158237286985296</v>
      </c>
      <c r="GJ66">
        <v>45626.3333333333</v>
      </c>
      <c r="GL66">
        <v>45635.9166666667</v>
      </c>
      <c r="GO66">
        <v>45642.875</v>
      </c>
      <c r="GR66" t="s">
        <v>694</v>
      </c>
      <c r="GU66" t="s">
        <v>694</v>
      </c>
      <c r="HA66">
        <v>45687.0416666667</v>
      </c>
      <c r="HB66">
        <v>45691.0416666667</v>
      </c>
      <c r="HE66">
        <v>36</v>
      </c>
      <c r="HF66">
        <v>10</v>
      </c>
      <c r="HG66">
        <v>12</v>
      </c>
      <c r="HH66">
        <v>14</v>
      </c>
      <c r="HK66">
        <v>337</v>
      </c>
      <c r="HL66">
        <v>188</v>
      </c>
      <c r="HM66">
        <v>48</v>
      </c>
      <c r="HN66">
        <v>27</v>
      </c>
      <c r="HO66">
        <v>0</v>
      </c>
      <c r="HP66">
        <v>50</v>
      </c>
      <c r="HQ66">
        <v>122</v>
      </c>
      <c r="HR66">
        <v>551</v>
      </c>
      <c r="HU66" s="10"/>
    </row>
    <row r="67" spans="1:229">
      <c r="A67" s="1">
        <f t="shared" si="0"/>
        <v>66</v>
      </c>
      <c r="B67" s="2">
        <v>2025</v>
      </c>
      <c r="C67" s="2" t="s">
        <v>33</v>
      </c>
      <c r="D67" s="2" t="s">
        <v>27</v>
      </c>
      <c r="E67" s="9">
        <v>70520</v>
      </c>
      <c r="F67" s="2" t="s">
        <v>699</v>
      </c>
      <c r="G67" s="2" t="s">
        <v>28</v>
      </c>
      <c r="H67" s="2" t="s">
        <v>692</v>
      </c>
      <c r="I67" s="2" t="s">
        <v>34</v>
      </c>
      <c r="J67" t="s">
        <v>308</v>
      </c>
      <c r="K67" t="s">
        <v>31</v>
      </c>
      <c r="L67" t="s">
        <v>32</v>
      </c>
      <c r="M67">
        <v>2</v>
      </c>
      <c r="N67">
        <v>2862</v>
      </c>
      <c r="O67" s="3">
        <v>2915</v>
      </c>
      <c r="P67" s="4">
        <v>5.79166666670062</v>
      </c>
      <c r="R67" s="4">
        <v>7.375</v>
      </c>
      <c r="S67" s="4">
        <v>7.41666666670062</v>
      </c>
      <c r="T67" s="4">
        <v>14.7916666667006</v>
      </c>
      <c r="U67" s="4">
        <v>20.5833333334012</v>
      </c>
      <c r="W67" s="4">
        <v>0.493055555556687</v>
      </c>
      <c r="X67" s="4">
        <v>0.686111111113375</v>
      </c>
      <c r="Y67" s="3">
        <v>4319271</v>
      </c>
      <c r="Z67">
        <v>5887.95855274703</v>
      </c>
      <c r="AA67">
        <v>4313383.04144725</v>
      </c>
      <c r="AB67">
        <v>631012.033335337</v>
      </c>
      <c r="AC67">
        <v>325902.777778853</v>
      </c>
      <c r="AD67">
        <v>325902.777778853</v>
      </c>
      <c r="AE67">
        <v>0</v>
      </c>
      <c r="AF67">
        <v>17657.02</v>
      </c>
      <c r="AG67">
        <v>17657.02</v>
      </c>
      <c r="AH67">
        <v>0</v>
      </c>
      <c r="AI67">
        <v>6146.68</v>
      </c>
      <c r="AJ67">
        <v>3612.76</v>
      </c>
      <c r="AK67">
        <v>1619.47</v>
      </c>
      <c r="AL67">
        <v>914.45</v>
      </c>
      <c r="AM67">
        <v>0</v>
      </c>
      <c r="AN67">
        <v>0</v>
      </c>
      <c r="AO67">
        <v>0</v>
      </c>
      <c r="AP67">
        <v>0</v>
      </c>
      <c r="AQ67">
        <v>0</v>
      </c>
      <c r="AR67">
        <v>0</v>
      </c>
      <c r="AS67">
        <v>0</v>
      </c>
      <c r="AT67">
        <v>0</v>
      </c>
      <c r="AU67">
        <v>0</v>
      </c>
      <c r="AV67">
        <v>0</v>
      </c>
      <c r="AW67">
        <v>0</v>
      </c>
      <c r="AX67">
        <v>0</v>
      </c>
      <c r="AY67">
        <v>281305.555556484</v>
      </c>
      <c r="AZ67">
        <v>3682371.00811192</v>
      </c>
      <c r="BA67">
        <v>969081.986666721</v>
      </c>
      <c r="BB67">
        <v>25422.44</v>
      </c>
      <c r="BC67">
        <v>0</v>
      </c>
      <c r="BD67">
        <v>25422.44</v>
      </c>
      <c r="BE67">
        <v>0</v>
      </c>
      <c r="BF67">
        <v>310476</v>
      </c>
      <c r="BG67">
        <v>310476</v>
      </c>
      <c r="BH67">
        <v>0</v>
      </c>
      <c r="BI67">
        <v>0</v>
      </c>
      <c r="BJ67">
        <v>194298</v>
      </c>
      <c r="BK67">
        <v>112064</v>
      </c>
      <c r="BL67">
        <v>112064</v>
      </c>
      <c r="BM67">
        <v>0</v>
      </c>
      <c r="BN67">
        <v>3512.97</v>
      </c>
      <c r="BO67">
        <v>117310.276666721</v>
      </c>
      <c r="BP67">
        <v>23666.666666721</v>
      </c>
      <c r="BQ67">
        <v>0</v>
      </c>
      <c r="BR67">
        <v>0</v>
      </c>
      <c r="BS67">
        <v>93643.61</v>
      </c>
      <c r="BT67">
        <v>205998.3</v>
      </c>
      <c r="BU67">
        <v>183645</v>
      </c>
      <c r="BV67">
        <v>22353.3</v>
      </c>
      <c r="BW67">
        <v>0</v>
      </c>
      <c r="BX67">
        <v>0</v>
      </c>
      <c r="BY67">
        <v>380216.83</v>
      </c>
      <c r="BZ67">
        <v>193510.6</v>
      </c>
      <c r="CA67">
        <v>193510.6</v>
      </c>
      <c r="CB67">
        <v>0</v>
      </c>
      <c r="CC67">
        <v>0</v>
      </c>
      <c r="CD67">
        <v>186706.23</v>
      </c>
      <c r="CE67">
        <v>186706.23</v>
      </c>
      <c r="CF67">
        <v>0</v>
      </c>
      <c r="CG67">
        <v>0</v>
      </c>
      <c r="CH67">
        <v>2333072.1914452</v>
      </c>
      <c r="CI67">
        <v>297518</v>
      </c>
      <c r="CJ67">
        <v>0</v>
      </c>
      <c r="CK67">
        <v>0</v>
      </c>
      <c r="CL67">
        <v>183431</v>
      </c>
      <c r="CM67">
        <v>41030</v>
      </c>
      <c r="CN67">
        <v>24228</v>
      </c>
      <c r="CO67">
        <v>48829</v>
      </c>
      <c r="CP67">
        <v>205833.333334012</v>
      </c>
      <c r="CQ67">
        <v>10026</v>
      </c>
      <c r="CR67">
        <v>2843</v>
      </c>
      <c r="CS67">
        <v>6153</v>
      </c>
      <c r="CT67">
        <v>0</v>
      </c>
      <c r="CU67">
        <v>500</v>
      </c>
      <c r="CV67">
        <v>0</v>
      </c>
      <c r="CW67">
        <v>0</v>
      </c>
      <c r="CX67">
        <v>530</v>
      </c>
      <c r="CY67">
        <v>48041.916</v>
      </c>
      <c r="CZ67">
        <v>3650</v>
      </c>
      <c r="DA67">
        <v>0</v>
      </c>
      <c r="DB67">
        <v>340</v>
      </c>
      <c r="DC67">
        <v>218</v>
      </c>
      <c r="DD67">
        <v>0</v>
      </c>
      <c r="DE67">
        <v>36500</v>
      </c>
      <c r="DF67">
        <v>7333.916</v>
      </c>
      <c r="DG67">
        <v>0</v>
      </c>
      <c r="DH67" s="3">
        <v>205051</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26031</v>
      </c>
      <c r="EG67">
        <v>0</v>
      </c>
      <c r="EH67">
        <v>3000</v>
      </c>
      <c r="EI67">
        <v>575643.82</v>
      </c>
      <c r="EJ67">
        <v>0</v>
      </c>
      <c r="EK67">
        <v>0</v>
      </c>
      <c r="EL67">
        <v>0</v>
      </c>
      <c r="EM67">
        <v>0</v>
      </c>
      <c r="EN67">
        <v>0</v>
      </c>
      <c r="EO67">
        <v>21962</v>
      </c>
      <c r="EP67">
        <v>0</v>
      </c>
      <c r="EQ67">
        <v>21962</v>
      </c>
      <c r="ER67">
        <v>21674.2500000715</v>
      </c>
      <c r="ES67">
        <v>0</v>
      </c>
      <c r="ET67">
        <v>0</v>
      </c>
      <c r="EU67">
        <v>2100</v>
      </c>
      <c r="EV67" s="4">
        <v>68.6111111113375</v>
      </c>
      <c r="EW67">
        <v>0</v>
      </c>
      <c r="EX67">
        <v>0</v>
      </c>
      <c r="EY67" s="4">
        <v>68.6111111113375</v>
      </c>
      <c r="EZ67">
        <v>0</v>
      </c>
      <c r="FA67">
        <v>0</v>
      </c>
      <c r="FB67">
        <v>0</v>
      </c>
      <c r="FC67">
        <v>0</v>
      </c>
      <c r="FD67">
        <v>0</v>
      </c>
      <c r="FE67">
        <v>0</v>
      </c>
      <c r="FF67">
        <v>0</v>
      </c>
      <c r="FG67">
        <v>0</v>
      </c>
      <c r="FH67">
        <v>0</v>
      </c>
      <c r="FI67" s="4">
        <v>741264.16</v>
      </c>
      <c r="FJ67">
        <v>40231.43</v>
      </c>
      <c r="FK67">
        <v>40231.43</v>
      </c>
      <c r="FL67">
        <v>0</v>
      </c>
      <c r="FM67" s="4">
        <v>729.27</v>
      </c>
      <c r="FN67">
        <v>0</v>
      </c>
      <c r="FO67">
        <v>0</v>
      </c>
      <c r="FP67">
        <v>0</v>
      </c>
      <c r="FQ67">
        <v>0</v>
      </c>
      <c r="FR67">
        <v>729.27</v>
      </c>
      <c r="FS67">
        <v>0</v>
      </c>
      <c r="FT67">
        <v>34554.168</v>
      </c>
      <c r="FU67">
        <v>86385.42</v>
      </c>
      <c r="FV67">
        <v>12957.813</v>
      </c>
      <c r="FY67">
        <v>4319271</v>
      </c>
      <c r="FZ67">
        <v>4313383.04144725</v>
      </c>
      <c r="GA67">
        <v>631012.033335337</v>
      </c>
      <c r="GB67">
        <v>3682371.00811192</v>
      </c>
      <c r="GC67">
        <v>636899.991888084</v>
      </c>
      <c r="GD67">
        <v>0.147455436782754</v>
      </c>
      <c r="GE67">
        <v>5887.95855274703</v>
      </c>
      <c r="GF67">
        <v>0.00136318340589119</v>
      </c>
      <c r="GJ67">
        <v>45709.3333333333</v>
      </c>
      <c r="GL67">
        <v>45715.125</v>
      </c>
      <c r="GO67">
        <v>45717.125</v>
      </c>
      <c r="GR67" t="s">
        <v>694</v>
      </c>
      <c r="GU67" t="s">
        <v>694</v>
      </c>
      <c r="HA67">
        <v>45722.5</v>
      </c>
      <c r="HB67">
        <v>45729.9166666667</v>
      </c>
      <c r="HE67">
        <v>39</v>
      </c>
      <c r="HF67">
        <v>8</v>
      </c>
      <c r="HG67">
        <v>11</v>
      </c>
      <c r="HH67">
        <v>20</v>
      </c>
      <c r="HK67">
        <v>99</v>
      </c>
      <c r="HL67">
        <v>8</v>
      </c>
      <c r="HM67">
        <v>9</v>
      </c>
      <c r="HN67">
        <v>12</v>
      </c>
      <c r="HO67">
        <v>0</v>
      </c>
      <c r="HP67">
        <v>11</v>
      </c>
      <c r="HQ67">
        <v>118</v>
      </c>
      <c r="HR67">
        <v>98</v>
      </c>
      <c r="HU67" s="10"/>
    </row>
    <row r="68" spans="1:229">
      <c r="A68" s="1">
        <f t="shared" si="0"/>
        <v>67</v>
      </c>
      <c r="B68" s="2">
        <v>2025</v>
      </c>
      <c r="C68" s="2" t="s">
        <v>33</v>
      </c>
      <c r="D68" s="2" t="s">
        <v>27</v>
      </c>
      <c r="E68" s="9">
        <v>70315</v>
      </c>
      <c r="F68" s="2" t="s">
        <v>706</v>
      </c>
      <c r="G68" s="2" t="s">
        <v>28</v>
      </c>
      <c r="H68" s="2" t="s">
        <v>711</v>
      </c>
      <c r="I68" s="2" t="s">
        <v>784</v>
      </c>
      <c r="J68" t="s">
        <v>328</v>
      </c>
      <c r="K68" t="s">
        <v>730</v>
      </c>
      <c r="L68" t="s">
        <v>32</v>
      </c>
      <c r="M68">
        <v>3</v>
      </c>
      <c r="N68">
        <v>5517</v>
      </c>
      <c r="O68" s="3">
        <v>5640</v>
      </c>
      <c r="Q68" s="4">
        <v>1.04166666670062</v>
      </c>
      <c r="R68" s="4">
        <v>30.75</v>
      </c>
      <c r="S68" s="4">
        <v>9.47916666659876</v>
      </c>
      <c r="T68" s="4">
        <v>40.2291666665988</v>
      </c>
      <c r="U68" s="4">
        <v>41.2708333332994</v>
      </c>
      <c r="W68" s="4">
        <v>1.34097222221996</v>
      </c>
      <c r="X68" s="4">
        <v>1.37569444444331</v>
      </c>
      <c r="Y68" s="3">
        <v>13125500</v>
      </c>
      <c r="Z68">
        <v>-2321293.06695411</v>
      </c>
      <c r="AA68">
        <v>15446793.0669541</v>
      </c>
      <c r="AB68">
        <v>1998980.84777692</v>
      </c>
      <c r="AC68">
        <v>481493.055555159</v>
      </c>
      <c r="AD68">
        <v>481493.055555159</v>
      </c>
      <c r="AE68">
        <v>0</v>
      </c>
      <c r="AF68">
        <v>600274.96</v>
      </c>
      <c r="AG68">
        <v>463104.9</v>
      </c>
      <c r="AH68">
        <v>137170.06</v>
      </c>
      <c r="AI68">
        <v>25822.4</v>
      </c>
      <c r="AJ68">
        <v>6126.61</v>
      </c>
      <c r="AK68">
        <v>6368.36</v>
      </c>
      <c r="AL68">
        <v>13327.43</v>
      </c>
      <c r="AM68">
        <v>327355.71</v>
      </c>
      <c r="AN68">
        <v>116091.25</v>
      </c>
      <c r="AO68">
        <v>0</v>
      </c>
      <c r="AP68">
        <v>211264.46</v>
      </c>
      <c r="AQ68">
        <v>0</v>
      </c>
      <c r="AR68">
        <v>0</v>
      </c>
      <c r="AS68">
        <v>0</v>
      </c>
      <c r="AT68">
        <v>0</v>
      </c>
      <c r="AU68">
        <v>0</v>
      </c>
      <c r="AV68">
        <v>0</v>
      </c>
      <c r="AW68">
        <v>0</v>
      </c>
      <c r="AX68">
        <v>0</v>
      </c>
      <c r="AY68">
        <v>564034.722221757</v>
      </c>
      <c r="AZ68">
        <v>13447812.2191772</v>
      </c>
      <c r="BA68">
        <v>3829492.08706656</v>
      </c>
      <c r="BB68">
        <v>112153.9932</v>
      </c>
      <c r="BC68">
        <v>89812.0332</v>
      </c>
      <c r="BD68">
        <v>22341.96</v>
      </c>
      <c r="BE68">
        <v>0</v>
      </c>
      <c r="BF68">
        <v>1615410</v>
      </c>
      <c r="BG68">
        <v>1615410</v>
      </c>
      <c r="BH68">
        <v>0</v>
      </c>
      <c r="BI68">
        <v>23647.68</v>
      </c>
      <c r="BJ68">
        <v>0</v>
      </c>
      <c r="BK68">
        <v>966018</v>
      </c>
      <c r="BL68">
        <v>966018</v>
      </c>
      <c r="BM68">
        <v>0</v>
      </c>
      <c r="BN68">
        <v>279571.2172</v>
      </c>
      <c r="BO68">
        <v>179246.806666558</v>
      </c>
      <c r="BP68">
        <v>64366.666666558</v>
      </c>
      <c r="BQ68">
        <v>0</v>
      </c>
      <c r="BR68">
        <v>0</v>
      </c>
      <c r="BS68">
        <v>114880.14</v>
      </c>
      <c r="BT68">
        <v>653444.39</v>
      </c>
      <c r="BU68">
        <v>586560</v>
      </c>
      <c r="BV68">
        <v>66884.39</v>
      </c>
      <c r="BW68">
        <v>0</v>
      </c>
      <c r="BX68">
        <v>0</v>
      </c>
      <c r="BY68">
        <v>147698.97</v>
      </c>
      <c r="BZ68">
        <v>97406.97</v>
      </c>
      <c r="CA68">
        <v>97406.97</v>
      </c>
      <c r="CB68">
        <v>0</v>
      </c>
      <c r="CC68">
        <v>0</v>
      </c>
      <c r="CD68">
        <v>50292</v>
      </c>
      <c r="CE68">
        <v>0</v>
      </c>
      <c r="CF68">
        <v>50292</v>
      </c>
      <c r="CG68">
        <v>0</v>
      </c>
      <c r="CH68">
        <v>9470621.16211063</v>
      </c>
      <c r="CI68">
        <v>210631</v>
      </c>
      <c r="CJ68">
        <v>0</v>
      </c>
      <c r="CK68">
        <v>8793</v>
      </c>
      <c r="CL68">
        <v>0</v>
      </c>
      <c r="CM68">
        <v>34601</v>
      </c>
      <c r="CN68">
        <v>26365</v>
      </c>
      <c r="CO68">
        <v>140872</v>
      </c>
      <c r="CP68">
        <v>536520.833332891</v>
      </c>
      <c r="CQ68">
        <v>12148</v>
      </c>
      <c r="CR68">
        <v>2843</v>
      </c>
      <c r="CS68">
        <v>8275</v>
      </c>
      <c r="CT68">
        <v>0</v>
      </c>
      <c r="CU68">
        <v>500</v>
      </c>
      <c r="CV68">
        <v>0</v>
      </c>
      <c r="CW68">
        <v>0</v>
      </c>
      <c r="CX68">
        <v>530</v>
      </c>
      <c r="CY68">
        <v>11511.516</v>
      </c>
      <c r="CZ68">
        <v>3650</v>
      </c>
      <c r="DA68">
        <v>0</v>
      </c>
      <c r="DB68">
        <v>340</v>
      </c>
      <c r="DC68">
        <v>220</v>
      </c>
      <c r="DD68">
        <v>0</v>
      </c>
      <c r="DE68">
        <v>0</v>
      </c>
      <c r="DF68">
        <v>7301.516</v>
      </c>
      <c r="DG68">
        <v>0</v>
      </c>
      <c r="DH68" s="3">
        <v>1324219</v>
      </c>
      <c r="DI68">
        <v>68877.2</v>
      </c>
      <c r="DJ68">
        <v>0</v>
      </c>
      <c r="DK68">
        <v>68877.2</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79109</v>
      </c>
      <c r="EG68">
        <v>0</v>
      </c>
      <c r="EH68">
        <v>129686.54</v>
      </c>
      <c r="EI68">
        <v>1177296.34</v>
      </c>
      <c r="EJ68">
        <v>0</v>
      </c>
      <c r="EK68">
        <v>682217</v>
      </c>
      <c r="EL68">
        <v>1023813</v>
      </c>
      <c r="EM68">
        <v>724145</v>
      </c>
      <c r="EN68">
        <v>0</v>
      </c>
      <c r="EO68">
        <v>27729</v>
      </c>
      <c r="EP68">
        <v>0</v>
      </c>
      <c r="EQ68">
        <v>27729</v>
      </c>
      <c r="ER68">
        <v>44572.4999999633</v>
      </c>
      <c r="ES68">
        <v>0</v>
      </c>
      <c r="ET68">
        <v>0</v>
      </c>
      <c r="EU68">
        <v>3600</v>
      </c>
      <c r="EV68" s="4">
        <v>203.60277777761</v>
      </c>
      <c r="EW68">
        <v>0</v>
      </c>
      <c r="EX68">
        <v>0</v>
      </c>
      <c r="EY68" s="4">
        <v>203.60277777761</v>
      </c>
      <c r="EZ68">
        <v>0</v>
      </c>
      <c r="FA68">
        <v>0</v>
      </c>
      <c r="FB68">
        <v>0</v>
      </c>
      <c r="FC68">
        <v>0</v>
      </c>
      <c r="FD68">
        <v>0</v>
      </c>
      <c r="FE68">
        <v>0</v>
      </c>
      <c r="FF68">
        <v>0</v>
      </c>
      <c r="FG68">
        <v>0</v>
      </c>
      <c r="FH68">
        <v>0</v>
      </c>
      <c r="FI68" s="4">
        <v>2804698.82</v>
      </c>
      <c r="FJ68">
        <v>202752.31</v>
      </c>
      <c r="FK68">
        <v>202752.31</v>
      </c>
      <c r="FL68">
        <v>0</v>
      </c>
      <c r="FM68" s="4">
        <v>0</v>
      </c>
      <c r="FN68">
        <v>0</v>
      </c>
      <c r="FO68">
        <v>0</v>
      </c>
      <c r="FP68">
        <v>0</v>
      </c>
      <c r="FQ68">
        <v>0</v>
      </c>
      <c r="FR68">
        <v>0</v>
      </c>
      <c r="FS68">
        <v>0</v>
      </c>
      <c r="FT68">
        <v>105004</v>
      </c>
      <c r="FU68">
        <v>262510</v>
      </c>
      <c r="FV68">
        <v>39376.5</v>
      </c>
      <c r="FY68">
        <v>13125500</v>
      </c>
      <c r="FZ68">
        <v>15446793.0669541</v>
      </c>
      <c r="GA68">
        <v>1998980.84777692</v>
      </c>
      <c r="GB68">
        <v>13447812.2191772</v>
      </c>
      <c r="GC68">
        <v>-322312.219177192</v>
      </c>
      <c r="GD68">
        <v>-0.0245561859873675</v>
      </c>
      <c r="GE68">
        <v>-2321293.06695411</v>
      </c>
      <c r="GF68">
        <v>-0.176853686865576</v>
      </c>
      <c r="GJ68">
        <v>45704.5</v>
      </c>
      <c r="GL68">
        <v>45705.5416666667</v>
      </c>
      <c r="GO68">
        <v>45709.2916666667</v>
      </c>
      <c r="GR68">
        <v>45726.5208333333</v>
      </c>
      <c r="GU68" t="s">
        <v>694</v>
      </c>
      <c r="HA68">
        <v>45736.2916666667</v>
      </c>
      <c r="HB68">
        <v>45745.7708333333</v>
      </c>
      <c r="HE68">
        <v>40</v>
      </c>
      <c r="HF68">
        <v>3</v>
      </c>
      <c r="HG68">
        <v>11</v>
      </c>
      <c r="HH68">
        <v>26</v>
      </c>
      <c r="HK68">
        <v>252</v>
      </c>
      <c r="HL68">
        <v>76</v>
      </c>
      <c r="HM68">
        <v>63</v>
      </c>
      <c r="HN68">
        <v>12</v>
      </c>
      <c r="HO68">
        <v>0</v>
      </c>
      <c r="HP68">
        <v>27</v>
      </c>
      <c r="HQ68">
        <v>288</v>
      </c>
      <c r="HR68">
        <v>237</v>
      </c>
      <c r="HU68" s="10">
        <v>756824</v>
      </c>
    </row>
    <row r="69" spans="1:229">
      <c r="A69" s="1">
        <f t="shared" si="0"/>
        <v>68</v>
      </c>
      <c r="B69" s="2">
        <v>2025</v>
      </c>
      <c r="C69" s="2" t="s">
        <v>33</v>
      </c>
      <c r="D69" s="2" t="s">
        <v>27</v>
      </c>
      <c r="E69" s="9">
        <v>70318</v>
      </c>
      <c r="F69" s="2" t="s">
        <v>709</v>
      </c>
      <c r="G69" s="2" t="s">
        <v>28</v>
      </c>
      <c r="H69" s="2" t="s">
        <v>743</v>
      </c>
      <c r="I69" s="2" t="s">
        <v>785</v>
      </c>
      <c r="J69" t="s">
        <v>323</v>
      </c>
      <c r="K69" t="s">
        <v>31</v>
      </c>
      <c r="L69" t="s">
        <v>38</v>
      </c>
      <c r="M69">
        <v>2</v>
      </c>
      <c r="N69">
        <v>6197</v>
      </c>
      <c r="O69" s="3">
        <v>6202</v>
      </c>
      <c r="P69" s="4">
        <v>13.1458333334012</v>
      </c>
      <c r="Q69" s="4">
        <v>1.64583333329938</v>
      </c>
      <c r="R69" s="4">
        <v>31.8541666667006</v>
      </c>
      <c r="S69" s="4">
        <v>2.25</v>
      </c>
      <c r="T69" s="4">
        <v>34.1041666667006</v>
      </c>
      <c r="U69" s="4">
        <v>48.8958333334012</v>
      </c>
      <c r="W69" s="4">
        <v>1.13680555555669</v>
      </c>
      <c r="X69" s="4">
        <v>1.62986111111337</v>
      </c>
      <c r="Y69" s="3">
        <v>7582039.83</v>
      </c>
      <c r="Z69">
        <v>-2703269.23534378</v>
      </c>
      <c r="AA69">
        <v>10285309.0653438</v>
      </c>
      <c r="AB69">
        <v>1583842.66666833</v>
      </c>
      <c r="AC69">
        <v>529704.861111847</v>
      </c>
      <c r="AD69">
        <v>529704.861111847</v>
      </c>
      <c r="AE69">
        <v>0</v>
      </c>
      <c r="AF69">
        <v>239056.36</v>
      </c>
      <c r="AG69">
        <v>239056.36</v>
      </c>
      <c r="AH69">
        <v>0</v>
      </c>
      <c r="AI69">
        <v>9298.69</v>
      </c>
      <c r="AJ69">
        <v>6823.69</v>
      </c>
      <c r="AK69">
        <v>2475</v>
      </c>
      <c r="AL69">
        <v>0</v>
      </c>
      <c r="AM69">
        <v>137539.7</v>
      </c>
      <c r="AN69">
        <v>137539.7</v>
      </c>
      <c r="AO69">
        <v>0</v>
      </c>
      <c r="AP69">
        <v>0</v>
      </c>
      <c r="AQ69">
        <v>0</v>
      </c>
      <c r="AR69">
        <v>0</v>
      </c>
      <c r="AS69">
        <v>0</v>
      </c>
      <c r="AT69">
        <v>0</v>
      </c>
      <c r="AU69">
        <v>0</v>
      </c>
      <c r="AV69">
        <v>0</v>
      </c>
      <c r="AW69">
        <v>0</v>
      </c>
      <c r="AX69">
        <v>0</v>
      </c>
      <c r="AY69">
        <v>668243.055556482</v>
      </c>
      <c r="AZ69">
        <v>8701466.39867545</v>
      </c>
      <c r="BA69">
        <v>3536898.32266672</v>
      </c>
      <c r="BB69">
        <v>467984.0664</v>
      </c>
      <c r="BC69">
        <v>467984.0664</v>
      </c>
      <c r="BD69">
        <v>0</v>
      </c>
      <c r="BE69">
        <v>0</v>
      </c>
      <c r="BF69">
        <v>1336000</v>
      </c>
      <c r="BG69">
        <v>1336000</v>
      </c>
      <c r="BH69">
        <v>0</v>
      </c>
      <c r="BI69">
        <v>20269.44</v>
      </c>
      <c r="BJ69">
        <v>0</v>
      </c>
      <c r="BK69">
        <v>621495</v>
      </c>
      <c r="BL69">
        <v>621495</v>
      </c>
      <c r="BM69">
        <v>0</v>
      </c>
      <c r="BN69">
        <v>165403.5196</v>
      </c>
      <c r="BO69">
        <v>220162.476666721</v>
      </c>
      <c r="BP69">
        <v>54566.666666721</v>
      </c>
      <c r="BQ69">
        <v>0</v>
      </c>
      <c r="BR69">
        <v>0</v>
      </c>
      <c r="BS69">
        <v>165595.81</v>
      </c>
      <c r="BT69">
        <v>705583.82</v>
      </c>
      <c r="BU69">
        <v>645008</v>
      </c>
      <c r="BV69">
        <v>60575.82</v>
      </c>
      <c r="BW69">
        <v>0</v>
      </c>
      <c r="BX69">
        <v>0</v>
      </c>
      <c r="BY69">
        <v>121354.87</v>
      </c>
      <c r="BZ69">
        <v>68238.73</v>
      </c>
      <c r="CA69">
        <v>68238.73</v>
      </c>
      <c r="CB69">
        <v>0</v>
      </c>
      <c r="CC69">
        <v>0</v>
      </c>
      <c r="CD69">
        <v>53116.14</v>
      </c>
      <c r="CE69">
        <v>0</v>
      </c>
      <c r="CF69">
        <v>53116.14</v>
      </c>
      <c r="CG69">
        <v>0</v>
      </c>
      <c r="CH69">
        <v>5043213.20600873</v>
      </c>
      <c r="CI69">
        <v>694858</v>
      </c>
      <c r="CJ69">
        <v>0</v>
      </c>
      <c r="CK69">
        <v>13052</v>
      </c>
      <c r="CL69">
        <v>507138</v>
      </c>
      <c r="CM69">
        <v>66286</v>
      </c>
      <c r="CN69">
        <v>9740</v>
      </c>
      <c r="CO69">
        <v>98642</v>
      </c>
      <c r="CP69">
        <v>635645.833334214</v>
      </c>
      <c r="CQ69">
        <v>20442</v>
      </c>
      <c r="CR69">
        <v>6431</v>
      </c>
      <c r="CS69">
        <v>12981</v>
      </c>
      <c r="CT69">
        <v>0</v>
      </c>
      <c r="CU69">
        <v>500</v>
      </c>
      <c r="CV69">
        <v>0</v>
      </c>
      <c r="CW69">
        <v>0</v>
      </c>
      <c r="CX69">
        <v>530</v>
      </c>
      <c r="CY69">
        <v>10793.316</v>
      </c>
      <c r="CZ69">
        <v>3650</v>
      </c>
      <c r="DA69">
        <v>0</v>
      </c>
      <c r="DB69">
        <v>142</v>
      </c>
      <c r="DC69">
        <v>242</v>
      </c>
      <c r="DD69">
        <v>0</v>
      </c>
      <c r="DE69">
        <v>0</v>
      </c>
      <c r="DF69">
        <v>6759.316</v>
      </c>
      <c r="DG69">
        <v>0</v>
      </c>
      <c r="DH69" s="3">
        <v>0</v>
      </c>
      <c r="DI69">
        <v>198014.37</v>
      </c>
      <c r="DJ69">
        <v>0</v>
      </c>
      <c r="DK69">
        <v>154104.13</v>
      </c>
      <c r="DL69">
        <v>0</v>
      </c>
      <c r="DM69">
        <v>0</v>
      </c>
      <c r="DN69">
        <v>0</v>
      </c>
      <c r="DO69">
        <v>0</v>
      </c>
      <c r="DP69">
        <v>43910.24</v>
      </c>
      <c r="DQ69">
        <v>45619.75</v>
      </c>
      <c r="DR69">
        <v>0</v>
      </c>
      <c r="DS69">
        <v>0</v>
      </c>
      <c r="DT69">
        <v>45619.75</v>
      </c>
      <c r="DU69">
        <v>0</v>
      </c>
      <c r="DV69">
        <v>0</v>
      </c>
      <c r="DW69">
        <v>0</v>
      </c>
      <c r="DX69">
        <v>0</v>
      </c>
      <c r="DY69">
        <v>0</v>
      </c>
      <c r="DZ69">
        <v>0</v>
      </c>
      <c r="EA69">
        <v>0</v>
      </c>
      <c r="EB69">
        <v>0</v>
      </c>
      <c r="EC69">
        <v>0</v>
      </c>
      <c r="ED69">
        <v>0</v>
      </c>
      <c r="EE69">
        <v>0</v>
      </c>
      <c r="EF69">
        <v>55500</v>
      </c>
      <c r="EG69">
        <v>0</v>
      </c>
      <c r="EH69">
        <v>101333.33</v>
      </c>
      <c r="EI69">
        <v>2218097</v>
      </c>
      <c r="EJ69">
        <v>0</v>
      </c>
      <c r="EK69">
        <v>575616</v>
      </c>
      <c r="EL69">
        <v>0</v>
      </c>
      <c r="EM69">
        <v>0</v>
      </c>
      <c r="EN69">
        <v>0</v>
      </c>
      <c r="EO69">
        <v>65170</v>
      </c>
      <c r="EP69">
        <v>65170</v>
      </c>
      <c r="EQ69">
        <v>0</v>
      </c>
      <c r="ER69">
        <v>51487.3125000715</v>
      </c>
      <c r="ES69">
        <v>0</v>
      </c>
      <c r="ET69">
        <v>0</v>
      </c>
      <c r="EU69">
        <v>2280</v>
      </c>
      <c r="EV69" s="4">
        <v>241.219444444779</v>
      </c>
      <c r="EW69">
        <v>0</v>
      </c>
      <c r="EX69">
        <v>0</v>
      </c>
      <c r="EY69" s="4">
        <v>241.219444444779</v>
      </c>
      <c r="EZ69">
        <v>0</v>
      </c>
      <c r="FA69">
        <v>0</v>
      </c>
      <c r="FB69">
        <v>0</v>
      </c>
      <c r="FC69">
        <v>0</v>
      </c>
      <c r="FD69">
        <v>0</v>
      </c>
      <c r="FE69">
        <v>132342.57</v>
      </c>
      <c r="FF69">
        <v>0</v>
      </c>
      <c r="FG69">
        <v>132342.57</v>
      </c>
      <c r="FH69">
        <v>0</v>
      </c>
      <c r="FI69" s="4">
        <v>0</v>
      </c>
      <c r="FJ69">
        <v>0</v>
      </c>
      <c r="FK69">
        <v>0</v>
      </c>
      <c r="FL69">
        <v>0</v>
      </c>
      <c r="FM69" s="4">
        <v>729.27</v>
      </c>
      <c r="FN69">
        <v>0</v>
      </c>
      <c r="FO69">
        <v>0</v>
      </c>
      <c r="FP69">
        <v>0</v>
      </c>
      <c r="FQ69">
        <v>0</v>
      </c>
      <c r="FR69">
        <v>729.27</v>
      </c>
      <c r="FS69">
        <v>0</v>
      </c>
      <c r="FT69">
        <v>60656.31864</v>
      </c>
      <c r="FU69">
        <v>151640.7966</v>
      </c>
      <c r="FV69">
        <v>22746.11949</v>
      </c>
      <c r="FY69">
        <v>7582039.83</v>
      </c>
      <c r="FZ69">
        <v>10285309.0653438</v>
      </c>
      <c r="GA69">
        <v>1583842.66666833</v>
      </c>
      <c r="GB69">
        <v>8701466.39867545</v>
      </c>
      <c r="GC69">
        <v>-1119426.56867545</v>
      </c>
      <c r="GD69">
        <v>-0.147641873925035</v>
      </c>
      <c r="GE69">
        <v>-2703269.23534378</v>
      </c>
      <c r="GF69">
        <v>-0.356535878992313</v>
      </c>
      <c r="GJ69">
        <v>45637.3333333333</v>
      </c>
      <c r="GK69">
        <v>45714.25</v>
      </c>
      <c r="GL69">
        <v>45650.4791666667</v>
      </c>
      <c r="GN69">
        <v>45658.6666666667</v>
      </c>
      <c r="GO69">
        <v>45715.8958333333</v>
      </c>
      <c r="GR69" t="s">
        <v>694</v>
      </c>
      <c r="GU69" t="s">
        <v>694</v>
      </c>
      <c r="HA69">
        <v>45737.9166666667</v>
      </c>
      <c r="HB69">
        <v>45740.1666666667</v>
      </c>
      <c r="HE69">
        <v>39</v>
      </c>
      <c r="HF69">
        <v>3</v>
      </c>
      <c r="HG69">
        <v>10</v>
      </c>
      <c r="HH69">
        <v>26</v>
      </c>
      <c r="HK69">
        <v>323</v>
      </c>
      <c r="HL69">
        <v>142</v>
      </c>
      <c r="HM69">
        <v>59</v>
      </c>
      <c r="HN69">
        <v>93</v>
      </c>
      <c r="HO69">
        <v>0</v>
      </c>
      <c r="HP69">
        <v>39</v>
      </c>
      <c r="HQ69">
        <v>119</v>
      </c>
      <c r="HR69">
        <v>14</v>
      </c>
      <c r="HU69" s="10"/>
    </row>
    <row r="70" spans="1:229">
      <c r="A70" s="1">
        <f t="shared" ref="A70:A124" si="1">ROW()-1</f>
        <v>69</v>
      </c>
      <c r="B70" s="2">
        <v>2025</v>
      </c>
      <c r="C70" s="2" t="s">
        <v>33</v>
      </c>
      <c r="D70" s="2" t="s">
        <v>27</v>
      </c>
      <c r="E70" s="9" t="s">
        <v>468</v>
      </c>
      <c r="F70" s="2" t="s">
        <v>746</v>
      </c>
      <c r="G70" s="2" t="s">
        <v>28</v>
      </c>
      <c r="H70" s="2" t="s">
        <v>711</v>
      </c>
      <c r="I70" s="2" t="s">
        <v>786</v>
      </c>
      <c r="J70" t="s">
        <v>318</v>
      </c>
      <c r="K70" t="s">
        <v>730</v>
      </c>
      <c r="L70" t="s">
        <v>32</v>
      </c>
      <c r="M70">
        <v>3</v>
      </c>
      <c r="N70">
        <v>4852</v>
      </c>
      <c r="O70" s="3">
        <v>4890</v>
      </c>
      <c r="P70" s="4">
        <v>18.3333333334012</v>
      </c>
      <c r="R70" s="4">
        <v>33.7916666665988</v>
      </c>
      <c r="S70" s="4">
        <v>14.9583333334012</v>
      </c>
      <c r="T70" s="4">
        <v>48.75</v>
      </c>
      <c r="U70" s="4">
        <v>67.0833333334012</v>
      </c>
      <c r="W70" s="4">
        <v>1.625</v>
      </c>
      <c r="X70" s="4">
        <v>2.23611111111337</v>
      </c>
      <c r="Y70" s="3">
        <v>16486377</v>
      </c>
      <c r="Z70">
        <v>-640816.333091557</v>
      </c>
      <c r="AA70">
        <v>17127193.3330916</v>
      </c>
      <c r="AB70">
        <v>3626967.73111317</v>
      </c>
      <c r="AC70">
        <v>1118055.55555669</v>
      </c>
      <c r="AD70">
        <v>1118055.55555669</v>
      </c>
      <c r="AE70">
        <v>0</v>
      </c>
      <c r="AF70">
        <v>843341.81</v>
      </c>
      <c r="AG70">
        <v>221455.21</v>
      </c>
      <c r="AH70">
        <v>621886.6</v>
      </c>
      <c r="AI70">
        <v>18405.27</v>
      </c>
      <c r="AJ70">
        <v>6753.36</v>
      </c>
      <c r="AK70">
        <v>6489.67</v>
      </c>
      <c r="AL70">
        <v>5162.24</v>
      </c>
      <c r="AM70">
        <v>730359.54</v>
      </c>
      <c r="AN70">
        <v>188699.55</v>
      </c>
      <c r="AO70">
        <v>0</v>
      </c>
      <c r="AP70">
        <v>343398.07</v>
      </c>
      <c r="AQ70">
        <v>198261.92</v>
      </c>
      <c r="AR70">
        <v>0</v>
      </c>
      <c r="AS70">
        <v>0</v>
      </c>
      <c r="AT70">
        <v>0</v>
      </c>
      <c r="AU70">
        <v>0</v>
      </c>
      <c r="AV70">
        <v>0</v>
      </c>
      <c r="AW70">
        <v>0</v>
      </c>
      <c r="AX70">
        <v>0</v>
      </c>
      <c r="AY70">
        <v>916805.555556482</v>
      </c>
      <c r="AZ70">
        <v>13500225.6019784</v>
      </c>
      <c r="BA70">
        <v>2834565.2312</v>
      </c>
      <c r="BB70">
        <v>322558.5132</v>
      </c>
      <c r="BC70">
        <v>322558.5132</v>
      </c>
      <c r="BD70">
        <v>0</v>
      </c>
      <c r="BE70">
        <v>0</v>
      </c>
      <c r="BF70">
        <v>974615</v>
      </c>
      <c r="BG70">
        <v>974615</v>
      </c>
      <c r="BH70">
        <v>0</v>
      </c>
      <c r="BI70">
        <v>54755.136</v>
      </c>
      <c r="BJ70">
        <v>104936</v>
      </c>
      <c r="BK70">
        <v>732400</v>
      </c>
      <c r="BL70">
        <v>732400</v>
      </c>
      <c r="BM70">
        <v>0</v>
      </c>
      <c r="BN70">
        <v>249226.672</v>
      </c>
      <c r="BO70">
        <v>268950.45</v>
      </c>
      <c r="BP70">
        <v>78000</v>
      </c>
      <c r="BQ70">
        <v>0</v>
      </c>
      <c r="BR70">
        <v>0</v>
      </c>
      <c r="BS70">
        <v>190950.45</v>
      </c>
      <c r="BT70">
        <v>127123.46</v>
      </c>
      <c r="BU70">
        <v>508560</v>
      </c>
      <c r="BV70">
        <v>-381436.54</v>
      </c>
      <c r="BW70">
        <v>0</v>
      </c>
      <c r="BX70">
        <v>0</v>
      </c>
      <c r="BY70">
        <v>216050.66</v>
      </c>
      <c r="BZ70">
        <v>157073.06</v>
      </c>
      <c r="CA70">
        <v>157073.06</v>
      </c>
      <c r="CB70">
        <v>0</v>
      </c>
      <c r="CC70">
        <v>0</v>
      </c>
      <c r="CD70">
        <v>58977.6</v>
      </c>
      <c r="CE70">
        <v>0</v>
      </c>
      <c r="CF70">
        <v>58977.6</v>
      </c>
      <c r="CG70">
        <v>0</v>
      </c>
      <c r="CH70">
        <v>10449609.7107784</v>
      </c>
      <c r="CI70">
        <v>548112</v>
      </c>
      <c r="CJ70">
        <v>0</v>
      </c>
      <c r="CK70">
        <v>0</v>
      </c>
      <c r="CL70">
        <v>227200</v>
      </c>
      <c r="CM70">
        <v>112934</v>
      </c>
      <c r="CN70">
        <v>69387</v>
      </c>
      <c r="CO70">
        <v>138591</v>
      </c>
      <c r="CP70">
        <v>536666.666667209</v>
      </c>
      <c r="CQ70">
        <v>59298</v>
      </c>
      <c r="CR70">
        <v>8268</v>
      </c>
      <c r="CS70">
        <v>50000</v>
      </c>
      <c r="CT70">
        <v>0</v>
      </c>
      <c r="CU70">
        <v>500</v>
      </c>
      <c r="CV70">
        <v>0</v>
      </c>
      <c r="CW70">
        <v>0</v>
      </c>
      <c r="CX70">
        <v>530</v>
      </c>
      <c r="CY70">
        <v>20071.116</v>
      </c>
      <c r="CZ70">
        <v>13478</v>
      </c>
      <c r="DA70">
        <v>0</v>
      </c>
      <c r="DB70">
        <v>340</v>
      </c>
      <c r="DC70">
        <v>198</v>
      </c>
      <c r="DD70">
        <v>0</v>
      </c>
      <c r="DE70">
        <v>0</v>
      </c>
      <c r="DF70">
        <v>6055.116</v>
      </c>
      <c r="DG70">
        <v>0</v>
      </c>
      <c r="DH70" s="3">
        <v>1058907</v>
      </c>
      <c r="DI70">
        <v>24802.6</v>
      </c>
      <c r="DJ70">
        <v>0</v>
      </c>
      <c r="DK70">
        <v>24802.6</v>
      </c>
      <c r="DL70">
        <v>0</v>
      </c>
      <c r="DM70">
        <v>0</v>
      </c>
      <c r="DN70">
        <v>0</v>
      </c>
      <c r="DO70">
        <v>0</v>
      </c>
      <c r="DP70">
        <v>0</v>
      </c>
      <c r="DQ70">
        <v>130289.62</v>
      </c>
      <c r="DR70">
        <v>130289.62</v>
      </c>
      <c r="DS70">
        <v>0</v>
      </c>
      <c r="DT70">
        <v>0</v>
      </c>
      <c r="DU70">
        <v>0</v>
      </c>
      <c r="DV70">
        <v>0</v>
      </c>
      <c r="DW70">
        <v>0</v>
      </c>
      <c r="DX70">
        <v>0</v>
      </c>
      <c r="DY70">
        <v>0</v>
      </c>
      <c r="DZ70">
        <v>0</v>
      </c>
      <c r="EA70">
        <v>0</v>
      </c>
      <c r="EB70">
        <v>0</v>
      </c>
      <c r="EC70">
        <v>0</v>
      </c>
      <c r="ED70">
        <v>0</v>
      </c>
      <c r="EE70">
        <v>0</v>
      </c>
      <c r="EF70">
        <v>45795</v>
      </c>
      <c r="EG70">
        <v>0</v>
      </c>
      <c r="EH70">
        <v>260111.62</v>
      </c>
      <c r="EI70">
        <v>1506676.05</v>
      </c>
      <c r="EJ70">
        <v>0</v>
      </c>
      <c r="EK70">
        <v>491251</v>
      </c>
      <c r="EL70">
        <v>910412</v>
      </c>
      <c r="EM70">
        <v>571065</v>
      </c>
      <c r="EN70">
        <v>100000</v>
      </c>
      <c r="EO70">
        <v>101396</v>
      </c>
      <c r="EP70">
        <v>101396</v>
      </c>
      <c r="EQ70">
        <v>0</v>
      </c>
      <c r="ER70">
        <v>65205.000000066</v>
      </c>
      <c r="ES70">
        <v>0</v>
      </c>
      <c r="ET70">
        <v>0</v>
      </c>
      <c r="EU70">
        <v>1740</v>
      </c>
      <c r="EV70" s="4">
        <v>223.611111111337</v>
      </c>
      <c r="EW70">
        <v>0</v>
      </c>
      <c r="EX70">
        <v>0</v>
      </c>
      <c r="EY70" s="4">
        <v>223.611111111337</v>
      </c>
      <c r="EZ70">
        <v>0</v>
      </c>
      <c r="FA70">
        <v>0</v>
      </c>
      <c r="FB70">
        <v>0</v>
      </c>
      <c r="FC70">
        <v>0</v>
      </c>
      <c r="FD70">
        <v>0</v>
      </c>
      <c r="FE70">
        <v>123342.57</v>
      </c>
      <c r="FF70">
        <v>0</v>
      </c>
      <c r="FG70">
        <v>123342.57</v>
      </c>
      <c r="FH70">
        <v>840891</v>
      </c>
      <c r="FI70" s="4">
        <v>2338616.37</v>
      </c>
      <c r="FJ70">
        <v>202752.31</v>
      </c>
      <c r="FK70">
        <v>202752.31</v>
      </c>
      <c r="FL70">
        <v>0</v>
      </c>
      <c r="FM70" s="4">
        <v>907.49</v>
      </c>
      <c r="FN70">
        <v>0</v>
      </c>
      <c r="FO70">
        <v>0</v>
      </c>
      <c r="FP70">
        <v>0</v>
      </c>
      <c r="FQ70">
        <v>0</v>
      </c>
      <c r="FR70">
        <v>907.49</v>
      </c>
      <c r="FS70">
        <v>0</v>
      </c>
      <c r="FT70">
        <v>131891.016</v>
      </c>
      <c r="FU70">
        <v>329727.54</v>
      </c>
      <c r="FV70">
        <v>49459.131</v>
      </c>
      <c r="FY70">
        <v>16486377</v>
      </c>
      <c r="FZ70">
        <v>17127193.3330916</v>
      </c>
      <c r="GA70">
        <v>3626967.73111317</v>
      </c>
      <c r="GB70">
        <v>13500225.6019784</v>
      </c>
      <c r="GC70">
        <v>2986151.39802161</v>
      </c>
      <c r="GD70">
        <v>0.181128418816433</v>
      </c>
      <c r="GE70">
        <v>-640816.333091557</v>
      </c>
      <c r="GF70">
        <v>-0.0388694455483796</v>
      </c>
      <c r="GJ70">
        <v>45673.3333333333</v>
      </c>
      <c r="GL70">
        <v>45691.6666666667</v>
      </c>
      <c r="GO70">
        <v>45693.5625</v>
      </c>
      <c r="GR70">
        <v>45701.5416666667</v>
      </c>
      <c r="GU70" t="s">
        <v>694</v>
      </c>
      <c r="HA70">
        <v>45725.4583333333</v>
      </c>
      <c r="HB70">
        <v>45740.4166666667</v>
      </c>
      <c r="HE70">
        <v>36</v>
      </c>
      <c r="HF70">
        <v>5</v>
      </c>
      <c r="HG70">
        <v>15</v>
      </c>
      <c r="HH70">
        <v>16</v>
      </c>
      <c r="HK70">
        <v>304</v>
      </c>
      <c r="HL70">
        <v>193</v>
      </c>
      <c r="HM70">
        <v>26</v>
      </c>
      <c r="HN70">
        <v>61</v>
      </c>
      <c r="HO70">
        <v>0</v>
      </c>
      <c r="HP70">
        <v>38</v>
      </c>
      <c r="HQ70">
        <v>205</v>
      </c>
      <c r="HR70">
        <v>343</v>
      </c>
      <c r="HU70" s="10"/>
    </row>
    <row r="71" spans="1:229">
      <c r="A71" s="1">
        <f t="shared" si="1"/>
        <v>70</v>
      </c>
      <c r="B71" s="2">
        <v>2025</v>
      </c>
      <c r="C71" s="2" t="s">
        <v>33</v>
      </c>
      <c r="D71" s="2" t="s">
        <v>27</v>
      </c>
      <c r="E71" s="9">
        <v>70152</v>
      </c>
      <c r="F71" s="2" t="s">
        <v>775</v>
      </c>
      <c r="G71" s="2" t="s">
        <v>28</v>
      </c>
      <c r="H71" s="2" t="s">
        <v>692</v>
      </c>
      <c r="I71" s="2" t="s">
        <v>787</v>
      </c>
      <c r="J71" t="s">
        <v>325</v>
      </c>
      <c r="K71" t="s">
        <v>31</v>
      </c>
      <c r="L71" t="s">
        <v>32</v>
      </c>
      <c r="M71">
        <v>3</v>
      </c>
      <c r="N71">
        <v>5119</v>
      </c>
      <c r="O71" s="3">
        <v>5323</v>
      </c>
      <c r="P71" s="4">
        <v>3.29166666670062</v>
      </c>
      <c r="R71" s="4">
        <v>28</v>
      </c>
      <c r="S71" s="4">
        <v>10.5833333332994</v>
      </c>
      <c r="T71" s="4">
        <v>38.5833333332994</v>
      </c>
      <c r="U71" s="4">
        <v>41.875</v>
      </c>
      <c r="W71" s="4">
        <v>1.28611111110998</v>
      </c>
      <c r="X71" s="4">
        <v>1.39583333333333</v>
      </c>
      <c r="Y71" s="3">
        <v>22003633</v>
      </c>
      <c r="Z71">
        <v>10349095.1208534</v>
      </c>
      <c r="AA71">
        <v>11654537.8791466</v>
      </c>
      <c r="AB71">
        <v>1506914.75</v>
      </c>
      <c r="AC71">
        <v>558333.333333333</v>
      </c>
      <c r="AD71">
        <v>558333.333333333</v>
      </c>
      <c r="AE71">
        <v>0</v>
      </c>
      <c r="AF71">
        <v>85931.23</v>
      </c>
      <c r="AG71">
        <v>85931.23</v>
      </c>
      <c r="AH71">
        <v>0</v>
      </c>
      <c r="AI71">
        <v>86098.35</v>
      </c>
      <c r="AJ71">
        <v>79608.68</v>
      </c>
      <c r="AK71">
        <v>6489.67</v>
      </c>
      <c r="AL71">
        <v>0</v>
      </c>
      <c r="AM71">
        <v>204260.17</v>
      </c>
      <c r="AN71">
        <v>204260.17</v>
      </c>
      <c r="AO71">
        <v>0</v>
      </c>
      <c r="AP71">
        <v>0</v>
      </c>
      <c r="AQ71">
        <v>0</v>
      </c>
      <c r="AR71">
        <v>0</v>
      </c>
      <c r="AS71">
        <v>0</v>
      </c>
      <c r="AT71">
        <v>0</v>
      </c>
      <c r="AU71">
        <v>0</v>
      </c>
      <c r="AV71">
        <v>0</v>
      </c>
      <c r="AW71">
        <v>0</v>
      </c>
      <c r="AX71">
        <v>0</v>
      </c>
      <c r="AY71">
        <v>572291.666666665</v>
      </c>
      <c r="AZ71">
        <v>10147623.1291466</v>
      </c>
      <c r="BA71">
        <v>3830424.13181328</v>
      </c>
      <c r="BB71">
        <v>152538.0444</v>
      </c>
      <c r="BC71">
        <v>152538.0444</v>
      </c>
      <c r="BD71">
        <v>0</v>
      </c>
      <c r="BE71">
        <v>0</v>
      </c>
      <c r="BF71">
        <v>1691948</v>
      </c>
      <c r="BG71">
        <v>1691948</v>
      </c>
      <c r="BH71">
        <v>0</v>
      </c>
      <c r="BI71">
        <v>9593.1</v>
      </c>
      <c r="BJ71">
        <v>0</v>
      </c>
      <c r="BK71">
        <v>898960</v>
      </c>
      <c r="BL71">
        <v>898960</v>
      </c>
      <c r="BM71">
        <v>0</v>
      </c>
      <c r="BN71">
        <v>198635.91408</v>
      </c>
      <c r="BO71">
        <v>230516.373333279</v>
      </c>
      <c r="BP71">
        <v>61733.333333279</v>
      </c>
      <c r="BQ71">
        <v>0</v>
      </c>
      <c r="BR71">
        <v>0</v>
      </c>
      <c r="BS71">
        <v>168783.04</v>
      </c>
      <c r="BT71">
        <v>648232.7</v>
      </c>
      <c r="BU71">
        <v>553592</v>
      </c>
      <c r="BV71">
        <v>94640.7</v>
      </c>
      <c r="BW71">
        <v>0</v>
      </c>
      <c r="BX71">
        <v>0</v>
      </c>
      <c r="BY71">
        <v>6193.03</v>
      </c>
      <c r="BZ71">
        <v>6193.03</v>
      </c>
      <c r="CA71">
        <v>6193.03</v>
      </c>
      <c r="CB71">
        <v>0</v>
      </c>
      <c r="CC71">
        <v>0</v>
      </c>
      <c r="CD71">
        <v>0</v>
      </c>
      <c r="CE71">
        <v>0</v>
      </c>
      <c r="CF71">
        <v>0</v>
      </c>
      <c r="CG71">
        <v>0</v>
      </c>
      <c r="CH71">
        <v>6311005.96733333</v>
      </c>
      <c r="CI71">
        <v>243281</v>
      </c>
      <c r="CJ71">
        <v>0</v>
      </c>
      <c r="CK71">
        <v>33774</v>
      </c>
      <c r="CL71">
        <v>0</v>
      </c>
      <c r="CM71">
        <v>83909</v>
      </c>
      <c r="CN71">
        <v>47211</v>
      </c>
      <c r="CO71">
        <v>78387</v>
      </c>
      <c r="CP71">
        <v>523437.499999999</v>
      </c>
      <c r="CQ71">
        <v>14049</v>
      </c>
      <c r="CR71">
        <v>3502</v>
      </c>
      <c r="CS71">
        <v>9517</v>
      </c>
      <c r="CT71">
        <v>0</v>
      </c>
      <c r="CU71">
        <v>500</v>
      </c>
      <c r="CV71">
        <v>0</v>
      </c>
      <c r="CW71">
        <v>0</v>
      </c>
      <c r="CX71">
        <v>530</v>
      </c>
      <c r="CY71">
        <v>10146.716</v>
      </c>
      <c r="CZ71">
        <v>3650</v>
      </c>
      <c r="DA71">
        <v>0</v>
      </c>
      <c r="DB71">
        <v>340</v>
      </c>
      <c r="DC71">
        <v>0</v>
      </c>
      <c r="DD71">
        <v>0</v>
      </c>
      <c r="DE71">
        <v>0</v>
      </c>
      <c r="DF71">
        <v>6156.716</v>
      </c>
      <c r="DG71">
        <v>0</v>
      </c>
      <c r="DH71" s="3">
        <v>706719</v>
      </c>
      <c r="DI71">
        <v>56620</v>
      </c>
      <c r="DJ71">
        <v>0</v>
      </c>
      <c r="DK71">
        <v>56620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76187</v>
      </c>
      <c r="EG71">
        <v>0</v>
      </c>
      <c r="EH71">
        <v>0</v>
      </c>
      <c r="EI71">
        <v>1290107.55</v>
      </c>
      <c r="EJ71">
        <v>0</v>
      </c>
      <c r="EK71">
        <v>0</v>
      </c>
      <c r="EL71">
        <v>0</v>
      </c>
      <c r="EM71">
        <v>0</v>
      </c>
      <c r="EN71">
        <v>35000</v>
      </c>
      <c r="EO71">
        <v>158066</v>
      </c>
      <c r="EP71">
        <v>158066</v>
      </c>
      <c r="EQ71">
        <v>0</v>
      </c>
      <c r="ER71">
        <v>46355.625</v>
      </c>
      <c r="ES71">
        <v>0</v>
      </c>
      <c r="ET71">
        <v>0</v>
      </c>
      <c r="EU71">
        <v>600</v>
      </c>
      <c r="EV71" s="4">
        <v>139.583333333333</v>
      </c>
      <c r="EW71">
        <v>0</v>
      </c>
      <c r="EX71">
        <v>0</v>
      </c>
      <c r="EY71" s="4">
        <v>139.583333333333</v>
      </c>
      <c r="EZ71">
        <v>0</v>
      </c>
      <c r="FA71">
        <v>0</v>
      </c>
      <c r="FB71">
        <v>0</v>
      </c>
      <c r="FC71">
        <v>0</v>
      </c>
      <c r="FD71">
        <v>0</v>
      </c>
      <c r="FE71">
        <v>0</v>
      </c>
      <c r="FF71">
        <v>0</v>
      </c>
      <c r="FG71">
        <v>0</v>
      </c>
      <c r="FH71">
        <v>0</v>
      </c>
      <c r="FI71" s="4">
        <v>2461680.22</v>
      </c>
      <c r="FJ71">
        <v>0</v>
      </c>
      <c r="FK71">
        <v>0</v>
      </c>
      <c r="FL71">
        <v>0</v>
      </c>
      <c r="FM71" s="4">
        <v>6504.15</v>
      </c>
      <c r="FN71">
        <v>0</v>
      </c>
      <c r="FO71">
        <v>0</v>
      </c>
      <c r="FP71">
        <v>0</v>
      </c>
      <c r="FQ71">
        <v>0</v>
      </c>
      <c r="FR71">
        <v>6504.15</v>
      </c>
      <c r="FS71">
        <v>0</v>
      </c>
      <c r="FT71">
        <v>176029.064</v>
      </c>
      <c r="FU71">
        <v>440072.66</v>
      </c>
      <c r="FV71">
        <v>66010.899</v>
      </c>
      <c r="FY71">
        <v>22003633</v>
      </c>
      <c r="FZ71">
        <v>11654537.8791466</v>
      </c>
      <c r="GA71">
        <v>1506914.75</v>
      </c>
      <c r="GB71">
        <v>10147623.1291466</v>
      </c>
      <c r="GC71">
        <v>11856009.8708534</v>
      </c>
      <c r="GD71">
        <v>0.538820560716196</v>
      </c>
      <c r="GE71">
        <v>10349095.1208534</v>
      </c>
      <c r="GF71">
        <v>0.470335745049619</v>
      </c>
      <c r="GJ71">
        <v>45680.4583333333</v>
      </c>
      <c r="GL71">
        <v>45683.75</v>
      </c>
      <c r="GO71">
        <v>45686.7916666667</v>
      </c>
      <c r="GR71">
        <v>45704.3333333333</v>
      </c>
      <c r="GU71" t="s">
        <v>694</v>
      </c>
      <c r="HA71">
        <v>45711.75</v>
      </c>
      <c r="HB71">
        <v>45722.3333333333</v>
      </c>
      <c r="HE71">
        <v>41</v>
      </c>
      <c r="HF71">
        <v>6</v>
      </c>
      <c r="HG71">
        <v>10</v>
      </c>
      <c r="HH71">
        <v>25</v>
      </c>
      <c r="HK71">
        <v>186</v>
      </c>
      <c r="HL71">
        <v>79</v>
      </c>
      <c r="HM71">
        <v>98</v>
      </c>
      <c r="HN71">
        <v>36</v>
      </c>
      <c r="HO71">
        <v>0</v>
      </c>
      <c r="HP71">
        <v>44</v>
      </c>
      <c r="HQ71">
        <v>278</v>
      </c>
      <c r="HR71">
        <v>196</v>
      </c>
      <c r="HU71" s="10"/>
    </row>
    <row r="72" spans="1:229">
      <c r="A72" s="1">
        <f t="shared" si="1"/>
        <v>71</v>
      </c>
      <c r="B72" s="2">
        <v>2025</v>
      </c>
      <c r="C72" s="2" t="s">
        <v>35</v>
      </c>
      <c r="D72" s="2" t="s">
        <v>27</v>
      </c>
      <c r="E72" s="9">
        <v>50537</v>
      </c>
      <c r="F72" s="2" t="s">
        <v>736</v>
      </c>
      <c r="G72" s="2" t="s">
        <v>36</v>
      </c>
      <c r="H72" s="2" t="s">
        <v>692</v>
      </c>
      <c r="I72" s="2" t="s">
        <v>37</v>
      </c>
      <c r="J72" t="s">
        <v>30</v>
      </c>
      <c r="K72" t="s">
        <v>31</v>
      </c>
      <c r="L72" t="s">
        <v>38</v>
      </c>
      <c r="M72">
        <v>2</v>
      </c>
      <c r="N72">
        <v>2382</v>
      </c>
      <c r="O72" s="3">
        <v>2382</v>
      </c>
      <c r="P72" s="4">
        <v>5.5</v>
      </c>
      <c r="R72" s="4">
        <v>13.5833333334012</v>
      </c>
      <c r="S72" s="4">
        <v>2.375</v>
      </c>
      <c r="T72" s="4">
        <v>15.9583333334012</v>
      </c>
      <c r="U72" s="4">
        <v>21.4583333334012</v>
      </c>
      <c r="W72" s="4">
        <v>0.531944444446708</v>
      </c>
      <c r="X72" s="4">
        <v>0.715277777780041</v>
      </c>
      <c r="Y72" s="3">
        <v>4440814</v>
      </c>
      <c r="Z72">
        <v>680781.566375174</v>
      </c>
      <c r="AA72">
        <v>3760032.43362483</v>
      </c>
      <c r="AB72">
        <v>568132.561112831</v>
      </c>
      <c r="AC72">
        <v>250347.222223014</v>
      </c>
      <c r="AD72">
        <v>250347.222223014</v>
      </c>
      <c r="AE72">
        <v>0</v>
      </c>
      <c r="AF72">
        <v>18671.99</v>
      </c>
      <c r="AG72">
        <v>18671.99</v>
      </c>
      <c r="AH72">
        <v>0</v>
      </c>
      <c r="AI72">
        <v>5849.46</v>
      </c>
      <c r="AJ72">
        <v>3610.61</v>
      </c>
      <c r="AK72">
        <v>2238.85</v>
      </c>
      <c r="AL72">
        <v>0</v>
      </c>
      <c r="AM72">
        <v>0</v>
      </c>
      <c r="AN72">
        <v>0</v>
      </c>
      <c r="AO72">
        <v>0</v>
      </c>
      <c r="AP72">
        <v>0</v>
      </c>
      <c r="AQ72">
        <v>0</v>
      </c>
      <c r="AR72">
        <v>0</v>
      </c>
      <c r="AS72">
        <v>0</v>
      </c>
      <c r="AT72">
        <v>0</v>
      </c>
      <c r="AU72">
        <v>0</v>
      </c>
      <c r="AV72">
        <v>0</v>
      </c>
      <c r="AW72">
        <v>0</v>
      </c>
      <c r="AX72">
        <v>0</v>
      </c>
      <c r="AY72">
        <v>293263.888889817</v>
      </c>
      <c r="AZ72">
        <v>3191899.872512</v>
      </c>
      <c r="BA72">
        <v>1230421.72573344</v>
      </c>
      <c r="BB72">
        <v>15947.1</v>
      </c>
      <c r="BC72">
        <v>0</v>
      </c>
      <c r="BD72">
        <v>15947.1</v>
      </c>
      <c r="BE72">
        <v>0</v>
      </c>
      <c r="BF72">
        <v>633062</v>
      </c>
      <c r="BG72">
        <v>633062</v>
      </c>
      <c r="BH72">
        <v>0</v>
      </c>
      <c r="BI72">
        <v>2913.732</v>
      </c>
      <c r="BJ72">
        <v>376402</v>
      </c>
      <c r="BK72">
        <v>11008</v>
      </c>
      <c r="BL72">
        <v>11008</v>
      </c>
      <c r="BM72">
        <v>0</v>
      </c>
      <c r="BN72">
        <v>67633.0104</v>
      </c>
      <c r="BO72">
        <v>99900.683333442</v>
      </c>
      <c r="BP72">
        <v>25533.333333442</v>
      </c>
      <c r="BQ72">
        <v>0</v>
      </c>
      <c r="BR72">
        <v>0</v>
      </c>
      <c r="BS72">
        <v>74367.35</v>
      </c>
      <c r="BT72">
        <v>23555.2</v>
      </c>
      <c r="BU72">
        <v>0</v>
      </c>
      <c r="BV72">
        <v>23555.2</v>
      </c>
      <c r="BW72">
        <v>0</v>
      </c>
      <c r="BX72">
        <v>0</v>
      </c>
      <c r="BY72">
        <v>13685.1</v>
      </c>
      <c r="BZ72">
        <v>13685.1</v>
      </c>
      <c r="CA72">
        <v>13685.1</v>
      </c>
      <c r="CB72">
        <v>0</v>
      </c>
      <c r="CC72">
        <v>0</v>
      </c>
      <c r="CD72">
        <v>0</v>
      </c>
      <c r="CE72">
        <v>0</v>
      </c>
      <c r="CF72">
        <v>0</v>
      </c>
      <c r="CG72">
        <v>0</v>
      </c>
      <c r="CH72">
        <v>1947793.04677856</v>
      </c>
      <c r="CI72">
        <v>378607</v>
      </c>
      <c r="CJ72">
        <v>0</v>
      </c>
      <c r="CK72">
        <v>0</v>
      </c>
      <c r="CL72">
        <v>264181</v>
      </c>
      <c r="CM72">
        <v>33440</v>
      </c>
      <c r="CN72">
        <v>19714</v>
      </c>
      <c r="CO72">
        <v>61272</v>
      </c>
      <c r="CP72">
        <v>225312.500000713</v>
      </c>
      <c r="CQ72">
        <v>10104.73</v>
      </c>
      <c r="CR72">
        <v>2636.98</v>
      </c>
      <c r="CS72">
        <v>6367.75</v>
      </c>
      <c r="CT72">
        <v>0</v>
      </c>
      <c r="CU72">
        <v>500</v>
      </c>
      <c r="CV72">
        <v>0</v>
      </c>
      <c r="CW72">
        <v>0</v>
      </c>
      <c r="CX72">
        <v>600</v>
      </c>
      <c r="CY72">
        <v>29930.36</v>
      </c>
      <c r="CZ72">
        <v>3650</v>
      </c>
      <c r="DA72">
        <v>0</v>
      </c>
      <c r="DB72">
        <v>283.02</v>
      </c>
      <c r="DC72">
        <v>0</v>
      </c>
      <c r="DD72">
        <v>9000</v>
      </c>
      <c r="DE72">
        <v>9000</v>
      </c>
      <c r="DF72">
        <v>7997.34</v>
      </c>
      <c r="DG72">
        <v>0</v>
      </c>
      <c r="DH72" s="3">
        <v>97937</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22400</v>
      </c>
      <c r="EG72">
        <v>0</v>
      </c>
      <c r="EH72">
        <v>3900</v>
      </c>
      <c r="EI72">
        <v>364195.71</v>
      </c>
      <c r="EJ72">
        <v>0</v>
      </c>
      <c r="EK72">
        <v>0</v>
      </c>
      <c r="EL72">
        <v>7050</v>
      </c>
      <c r="EM72">
        <v>0</v>
      </c>
      <c r="EN72">
        <v>0</v>
      </c>
      <c r="EO72">
        <v>12245</v>
      </c>
      <c r="EP72">
        <v>0</v>
      </c>
      <c r="EQ72">
        <v>12245</v>
      </c>
      <c r="ER72">
        <v>20278.1250000642</v>
      </c>
      <c r="ES72">
        <v>0</v>
      </c>
      <c r="ET72">
        <v>0</v>
      </c>
      <c r="EU72">
        <v>0</v>
      </c>
      <c r="EV72" s="4">
        <v>71.5277777780041</v>
      </c>
      <c r="EW72">
        <v>0</v>
      </c>
      <c r="EX72">
        <v>0</v>
      </c>
      <c r="EY72" s="4">
        <v>71.5277777780041</v>
      </c>
      <c r="EZ72">
        <v>0</v>
      </c>
      <c r="FA72">
        <v>0</v>
      </c>
      <c r="FB72">
        <v>0</v>
      </c>
      <c r="FC72">
        <v>0</v>
      </c>
      <c r="FD72">
        <v>0</v>
      </c>
      <c r="FE72">
        <v>0</v>
      </c>
      <c r="FF72">
        <v>0</v>
      </c>
      <c r="FG72">
        <v>0</v>
      </c>
      <c r="FH72">
        <v>0</v>
      </c>
      <c r="FI72" s="4">
        <v>596517.9</v>
      </c>
      <c r="FJ72">
        <v>40231.43</v>
      </c>
      <c r="FK72">
        <v>40231.43</v>
      </c>
      <c r="FL72">
        <v>0</v>
      </c>
      <c r="FM72" s="4">
        <v>1346.53</v>
      </c>
      <c r="FN72">
        <v>0</v>
      </c>
      <c r="FO72">
        <v>0</v>
      </c>
      <c r="FP72">
        <v>0</v>
      </c>
      <c r="FQ72">
        <v>0</v>
      </c>
      <c r="FR72">
        <v>1346.53</v>
      </c>
      <c r="FS72">
        <v>0</v>
      </c>
      <c r="FT72">
        <v>35526.512</v>
      </c>
      <c r="FU72">
        <v>88816.28</v>
      </c>
      <c r="FV72">
        <v>13322.442</v>
      </c>
      <c r="FY72">
        <v>4440814</v>
      </c>
      <c r="FZ72">
        <v>3760032.43362483</v>
      </c>
      <c r="GA72">
        <v>568132.561112831</v>
      </c>
      <c r="GB72">
        <v>3191899.872512</v>
      </c>
      <c r="GC72">
        <v>1248914.127488</v>
      </c>
      <c r="GD72">
        <v>0.28123540582605</v>
      </c>
      <c r="GE72">
        <v>680781.566375174</v>
      </c>
      <c r="GF72">
        <v>0.153301076418687</v>
      </c>
      <c r="GJ72">
        <v>45730.3333333333</v>
      </c>
      <c r="GL72">
        <v>45735.8333333333</v>
      </c>
      <c r="GO72">
        <v>45738.9375</v>
      </c>
      <c r="GR72" t="s">
        <v>694</v>
      </c>
      <c r="GU72" t="s">
        <v>694</v>
      </c>
      <c r="HA72">
        <v>45749.4166666667</v>
      </c>
      <c r="HB72">
        <v>45751.7916666667</v>
      </c>
      <c r="HE72">
        <v>35</v>
      </c>
      <c r="HF72">
        <v>5</v>
      </c>
      <c r="HG72">
        <v>9</v>
      </c>
      <c r="HH72">
        <v>21</v>
      </c>
      <c r="HK72">
        <v>72</v>
      </c>
      <c r="HL72">
        <v>66.5</v>
      </c>
      <c r="HM72">
        <v>32</v>
      </c>
      <c r="HN72">
        <v>7</v>
      </c>
      <c r="HO72">
        <v>0</v>
      </c>
      <c r="HP72">
        <v>26</v>
      </c>
      <c r="HQ72">
        <v>84</v>
      </c>
      <c r="HR72">
        <v>90</v>
      </c>
      <c r="HU72" s="10"/>
    </row>
    <row r="73" spans="1:229">
      <c r="A73" s="1">
        <f t="shared" si="1"/>
        <v>72</v>
      </c>
      <c r="B73" s="2">
        <v>2025</v>
      </c>
      <c r="C73" s="2" t="s">
        <v>35</v>
      </c>
      <c r="D73" s="2" t="s">
        <v>27</v>
      </c>
      <c r="E73" s="9">
        <v>70520</v>
      </c>
      <c r="F73" s="2" t="s">
        <v>699</v>
      </c>
      <c r="G73" s="2" t="s">
        <v>28</v>
      </c>
      <c r="H73" s="2" t="s">
        <v>711</v>
      </c>
      <c r="I73" s="2" t="s">
        <v>788</v>
      </c>
      <c r="J73" t="s">
        <v>310</v>
      </c>
      <c r="K73" t="s">
        <v>41</v>
      </c>
      <c r="L73" t="s">
        <v>32</v>
      </c>
      <c r="M73">
        <v>2</v>
      </c>
      <c r="N73">
        <v>1808</v>
      </c>
      <c r="O73" s="3">
        <v>1838</v>
      </c>
      <c r="P73" s="4">
        <v>5.625</v>
      </c>
      <c r="R73" s="4">
        <v>4.375</v>
      </c>
      <c r="S73" s="4">
        <v>6.72916666670062</v>
      </c>
      <c r="T73" s="4">
        <v>11.1041666667006</v>
      </c>
      <c r="U73" s="4">
        <v>16.7291666667006</v>
      </c>
      <c r="W73" s="4">
        <v>0.370138888890021</v>
      </c>
      <c r="X73" s="4">
        <v>0.557638888890021</v>
      </c>
      <c r="Y73" s="3">
        <v>2363815</v>
      </c>
      <c r="Z73">
        <v>-694313.33055697</v>
      </c>
      <c r="AA73">
        <v>3058128.33055697</v>
      </c>
      <c r="AB73">
        <v>518934.076667669</v>
      </c>
      <c r="AC73">
        <v>264878.47222276</v>
      </c>
      <c r="AD73">
        <v>264878.47222276</v>
      </c>
      <c r="AE73">
        <v>0</v>
      </c>
      <c r="AF73">
        <v>19078.02</v>
      </c>
      <c r="AG73">
        <v>19078.02</v>
      </c>
      <c r="AH73">
        <v>0</v>
      </c>
      <c r="AI73">
        <v>6345.64</v>
      </c>
      <c r="AJ73">
        <v>4029.43</v>
      </c>
      <c r="AK73">
        <v>1806.25</v>
      </c>
      <c r="AL73">
        <v>509.96</v>
      </c>
      <c r="AM73">
        <v>0</v>
      </c>
      <c r="AN73">
        <v>0</v>
      </c>
      <c r="AO73">
        <v>0</v>
      </c>
      <c r="AP73">
        <v>0</v>
      </c>
      <c r="AQ73">
        <v>0</v>
      </c>
      <c r="AR73">
        <v>0</v>
      </c>
      <c r="AS73">
        <v>0</v>
      </c>
      <c r="AT73">
        <v>0</v>
      </c>
      <c r="AU73">
        <v>0</v>
      </c>
      <c r="AV73">
        <v>0</v>
      </c>
      <c r="AW73">
        <v>0</v>
      </c>
      <c r="AX73">
        <v>0</v>
      </c>
      <c r="AY73">
        <v>228631.944444909</v>
      </c>
      <c r="AZ73">
        <v>2539194.2538893</v>
      </c>
      <c r="BA73">
        <v>498236.646666721</v>
      </c>
      <c r="BB73">
        <v>0</v>
      </c>
      <c r="BC73">
        <v>0</v>
      </c>
      <c r="BD73">
        <v>0</v>
      </c>
      <c r="BE73">
        <v>0</v>
      </c>
      <c r="BF73">
        <v>192267</v>
      </c>
      <c r="BG73">
        <v>192267</v>
      </c>
      <c r="BH73">
        <v>0</v>
      </c>
      <c r="BI73">
        <v>0</v>
      </c>
      <c r="BJ73">
        <v>100971</v>
      </c>
      <c r="BK73">
        <v>81432</v>
      </c>
      <c r="BL73">
        <v>81432</v>
      </c>
      <c r="BM73">
        <v>0</v>
      </c>
      <c r="BN73">
        <v>300.76</v>
      </c>
      <c r="BO73">
        <v>110713.086666721</v>
      </c>
      <c r="BP73">
        <v>17766.666666721</v>
      </c>
      <c r="BQ73">
        <v>0</v>
      </c>
      <c r="BR73">
        <v>0</v>
      </c>
      <c r="BS73">
        <v>92946.42</v>
      </c>
      <c r="BT73">
        <v>12552.8</v>
      </c>
      <c r="BU73">
        <v>0</v>
      </c>
      <c r="BV73">
        <v>12552.8</v>
      </c>
      <c r="BW73">
        <v>0</v>
      </c>
      <c r="BX73">
        <v>0</v>
      </c>
      <c r="BY73">
        <v>494332.75</v>
      </c>
      <c r="BZ73">
        <v>262688.51</v>
      </c>
      <c r="CA73">
        <v>143883.2</v>
      </c>
      <c r="CB73">
        <v>0</v>
      </c>
      <c r="CC73">
        <v>118805.31</v>
      </c>
      <c r="CD73">
        <v>231644.24</v>
      </c>
      <c r="CE73">
        <v>201029.1</v>
      </c>
      <c r="CF73">
        <v>30615.14</v>
      </c>
      <c r="CG73">
        <v>0</v>
      </c>
      <c r="CH73">
        <v>1546624.85722258</v>
      </c>
      <c r="CI73">
        <v>302156</v>
      </c>
      <c r="CJ73">
        <v>0</v>
      </c>
      <c r="CK73">
        <v>0</v>
      </c>
      <c r="CL73">
        <v>197606</v>
      </c>
      <c r="CM73">
        <v>48575</v>
      </c>
      <c r="CN73">
        <v>1901</v>
      </c>
      <c r="CO73">
        <v>54074</v>
      </c>
      <c r="CP73">
        <v>158927.083333656</v>
      </c>
      <c r="CQ73">
        <v>15805.29</v>
      </c>
      <c r="CR73">
        <v>2260.67</v>
      </c>
      <c r="CS73">
        <v>11884.62</v>
      </c>
      <c r="CT73">
        <v>0</v>
      </c>
      <c r="CU73">
        <v>500</v>
      </c>
      <c r="CV73">
        <v>0</v>
      </c>
      <c r="CW73">
        <v>0</v>
      </c>
      <c r="CX73">
        <v>1160</v>
      </c>
      <c r="CY73">
        <v>28885.34</v>
      </c>
      <c r="CZ73">
        <v>3650</v>
      </c>
      <c r="DA73">
        <v>0</v>
      </c>
      <c r="DB73">
        <v>0</v>
      </c>
      <c r="DC73">
        <v>660</v>
      </c>
      <c r="DD73">
        <v>9000</v>
      </c>
      <c r="DE73">
        <v>9000</v>
      </c>
      <c r="DF73">
        <v>6575.34</v>
      </c>
      <c r="DG73">
        <v>0</v>
      </c>
      <c r="DH73" s="3">
        <v>343078</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7826</v>
      </c>
      <c r="EG73">
        <v>0</v>
      </c>
      <c r="EH73">
        <v>2700</v>
      </c>
      <c r="EI73">
        <v>210956.52</v>
      </c>
      <c r="EJ73">
        <v>0</v>
      </c>
      <c r="EK73">
        <v>0</v>
      </c>
      <c r="EL73">
        <v>0</v>
      </c>
      <c r="EM73">
        <v>80000</v>
      </c>
      <c r="EN73">
        <v>0</v>
      </c>
      <c r="EO73">
        <v>9875</v>
      </c>
      <c r="EP73">
        <v>0</v>
      </c>
      <c r="EQ73">
        <v>9875</v>
      </c>
      <c r="ER73">
        <v>17164.1250000348</v>
      </c>
      <c r="ES73">
        <v>0</v>
      </c>
      <c r="ET73">
        <v>0</v>
      </c>
      <c r="EU73">
        <v>1800</v>
      </c>
      <c r="EV73" s="4">
        <v>55.7638888890021</v>
      </c>
      <c r="EW73">
        <v>0</v>
      </c>
      <c r="EX73">
        <v>0</v>
      </c>
      <c r="EY73" s="4">
        <v>55.7638888890021</v>
      </c>
      <c r="EZ73">
        <v>0</v>
      </c>
      <c r="FA73">
        <v>0</v>
      </c>
      <c r="FB73">
        <v>0</v>
      </c>
      <c r="FC73">
        <v>0</v>
      </c>
      <c r="FD73">
        <v>0</v>
      </c>
      <c r="FE73">
        <v>0</v>
      </c>
      <c r="FF73">
        <v>0</v>
      </c>
      <c r="FG73">
        <v>0</v>
      </c>
      <c r="FH73">
        <v>0</v>
      </c>
      <c r="FI73" s="4">
        <v>256288.92</v>
      </c>
      <c r="FJ73">
        <v>36482.02</v>
      </c>
      <c r="FK73">
        <v>36482.02</v>
      </c>
      <c r="FL73">
        <v>0</v>
      </c>
      <c r="FM73" s="4">
        <v>1346.53</v>
      </c>
      <c r="FN73">
        <v>0</v>
      </c>
      <c r="FO73">
        <v>0</v>
      </c>
      <c r="FP73">
        <v>0</v>
      </c>
      <c r="FQ73">
        <v>0</v>
      </c>
      <c r="FR73">
        <v>1346.53</v>
      </c>
      <c r="FS73">
        <v>0</v>
      </c>
      <c r="FT73">
        <v>18910.52</v>
      </c>
      <c r="FU73">
        <v>47276.3</v>
      </c>
      <c r="FV73">
        <v>7091.445</v>
      </c>
      <c r="FY73">
        <v>2363815</v>
      </c>
      <c r="FZ73">
        <v>3058128.33055697</v>
      </c>
      <c r="GA73">
        <v>518934.076667669</v>
      </c>
      <c r="GB73">
        <v>2539194.2538893</v>
      </c>
      <c r="GC73">
        <v>-175379.253889301</v>
      </c>
      <c r="GD73">
        <v>-0.0741933078050951</v>
      </c>
      <c r="GE73">
        <v>-694313.33055697</v>
      </c>
      <c r="GF73">
        <v>-0.293725748655022</v>
      </c>
      <c r="GJ73">
        <v>45733.3333333333</v>
      </c>
      <c r="GL73">
        <v>45738.9583333333</v>
      </c>
      <c r="GO73">
        <v>45741.8333333333</v>
      </c>
      <c r="GR73" t="s">
        <v>694</v>
      </c>
      <c r="GU73" t="s">
        <v>694</v>
      </c>
      <c r="HA73">
        <v>45743.3333333333</v>
      </c>
      <c r="HB73">
        <v>45750.0625</v>
      </c>
      <c r="HE73">
        <v>38</v>
      </c>
      <c r="HF73">
        <v>7</v>
      </c>
      <c r="HG73">
        <v>12</v>
      </c>
      <c r="HH73">
        <v>19</v>
      </c>
      <c r="HK73">
        <v>29</v>
      </c>
      <c r="HL73">
        <v>22</v>
      </c>
      <c r="HM73">
        <v>4</v>
      </c>
      <c r="HN73">
        <v>6</v>
      </c>
      <c r="HO73">
        <v>3</v>
      </c>
      <c r="HP73">
        <v>9</v>
      </c>
      <c r="HQ73">
        <v>129</v>
      </c>
      <c r="HR73">
        <v>64</v>
      </c>
      <c r="HU73" s="10"/>
    </row>
    <row r="74" spans="1:229">
      <c r="A74" s="1">
        <f t="shared" si="1"/>
        <v>73</v>
      </c>
      <c r="B74" s="2">
        <v>2025</v>
      </c>
      <c r="C74" s="2" t="s">
        <v>35</v>
      </c>
      <c r="D74" s="2" t="s">
        <v>27</v>
      </c>
      <c r="E74" s="9">
        <v>70318</v>
      </c>
      <c r="F74" s="2" t="s">
        <v>709</v>
      </c>
      <c r="G74" s="2" t="s">
        <v>28</v>
      </c>
      <c r="H74" s="2" t="s">
        <v>743</v>
      </c>
      <c r="I74" s="2" t="s">
        <v>789</v>
      </c>
      <c r="J74" t="s">
        <v>323</v>
      </c>
      <c r="K74" t="s">
        <v>31</v>
      </c>
      <c r="L74" t="s">
        <v>38</v>
      </c>
      <c r="M74">
        <v>2</v>
      </c>
      <c r="N74">
        <v>6040</v>
      </c>
      <c r="O74" s="3">
        <v>6040</v>
      </c>
      <c r="P74" s="4">
        <v>4.33333333329938</v>
      </c>
      <c r="Q74" s="4">
        <v>3.7</v>
      </c>
      <c r="R74" s="4">
        <v>24.1493055555984</v>
      </c>
      <c r="S74" s="4">
        <v>1.875</v>
      </c>
      <c r="T74" s="4">
        <v>26.0243055555984</v>
      </c>
      <c r="U74" s="4">
        <v>34.0576388888978</v>
      </c>
      <c r="W74" s="4">
        <v>0.86747685185328</v>
      </c>
      <c r="X74" s="4">
        <v>1.13525462962993</v>
      </c>
      <c r="Y74" s="3">
        <v>9876010.92742105</v>
      </c>
      <c r="Z74">
        <v>-1320912.65858683</v>
      </c>
      <c r="AA74">
        <v>11196923.5860079</v>
      </c>
      <c r="AB74">
        <v>1224633.212778</v>
      </c>
      <c r="AC74">
        <v>368957.754629726</v>
      </c>
      <c r="AD74">
        <v>368957.754629726</v>
      </c>
      <c r="AE74">
        <v>0</v>
      </c>
      <c r="AF74">
        <v>271408.64</v>
      </c>
      <c r="AG74">
        <v>271408.64</v>
      </c>
      <c r="AH74">
        <v>0</v>
      </c>
      <c r="AI74">
        <v>10557.11</v>
      </c>
      <c r="AJ74">
        <v>7747.16</v>
      </c>
      <c r="AK74">
        <v>2809.95</v>
      </c>
      <c r="AL74">
        <v>0</v>
      </c>
      <c r="AM74">
        <v>108255.31</v>
      </c>
      <c r="AN74">
        <v>108255.31</v>
      </c>
      <c r="AO74">
        <v>0</v>
      </c>
      <c r="AP74">
        <v>0</v>
      </c>
      <c r="AQ74">
        <v>0</v>
      </c>
      <c r="AR74">
        <v>0</v>
      </c>
      <c r="AS74">
        <v>0</v>
      </c>
      <c r="AT74">
        <v>0</v>
      </c>
      <c r="AU74">
        <v>0</v>
      </c>
      <c r="AV74">
        <v>0</v>
      </c>
      <c r="AW74">
        <v>0</v>
      </c>
      <c r="AX74">
        <v>0</v>
      </c>
      <c r="AY74">
        <v>465454.398148271</v>
      </c>
      <c r="AZ74">
        <v>9972290.37322988</v>
      </c>
      <c r="BA74">
        <v>4953797.23748896</v>
      </c>
      <c r="BB74">
        <v>413945.8344</v>
      </c>
      <c r="BC74">
        <v>413945.8344</v>
      </c>
      <c r="BD74">
        <v>0</v>
      </c>
      <c r="BE74">
        <v>0</v>
      </c>
      <c r="BF74">
        <v>3098417</v>
      </c>
      <c r="BG74">
        <v>3098417</v>
      </c>
      <c r="BH74">
        <v>0</v>
      </c>
      <c r="BI74">
        <v>2836.62</v>
      </c>
      <c r="BJ74">
        <v>100126</v>
      </c>
      <c r="BK74">
        <v>941377.5</v>
      </c>
      <c r="BL74">
        <v>941377.5</v>
      </c>
      <c r="BM74">
        <v>0</v>
      </c>
      <c r="BN74">
        <v>177277.3542</v>
      </c>
      <c r="BO74">
        <v>133433.108888957</v>
      </c>
      <c r="BP74">
        <v>41638.8888889574</v>
      </c>
      <c r="BQ74">
        <v>0</v>
      </c>
      <c r="BR74">
        <v>0</v>
      </c>
      <c r="BS74">
        <v>91794.22</v>
      </c>
      <c r="BT74">
        <v>86383.82</v>
      </c>
      <c r="BU74">
        <v>0</v>
      </c>
      <c r="BV74">
        <v>86383.82</v>
      </c>
      <c r="BW74">
        <v>0</v>
      </c>
      <c r="BX74">
        <v>0</v>
      </c>
      <c r="BY74">
        <v>114511.33</v>
      </c>
      <c r="BZ74">
        <v>10732.27</v>
      </c>
      <c r="CA74">
        <v>10732.27</v>
      </c>
      <c r="CB74">
        <v>0</v>
      </c>
      <c r="CC74">
        <v>0</v>
      </c>
      <c r="CD74">
        <v>103779.06</v>
      </c>
      <c r="CE74">
        <v>0</v>
      </c>
      <c r="CF74">
        <v>103779.06</v>
      </c>
      <c r="CG74">
        <v>0</v>
      </c>
      <c r="CH74">
        <v>4903981.80574092</v>
      </c>
      <c r="CI74">
        <v>111957</v>
      </c>
      <c r="CJ74">
        <v>0</v>
      </c>
      <c r="CK74">
        <v>26588</v>
      </c>
      <c r="CL74">
        <v>0</v>
      </c>
      <c r="CM74">
        <v>51156</v>
      </c>
      <c r="CN74">
        <v>5012</v>
      </c>
      <c r="CO74">
        <v>29201</v>
      </c>
      <c r="CP74">
        <v>442749.305555673</v>
      </c>
      <c r="CQ74">
        <v>28995.01</v>
      </c>
      <c r="CR74">
        <v>9737.9</v>
      </c>
      <c r="CS74">
        <v>17797.11</v>
      </c>
      <c r="CT74">
        <v>0</v>
      </c>
      <c r="CU74">
        <v>500</v>
      </c>
      <c r="CV74">
        <v>0</v>
      </c>
      <c r="CW74">
        <v>0</v>
      </c>
      <c r="CX74">
        <v>960</v>
      </c>
      <c r="CY74">
        <v>28268.94</v>
      </c>
      <c r="CZ74">
        <v>3650</v>
      </c>
      <c r="DA74">
        <v>0</v>
      </c>
      <c r="DB74">
        <v>142</v>
      </c>
      <c r="DC74">
        <v>528</v>
      </c>
      <c r="DD74">
        <v>9000</v>
      </c>
      <c r="DE74">
        <v>9000</v>
      </c>
      <c r="DF74">
        <v>5948.94</v>
      </c>
      <c r="DG74">
        <v>0</v>
      </c>
      <c r="DH74" s="3">
        <v>1158332</v>
      </c>
      <c r="DI74">
        <v>144609.31</v>
      </c>
      <c r="DJ74">
        <v>0</v>
      </c>
      <c r="DK74">
        <v>114580</v>
      </c>
      <c r="DL74">
        <v>0</v>
      </c>
      <c r="DM74">
        <v>0</v>
      </c>
      <c r="DN74">
        <v>0</v>
      </c>
      <c r="DO74">
        <v>0</v>
      </c>
      <c r="DP74">
        <v>30029.31</v>
      </c>
      <c r="DQ74">
        <v>237710.6</v>
      </c>
      <c r="DR74">
        <v>0</v>
      </c>
      <c r="DS74">
        <v>0</v>
      </c>
      <c r="DT74">
        <v>17710.6</v>
      </c>
      <c r="DU74">
        <v>0</v>
      </c>
      <c r="DV74">
        <v>0</v>
      </c>
      <c r="DW74">
        <v>0</v>
      </c>
      <c r="DX74">
        <v>0</v>
      </c>
      <c r="DY74">
        <v>220000</v>
      </c>
      <c r="DZ74">
        <v>0</v>
      </c>
      <c r="EA74">
        <v>0</v>
      </c>
      <c r="EB74">
        <v>0</v>
      </c>
      <c r="EC74">
        <v>0</v>
      </c>
      <c r="ED74">
        <v>0</v>
      </c>
      <c r="EE74">
        <v>0</v>
      </c>
      <c r="EF74">
        <v>54730</v>
      </c>
      <c r="EG74">
        <v>0</v>
      </c>
      <c r="EH74">
        <v>72000</v>
      </c>
      <c r="EI74">
        <v>1650568.59</v>
      </c>
      <c r="EJ74">
        <v>0</v>
      </c>
      <c r="EK74">
        <v>553504</v>
      </c>
      <c r="EL74">
        <v>0</v>
      </c>
      <c r="EM74">
        <v>0</v>
      </c>
      <c r="EN74">
        <v>0</v>
      </c>
      <c r="EO74">
        <v>75970</v>
      </c>
      <c r="EP74">
        <v>75970</v>
      </c>
      <c r="EQ74">
        <v>0</v>
      </c>
      <c r="ER74">
        <v>35862.6937500094</v>
      </c>
      <c r="ES74">
        <v>0</v>
      </c>
      <c r="ET74">
        <v>0</v>
      </c>
      <c r="EU74">
        <v>2400</v>
      </c>
      <c r="EV74" s="4">
        <v>168.017685185229</v>
      </c>
      <c r="EW74">
        <v>0</v>
      </c>
      <c r="EX74">
        <v>0</v>
      </c>
      <c r="EY74" s="4">
        <v>168.017685185229</v>
      </c>
      <c r="EZ74">
        <v>0</v>
      </c>
      <c r="FA74">
        <v>0</v>
      </c>
      <c r="FB74">
        <v>0</v>
      </c>
      <c r="FC74">
        <v>0</v>
      </c>
      <c r="FD74">
        <v>0</v>
      </c>
      <c r="FE74">
        <v>0</v>
      </c>
      <c r="FF74">
        <v>0</v>
      </c>
      <c r="FG74">
        <v>0</v>
      </c>
      <c r="FH74">
        <v>0</v>
      </c>
      <c r="FI74" s="4">
        <v>0</v>
      </c>
      <c r="FJ74">
        <v>0</v>
      </c>
      <c r="FK74">
        <v>0</v>
      </c>
      <c r="FL74">
        <v>0</v>
      </c>
      <c r="FM74" s="4">
        <v>0</v>
      </c>
      <c r="FN74">
        <v>0</v>
      </c>
      <c r="FO74">
        <v>0</v>
      </c>
      <c r="FP74">
        <v>0</v>
      </c>
      <c r="FQ74">
        <v>0</v>
      </c>
      <c r="FR74">
        <v>0</v>
      </c>
      <c r="FS74">
        <v>0</v>
      </c>
      <c r="FT74">
        <v>79008.0874193684</v>
      </c>
      <c r="FU74">
        <v>197520.218548421</v>
      </c>
      <c r="FV74">
        <v>29628.0327822632</v>
      </c>
      <c r="FY74">
        <v>9876010.92742105</v>
      </c>
      <c r="FZ74">
        <v>11196923.5860079</v>
      </c>
      <c r="GA74">
        <v>1224633.212778</v>
      </c>
      <c r="GB74">
        <v>9972290.37322988</v>
      </c>
      <c r="GC74">
        <v>-96279.4458088297</v>
      </c>
      <c r="GD74">
        <v>-0.00974881928709768</v>
      </c>
      <c r="GE74">
        <v>-1320912.65858683</v>
      </c>
      <c r="GF74">
        <v>-0.133749614929979</v>
      </c>
      <c r="GJ74">
        <v>45658.4166666667</v>
      </c>
      <c r="GL74">
        <v>45662.75</v>
      </c>
      <c r="GM74">
        <v>45668.375</v>
      </c>
      <c r="GN74">
        <v>45670.0243055556</v>
      </c>
      <c r="GO74">
        <v>45745.9583333333</v>
      </c>
      <c r="HA74">
        <v>45762.8333333333</v>
      </c>
      <c r="HB74">
        <v>45764.7083333333</v>
      </c>
      <c r="HE74">
        <v>39</v>
      </c>
      <c r="HF74">
        <v>2</v>
      </c>
      <c r="HG74">
        <v>11</v>
      </c>
      <c r="HH74">
        <v>26</v>
      </c>
      <c r="HK74">
        <v>251</v>
      </c>
      <c r="HL74">
        <v>94</v>
      </c>
      <c r="HM74">
        <v>130</v>
      </c>
      <c r="HN74">
        <v>31</v>
      </c>
      <c r="HO74">
        <v>0</v>
      </c>
      <c r="HP74">
        <v>19</v>
      </c>
      <c r="HQ74">
        <v>92</v>
      </c>
      <c r="HR74">
        <v>16</v>
      </c>
      <c r="HU74" s="10"/>
    </row>
    <row r="75" spans="1:229">
      <c r="A75" s="1">
        <f t="shared" si="1"/>
        <v>74</v>
      </c>
      <c r="B75" s="2">
        <v>2025</v>
      </c>
      <c r="C75" s="2" t="s">
        <v>35</v>
      </c>
      <c r="D75" s="2" t="s">
        <v>27</v>
      </c>
      <c r="E75" s="9">
        <v>70111</v>
      </c>
      <c r="F75" s="2" t="s">
        <v>790</v>
      </c>
      <c r="G75" s="2" t="s">
        <v>28</v>
      </c>
      <c r="H75" s="2" t="s">
        <v>692</v>
      </c>
      <c r="I75" s="2" t="s">
        <v>791</v>
      </c>
      <c r="J75" t="s">
        <v>322</v>
      </c>
      <c r="K75" t="s">
        <v>31</v>
      </c>
      <c r="L75" t="s">
        <v>38</v>
      </c>
      <c r="M75">
        <v>2</v>
      </c>
      <c r="N75">
        <v>4874</v>
      </c>
      <c r="O75" s="3">
        <v>4804</v>
      </c>
      <c r="P75" s="4">
        <v>36.375</v>
      </c>
      <c r="R75" s="4">
        <v>30.625</v>
      </c>
      <c r="S75" s="4">
        <v>8.29166666670062</v>
      </c>
      <c r="T75" s="4">
        <v>38.9166666667006</v>
      </c>
      <c r="U75" s="4">
        <v>75.2916666667006</v>
      </c>
      <c r="W75" s="4">
        <v>1.29722222222335</v>
      </c>
      <c r="X75" s="4">
        <v>2.50972222222335</v>
      </c>
      <c r="Y75" s="3">
        <v>19700000</v>
      </c>
      <c r="Z75">
        <v>2539693.38519869</v>
      </c>
      <c r="AA75">
        <v>17160306.6148013</v>
      </c>
      <c r="AB75">
        <v>2806212.24444533</v>
      </c>
      <c r="AC75">
        <v>941145.833333758</v>
      </c>
      <c r="AD75">
        <v>941145.833333758</v>
      </c>
      <c r="AE75">
        <v>0</v>
      </c>
      <c r="AF75">
        <v>418992.51</v>
      </c>
      <c r="AG75">
        <v>74741.38</v>
      </c>
      <c r="AH75">
        <v>344251.13</v>
      </c>
      <c r="AI75">
        <v>29508.11</v>
      </c>
      <c r="AJ75">
        <v>13373.41</v>
      </c>
      <c r="AK75">
        <v>16134.7</v>
      </c>
      <c r="AL75">
        <v>0</v>
      </c>
      <c r="AM75">
        <v>387579.68</v>
      </c>
      <c r="AN75">
        <v>0</v>
      </c>
      <c r="AO75">
        <v>0</v>
      </c>
      <c r="AP75">
        <v>387579.68</v>
      </c>
      <c r="AQ75">
        <v>0</v>
      </c>
      <c r="AR75">
        <v>0</v>
      </c>
      <c r="AS75">
        <v>0</v>
      </c>
      <c r="AT75">
        <v>0</v>
      </c>
      <c r="AU75">
        <v>0</v>
      </c>
      <c r="AV75">
        <v>0</v>
      </c>
      <c r="AW75">
        <v>0</v>
      </c>
      <c r="AX75">
        <v>0</v>
      </c>
      <c r="AY75">
        <v>1028986.11111157</v>
      </c>
      <c r="AZ75">
        <v>14354094.370356</v>
      </c>
      <c r="BA75">
        <v>3218931.03646672</v>
      </c>
      <c r="BB75">
        <v>295819.8948</v>
      </c>
      <c r="BC75">
        <v>295819.8948</v>
      </c>
      <c r="BD75">
        <v>0</v>
      </c>
      <c r="BE75">
        <v>0</v>
      </c>
      <c r="BF75">
        <v>1478759</v>
      </c>
      <c r="BG75">
        <v>1478759</v>
      </c>
      <c r="BH75">
        <v>0</v>
      </c>
      <c r="BI75">
        <v>29980.3194</v>
      </c>
      <c r="BJ75">
        <v>0</v>
      </c>
      <c r="BK75">
        <v>684496.66</v>
      </c>
      <c r="BL75">
        <v>612350</v>
      </c>
      <c r="BM75">
        <v>72146.66</v>
      </c>
      <c r="BN75">
        <v>315633.1856</v>
      </c>
      <c r="BO75">
        <v>298777.126666721</v>
      </c>
      <c r="BP75">
        <v>62266.666666721</v>
      </c>
      <c r="BQ75">
        <v>0</v>
      </c>
      <c r="BR75">
        <v>0</v>
      </c>
      <c r="BS75">
        <v>236510.46</v>
      </c>
      <c r="BT75">
        <v>115464.85</v>
      </c>
      <c r="BU75">
        <v>0</v>
      </c>
      <c r="BV75">
        <v>115464.85</v>
      </c>
      <c r="BW75">
        <v>0</v>
      </c>
      <c r="BX75">
        <v>0</v>
      </c>
      <c r="BY75">
        <v>543835.99</v>
      </c>
      <c r="BZ75">
        <v>230581.04</v>
      </c>
      <c r="CA75">
        <v>0</v>
      </c>
      <c r="CB75">
        <v>0</v>
      </c>
      <c r="CC75">
        <v>230581.04</v>
      </c>
      <c r="CD75">
        <v>313254.95</v>
      </c>
      <c r="CE75">
        <v>313254.95</v>
      </c>
      <c r="CF75">
        <v>0</v>
      </c>
      <c r="CG75">
        <v>0</v>
      </c>
      <c r="CH75">
        <v>10591327.3438893</v>
      </c>
      <c r="CI75">
        <v>794833</v>
      </c>
      <c r="CJ75">
        <v>0</v>
      </c>
      <c r="CK75">
        <v>0</v>
      </c>
      <c r="CL75">
        <v>430208</v>
      </c>
      <c r="CM75">
        <v>201136</v>
      </c>
      <c r="CN75">
        <v>11005</v>
      </c>
      <c r="CO75">
        <v>152484</v>
      </c>
      <c r="CP75">
        <v>752916.666667005</v>
      </c>
      <c r="CQ75">
        <v>18494</v>
      </c>
      <c r="CR75">
        <v>5726</v>
      </c>
      <c r="CS75">
        <v>11308</v>
      </c>
      <c r="CT75">
        <v>0</v>
      </c>
      <c r="CU75">
        <v>500</v>
      </c>
      <c r="CV75">
        <v>0</v>
      </c>
      <c r="CW75">
        <v>0</v>
      </c>
      <c r="CX75">
        <v>960</v>
      </c>
      <c r="CY75">
        <v>29948.34</v>
      </c>
      <c r="CZ75">
        <v>3650</v>
      </c>
      <c r="DA75">
        <v>0</v>
      </c>
      <c r="DB75">
        <v>1360</v>
      </c>
      <c r="DC75">
        <v>0</v>
      </c>
      <c r="DD75">
        <v>9000</v>
      </c>
      <c r="DE75">
        <v>9000</v>
      </c>
      <c r="DF75">
        <v>4424.34</v>
      </c>
      <c r="DG75">
        <v>2514</v>
      </c>
      <c r="DH75" s="3">
        <v>2277898</v>
      </c>
      <c r="DI75">
        <v>96757.5</v>
      </c>
      <c r="DJ75">
        <v>0</v>
      </c>
      <c r="DK75">
        <v>0</v>
      </c>
      <c r="DL75">
        <v>0</v>
      </c>
      <c r="DM75">
        <v>0</v>
      </c>
      <c r="DN75">
        <v>0</v>
      </c>
      <c r="DO75">
        <v>0</v>
      </c>
      <c r="DP75">
        <v>96757.5</v>
      </c>
      <c r="DQ75">
        <v>393317.5</v>
      </c>
      <c r="DR75">
        <v>0</v>
      </c>
      <c r="DS75">
        <v>0</v>
      </c>
      <c r="DT75">
        <v>68317.5</v>
      </c>
      <c r="DU75">
        <v>0</v>
      </c>
      <c r="DV75">
        <v>0</v>
      </c>
      <c r="DW75">
        <v>0</v>
      </c>
      <c r="DX75">
        <v>0</v>
      </c>
      <c r="DY75">
        <v>325000</v>
      </c>
      <c r="DZ75">
        <v>0</v>
      </c>
      <c r="EA75">
        <v>0</v>
      </c>
      <c r="EB75">
        <v>0</v>
      </c>
      <c r="EC75">
        <v>0</v>
      </c>
      <c r="ED75">
        <v>0</v>
      </c>
      <c r="EE75">
        <v>0</v>
      </c>
      <c r="EF75">
        <v>12444</v>
      </c>
      <c r="EG75">
        <v>0</v>
      </c>
      <c r="EH75">
        <v>2400</v>
      </c>
      <c r="EI75">
        <v>-89182.05</v>
      </c>
      <c r="EJ75">
        <v>0</v>
      </c>
      <c r="EK75">
        <v>0</v>
      </c>
      <c r="EL75">
        <v>0</v>
      </c>
      <c r="EM75">
        <v>0</v>
      </c>
      <c r="EN75">
        <v>0</v>
      </c>
      <c r="EO75">
        <v>152169.9</v>
      </c>
      <c r="EP75">
        <v>152169.9</v>
      </c>
      <c r="EQ75">
        <v>0</v>
      </c>
      <c r="ER75">
        <v>71150.6250000321</v>
      </c>
      <c r="ES75">
        <v>0</v>
      </c>
      <c r="ET75">
        <v>0</v>
      </c>
      <c r="EU75">
        <v>47520</v>
      </c>
      <c r="EV75" s="4">
        <v>250.972222222335</v>
      </c>
      <c r="EW75">
        <v>0</v>
      </c>
      <c r="EX75">
        <v>0</v>
      </c>
      <c r="EY75" s="4">
        <v>250.972222222335</v>
      </c>
      <c r="EZ75">
        <v>5100000</v>
      </c>
      <c r="FA75">
        <v>0</v>
      </c>
      <c r="FB75">
        <v>0</v>
      </c>
      <c r="FC75">
        <v>0</v>
      </c>
      <c r="FD75">
        <v>5100000</v>
      </c>
      <c r="FE75">
        <v>0</v>
      </c>
      <c r="FF75">
        <v>0</v>
      </c>
      <c r="FG75">
        <v>0</v>
      </c>
      <c r="FH75">
        <v>0</v>
      </c>
      <c r="FI75" s="4">
        <v>277540.96</v>
      </c>
      <c r="FJ75">
        <v>37039.22</v>
      </c>
      <c r="FK75">
        <v>37039.22</v>
      </c>
      <c r="FL75">
        <v>0</v>
      </c>
      <c r="FM75" s="4">
        <v>5128.71</v>
      </c>
      <c r="FN75">
        <v>0</v>
      </c>
      <c r="FO75">
        <v>0</v>
      </c>
      <c r="FP75">
        <v>0</v>
      </c>
      <c r="FQ75">
        <v>0</v>
      </c>
      <c r="FR75">
        <v>5128.71</v>
      </c>
      <c r="FS75">
        <v>0</v>
      </c>
      <c r="FT75">
        <v>157600</v>
      </c>
      <c r="FU75">
        <v>394000</v>
      </c>
      <c r="FV75">
        <v>59100</v>
      </c>
      <c r="FY75">
        <v>19700000</v>
      </c>
      <c r="FZ75">
        <v>17160306.6148013</v>
      </c>
      <c r="GA75">
        <v>2806212.24444533</v>
      </c>
      <c r="GB75">
        <v>14354094.370356</v>
      </c>
      <c r="GC75">
        <v>5345905.62964402</v>
      </c>
      <c r="GD75">
        <v>0.271365768002234</v>
      </c>
      <c r="GE75">
        <v>2539693.38519869</v>
      </c>
      <c r="GF75">
        <v>0.128918445949172</v>
      </c>
      <c r="GJ75">
        <v>45693.3333333333</v>
      </c>
      <c r="GL75">
        <v>45729.7083333333</v>
      </c>
      <c r="GO75">
        <v>45752.4791666667</v>
      </c>
      <c r="GR75" t="s">
        <v>694</v>
      </c>
      <c r="GU75" t="s">
        <v>694</v>
      </c>
      <c r="HA75">
        <v>45760.3333333333</v>
      </c>
      <c r="HB75">
        <v>45768.625</v>
      </c>
      <c r="HE75">
        <v>35</v>
      </c>
      <c r="HF75">
        <v>6</v>
      </c>
      <c r="HG75">
        <v>9</v>
      </c>
      <c r="HH75">
        <v>20</v>
      </c>
      <c r="HK75">
        <v>171</v>
      </c>
      <c r="HL75">
        <v>171</v>
      </c>
      <c r="HM75">
        <v>13</v>
      </c>
      <c r="HN75">
        <v>11</v>
      </c>
      <c r="HO75">
        <v>0</v>
      </c>
      <c r="HP75">
        <v>49</v>
      </c>
      <c r="HQ75">
        <v>407</v>
      </c>
      <c r="HR75">
        <v>87</v>
      </c>
      <c r="HU75" s="10"/>
    </row>
    <row r="76" spans="1:229">
      <c r="A76" s="1">
        <f t="shared" si="1"/>
        <v>75</v>
      </c>
      <c r="B76" s="2">
        <v>2025</v>
      </c>
      <c r="C76" s="2" t="s">
        <v>39</v>
      </c>
      <c r="D76" s="2" t="s">
        <v>27</v>
      </c>
      <c r="E76" s="9">
        <v>50537</v>
      </c>
      <c r="F76" s="2" t="s">
        <v>736</v>
      </c>
      <c r="G76" s="2" t="s">
        <v>36</v>
      </c>
      <c r="H76" s="2" t="s">
        <v>711</v>
      </c>
      <c r="I76" s="2" t="s">
        <v>40</v>
      </c>
      <c r="J76" t="s">
        <v>309</v>
      </c>
      <c r="K76" t="s">
        <v>41</v>
      </c>
      <c r="L76" t="s">
        <v>32</v>
      </c>
      <c r="M76">
        <v>2</v>
      </c>
      <c r="N76">
        <v>3436</v>
      </c>
      <c r="O76" s="3">
        <v>3523</v>
      </c>
      <c r="P76" s="4">
        <v>5.8125</v>
      </c>
      <c r="R76" s="4">
        <v>19.4583333334012</v>
      </c>
      <c r="S76" s="4">
        <v>5.20833333329938</v>
      </c>
      <c r="T76" s="4">
        <v>24.6666666667006</v>
      </c>
      <c r="U76" s="4">
        <v>30.4791666667006</v>
      </c>
      <c r="W76" s="4">
        <v>0.822222222223354</v>
      </c>
      <c r="X76" s="4">
        <v>1.01597222222335</v>
      </c>
      <c r="Y76" s="3">
        <v>5036504</v>
      </c>
      <c r="Z76">
        <v>218399.103905975</v>
      </c>
      <c r="AA76">
        <v>4818104.89609403</v>
      </c>
      <c r="AB76">
        <v>806506.198889747</v>
      </c>
      <c r="AC76">
        <v>355590.277778174</v>
      </c>
      <c r="AD76">
        <v>355590.277778174</v>
      </c>
      <c r="AE76">
        <v>0</v>
      </c>
      <c r="AF76">
        <v>26190.08</v>
      </c>
      <c r="AG76">
        <v>26190.08</v>
      </c>
      <c r="AH76">
        <v>0</v>
      </c>
      <c r="AI76">
        <v>8177.23</v>
      </c>
      <c r="AJ76">
        <v>5047.45</v>
      </c>
      <c r="AK76">
        <v>3129.78</v>
      </c>
      <c r="AL76">
        <v>0</v>
      </c>
      <c r="AM76">
        <v>0</v>
      </c>
      <c r="AN76">
        <v>0</v>
      </c>
      <c r="AO76">
        <v>0</v>
      </c>
      <c r="AP76">
        <v>0</v>
      </c>
      <c r="AQ76">
        <v>0</v>
      </c>
      <c r="AR76">
        <v>0</v>
      </c>
      <c r="AS76">
        <v>0</v>
      </c>
      <c r="AT76">
        <v>0</v>
      </c>
      <c r="AU76">
        <v>0</v>
      </c>
      <c r="AV76">
        <v>0</v>
      </c>
      <c r="AW76">
        <v>0</v>
      </c>
      <c r="AX76">
        <v>0</v>
      </c>
      <c r="AY76">
        <v>416548.611111574</v>
      </c>
      <c r="AZ76">
        <v>4011598.69720428</v>
      </c>
      <c r="BA76">
        <v>1249588.53746672</v>
      </c>
      <c r="BB76">
        <v>23028.12</v>
      </c>
      <c r="BC76">
        <v>0</v>
      </c>
      <c r="BD76">
        <v>23028.12</v>
      </c>
      <c r="BE76">
        <v>0</v>
      </c>
      <c r="BF76">
        <v>231639</v>
      </c>
      <c r="BG76">
        <v>231639</v>
      </c>
      <c r="BH76">
        <v>0</v>
      </c>
      <c r="BI76">
        <v>0</v>
      </c>
      <c r="BJ76">
        <v>549120</v>
      </c>
      <c r="BK76">
        <v>10040</v>
      </c>
      <c r="BL76">
        <v>10040</v>
      </c>
      <c r="BM76">
        <v>0</v>
      </c>
      <c r="BN76">
        <v>40185.0008</v>
      </c>
      <c r="BO76">
        <v>130821.416666721</v>
      </c>
      <c r="BP76">
        <v>48766.666666721</v>
      </c>
      <c r="BQ76">
        <v>2570.4</v>
      </c>
      <c r="BR76">
        <v>0</v>
      </c>
      <c r="BS76">
        <v>79484.35</v>
      </c>
      <c r="BT76">
        <v>264755</v>
      </c>
      <c r="BU76">
        <v>221949</v>
      </c>
      <c r="BV76">
        <v>42806</v>
      </c>
      <c r="BW76">
        <v>0</v>
      </c>
      <c r="BX76">
        <v>0</v>
      </c>
      <c r="BY76">
        <v>6725.66</v>
      </c>
      <c r="BZ76">
        <v>6725.66</v>
      </c>
      <c r="CA76">
        <v>6725.66</v>
      </c>
      <c r="CB76">
        <v>0</v>
      </c>
      <c r="CC76">
        <v>0</v>
      </c>
      <c r="CD76">
        <v>0</v>
      </c>
      <c r="CE76">
        <v>0</v>
      </c>
      <c r="CF76">
        <v>0</v>
      </c>
      <c r="CG76">
        <v>0</v>
      </c>
      <c r="CH76">
        <v>2755284.49973756</v>
      </c>
      <c r="CI76">
        <v>216448</v>
      </c>
      <c r="CJ76">
        <v>0</v>
      </c>
      <c r="CK76">
        <v>0</v>
      </c>
      <c r="CL76">
        <v>69079</v>
      </c>
      <c r="CM76">
        <v>31652</v>
      </c>
      <c r="CN76">
        <v>3564</v>
      </c>
      <c r="CO76">
        <v>112153</v>
      </c>
      <c r="CP76">
        <v>274312.500000304</v>
      </c>
      <c r="CQ76">
        <v>11411.8</v>
      </c>
      <c r="CR76">
        <v>2843.1</v>
      </c>
      <c r="CS76">
        <v>7108.7</v>
      </c>
      <c r="CT76">
        <v>0</v>
      </c>
      <c r="CU76">
        <v>500</v>
      </c>
      <c r="CV76">
        <v>0</v>
      </c>
      <c r="CW76">
        <v>0</v>
      </c>
      <c r="CX76">
        <v>960</v>
      </c>
      <c r="CY76">
        <v>29407.34</v>
      </c>
      <c r="CZ76">
        <v>3650</v>
      </c>
      <c r="DA76">
        <v>0</v>
      </c>
      <c r="DB76">
        <v>0</v>
      </c>
      <c r="DC76">
        <v>0</v>
      </c>
      <c r="DD76">
        <v>9000</v>
      </c>
      <c r="DE76">
        <v>9000</v>
      </c>
      <c r="DF76">
        <v>7757.34</v>
      </c>
      <c r="DG76">
        <v>0</v>
      </c>
      <c r="DH76" s="3">
        <v>493394</v>
      </c>
      <c r="DI76">
        <v>79135</v>
      </c>
      <c r="DJ76">
        <v>0</v>
      </c>
      <c r="DK76">
        <v>79135</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32729</v>
      </c>
      <c r="EG76">
        <v>0</v>
      </c>
      <c r="EH76">
        <v>6000</v>
      </c>
      <c r="EI76">
        <v>415275.11</v>
      </c>
      <c r="EJ76">
        <v>0</v>
      </c>
      <c r="EK76">
        <v>0</v>
      </c>
      <c r="EL76">
        <v>0</v>
      </c>
      <c r="EM76">
        <v>0</v>
      </c>
      <c r="EN76">
        <v>0</v>
      </c>
      <c r="EO76">
        <v>15049.5</v>
      </c>
      <c r="EP76">
        <v>0</v>
      </c>
      <c r="EQ76">
        <v>15049.5</v>
      </c>
      <c r="ER76">
        <v>26334.0000000293</v>
      </c>
      <c r="ES76">
        <v>0</v>
      </c>
      <c r="ET76">
        <v>0</v>
      </c>
      <c r="EU76">
        <v>0</v>
      </c>
      <c r="EV76" s="4">
        <v>101.597222222335</v>
      </c>
      <c r="EW76">
        <v>0</v>
      </c>
      <c r="EX76">
        <v>0</v>
      </c>
      <c r="EY76" s="4">
        <v>101.597222222335</v>
      </c>
      <c r="EZ76">
        <v>0</v>
      </c>
      <c r="FA76">
        <v>0</v>
      </c>
      <c r="FB76">
        <v>0</v>
      </c>
      <c r="FC76">
        <v>0</v>
      </c>
      <c r="FD76">
        <v>0</v>
      </c>
      <c r="FE76">
        <v>0</v>
      </c>
      <c r="FF76">
        <v>0</v>
      </c>
      <c r="FG76">
        <v>0</v>
      </c>
      <c r="FH76">
        <v>0</v>
      </c>
      <c r="FI76" s="4">
        <v>957838.45</v>
      </c>
      <c r="FJ76">
        <v>40231.43</v>
      </c>
      <c r="FK76">
        <v>40231.43</v>
      </c>
      <c r="FL76">
        <v>0</v>
      </c>
      <c r="FM76" s="4">
        <v>1485.148515</v>
      </c>
      <c r="FN76">
        <v>0</v>
      </c>
      <c r="FO76">
        <v>0</v>
      </c>
      <c r="FP76">
        <v>0</v>
      </c>
      <c r="FQ76">
        <v>0</v>
      </c>
      <c r="FR76">
        <v>1485.148515</v>
      </c>
      <c r="FS76">
        <v>0</v>
      </c>
      <c r="FT76">
        <v>40292.032</v>
      </c>
      <c r="FU76">
        <v>100730.08</v>
      </c>
      <c r="FV76">
        <v>15109.512</v>
      </c>
      <c r="FY76">
        <v>5036504</v>
      </c>
      <c r="FZ76">
        <v>4818104.89609403</v>
      </c>
      <c r="GA76">
        <v>806506.198889747</v>
      </c>
      <c r="GB76">
        <v>4011598.69720428</v>
      </c>
      <c r="GC76">
        <v>1024905.30279572</v>
      </c>
      <c r="GD76">
        <v>0.203495381478049</v>
      </c>
      <c r="GE76">
        <v>218399.10390597</v>
      </c>
      <c r="GF76">
        <v>0.0433632344789104</v>
      </c>
      <c r="GJ76">
        <v>45756.3333333333</v>
      </c>
      <c r="GL76">
        <v>45762.1458333333</v>
      </c>
      <c r="GO76">
        <v>45765.7708333333</v>
      </c>
      <c r="GR76" t="s">
        <v>694</v>
      </c>
      <c r="GU76" t="s">
        <v>694</v>
      </c>
      <c r="HA76">
        <v>45781.6041666667</v>
      </c>
      <c r="HB76">
        <v>45786.8125</v>
      </c>
      <c r="HE76">
        <v>32</v>
      </c>
      <c r="HF76">
        <v>4</v>
      </c>
      <c r="HG76">
        <v>10</v>
      </c>
      <c r="HH76">
        <v>18</v>
      </c>
      <c r="HK76">
        <v>141</v>
      </c>
      <c r="HL76">
        <v>34</v>
      </c>
      <c r="HM76">
        <v>51</v>
      </c>
      <c r="HN76">
        <v>7</v>
      </c>
      <c r="HO76">
        <v>0</v>
      </c>
      <c r="HP76">
        <v>6</v>
      </c>
      <c r="HQ76">
        <v>120</v>
      </c>
      <c r="HR76">
        <v>233</v>
      </c>
      <c r="HU76" s="10"/>
    </row>
    <row r="77" spans="1:229">
      <c r="A77" s="1">
        <f t="shared" si="1"/>
        <v>76</v>
      </c>
      <c r="B77" s="2">
        <v>2025</v>
      </c>
      <c r="C77" s="2" t="s">
        <v>39</v>
      </c>
      <c r="D77" s="2" t="s">
        <v>27</v>
      </c>
      <c r="E77" s="9">
        <v>50537</v>
      </c>
      <c r="F77" s="2" t="s">
        <v>736</v>
      </c>
      <c r="G77" s="2" t="s">
        <v>36</v>
      </c>
      <c r="H77" s="2" t="s">
        <v>692</v>
      </c>
      <c r="I77" s="2" t="s">
        <v>42</v>
      </c>
      <c r="J77" t="s">
        <v>30</v>
      </c>
      <c r="K77" t="s">
        <v>31</v>
      </c>
      <c r="L77" t="s">
        <v>38</v>
      </c>
      <c r="M77">
        <v>2</v>
      </c>
      <c r="N77">
        <v>2365</v>
      </c>
      <c r="O77" s="3">
        <v>2314</v>
      </c>
      <c r="P77" s="4">
        <v>4</v>
      </c>
      <c r="R77" s="4">
        <v>8.70833333340124</v>
      </c>
      <c r="S77" s="4">
        <v>1.79166666659876</v>
      </c>
      <c r="T77" s="4">
        <v>10.5</v>
      </c>
      <c r="U77" s="4">
        <v>14.5</v>
      </c>
      <c r="W77" s="4">
        <v>0.35</v>
      </c>
      <c r="X77" s="4">
        <v>0.483333333333333</v>
      </c>
      <c r="Y77" s="3">
        <v>3696002</v>
      </c>
      <c r="Z77">
        <v>302438.637333333</v>
      </c>
      <c r="AA77">
        <v>3393563.36266667</v>
      </c>
      <c r="AB77">
        <v>383408.363333334</v>
      </c>
      <c r="AC77">
        <v>169166.666666667</v>
      </c>
      <c r="AD77">
        <v>169166.666666667</v>
      </c>
      <c r="AE77">
        <v>0</v>
      </c>
      <c r="AF77">
        <v>12250.2</v>
      </c>
      <c r="AG77">
        <v>12250.2</v>
      </c>
      <c r="AH77">
        <v>0</v>
      </c>
      <c r="AI77">
        <v>3824.83</v>
      </c>
      <c r="AJ77">
        <v>2360.9</v>
      </c>
      <c r="AK77">
        <v>1463.93</v>
      </c>
      <c r="AL77">
        <v>0</v>
      </c>
      <c r="AM77">
        <v>0</v>
      </c>
      <c r="AN77">
        <v>0</v>
      </c>
      <c r="AO77">
        <v>0</v>
      </c>
      <c r="AP77">
        <v>0</v>
      </c>
      <c r="AQ77">
        <v>0</v>
      </c>
      <c r="AR77">
        <v>0</v>
      </c>
      <c r="AS77">
        <v>0</v>
      </c>
      <c r="AT77">
        <v>0</v>
      </c>
      <c r="AU77">
        <v>0</v>
      </c>
      <c r="AV77">
        <v>0</v>
      </c>
      <c r="AW77">
        <v>0</v>
      </c>
      <c r="AX77">
        <v>0</v>
      </c>
      <c r="AY77">
        <v>198166.666666667</v>
      </c>
      <c r="AZ77">
        <v>3010154.99933333</v>
      </c>
      <c r="BA77">
        <v>1240459.804</v>
      </c>
      <c r="BB77">
        <v>20295.68</v>
      </c>
      <c r="BC77">
        <v>0</v>
      </c>
      <c r="BD77">
        <v>20295.68</v>
      </c>
      <c r="BE77">
        <v>0</v>
      </c>
      <c r="BF77">
        <v>662644</v>
      </c>
      <c r="BG77">
        <v>662644</v>
      </c>
      <c r="BH77">
        <v>0</v>
      </c>
      <c r="BI77">
        <v>5827.464</v>
      </c>
      <c r="BJ77">
        <v>269217</v>
      </c>
      <c r="BK77">
        <v>0</v>
      </c>
      <c r="BL77">
        <v>0</v>
      </c>
      <c r="BM77">
        <v>0</v>
      </c>
      <c r="BN77">
        <v>34063.49</v>
      </c>
      <c r="BO77">
        <v>91265.67</v>
      </c>
      <c r="BP77">
        <v>23200</v>
      </c>
      <c r="BQ77">
        <v>0</v>
      </c>
      <c r="BR77">
        <v>0</v>
      </c>
      <c r="BS77">
        <v>68065.67</v>
      </c>
      <c r="BT77">
        <v>157146.5</v>
      </c>
      <c r="BU77">
        <v>145782</v>
      </c>
      <c r="BV77">
        <v>11364.5</v>
      </c>
      <c r="BW77">
        <v>0</v>
      </c>
      <c r="BX77">
        <v>0</v>
      </c>
      <c r="BY77">
        <v>13879.65</v>
      </c>
      <c r="BZ77">
        <v>13879.65</v>
      </c>
      <c r="CA77">
        <v>13879.65</v>
      </c>
      <c r="CB77">
        <v>0</v>
      </c>
      <c r="CC77">
        <v>0</v>
      </c>
      <c r="CD77">
        <v>0</v>
      </c>
      <c r="CE77">
        <v>0</v>
      </c>
      <c r="CF77">
        <v>0</v>
      </c>
      <c r="CG77">
        <v>0</v>
      </c>
      <c r="CH77">
        <v>1755815.54533333</v>
      </c>
      <c r="CI77">
        <v>183723</v>
      </c>
      <c r="CJ77">
        <v>0</v>
      </c>
      <c r="CK77">
        <v>0</v>
      </c>
      <c r="CL77">
        <v>69558</v>
      </c>
      <c r="CM77">
        <v>44610</v>
      </c>
      <c r="CN77">
        <v>17341</v>
      </c>
      <c r="CO77">
        <v>52214</v>
      </c>
      <c r="CP77">
        <v>130500</v>
      </c>
      <c r="CQ77">
        <v>2914.8</v>
      </c>
      <c r="CR77">
        <v>1421.6</v>
      </c>
      <c r="CS77">
        <v>1493.2</v>
      </c>
      <c r="CT77">
        <v>0</v>
      </c>
      <c r="CU77">
        <v>0</v>
      </c>
      <c r="CV77">
        <v>0</v>
      </c>
      <c r="CW77">
        <v>0</v>
      </c>
      <c r="CX77">
        <v>0</v>
      </c>
      <c r="CY77">
        <v>32860.17</v>
      </c>
      <c r="CZ77">
        <v>3650</v>
      </c>
      <c r="DA77">
        <v>0</v>
      </c>
      <c r="DB77">
        <v>3452.83</v>
      </c>
      <c r="DC77">
        <v>0</v>
      </c>
      <c r="DD77">
        <v>9000</v>
      </c>
      <c r="DE77">
        <v>9000</v>
      </c>
      <c r="DF77">
        <v>7757.34</v>
      </c>
      <c r="DG77">
        <v>0</v>
      </c>
      <c r="DH77" s="3">
        <v>268277</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21892</v>
      </c>
      <c r="EG77">
        <v>0</v>
      </c>
      <c r="EH77">
        <v>0</v>
      </c>
      <c r="EI77">
        <v>284117.27</v>
      </c>
      <c r="EJ77">
        <v>0</v>
      </c>
      <c r="EK77">
        <v>0</v>
      </c>
      <c r="EL77">
        <v>0</v>
      </c>
      <c r="EM77">
        <v>52753</v>
      </c>
      <c r="EN77">
        <v>0</v>
      </c>
      <c r="EO77">
        <v>9006</v>
      </c>
      <c r="EP77">
        <v>0</v>
      </c>
      <c r="EQ77">
        <v>9006</v>
      </c>
      <c r="ER77">
        <v>12528</v>
      </c>
      <c r="ES77">
        <v>0</v>
      </c>
      <c r="ET77">
        <v>0</v>
      </c>
      <c r="EU77">
        <v>0</v>
      </c>
      <c r="EV77" s="4">
        <v>48.3333333333333</v>
      </c>
      <c r="EW77">
        <v>0</v>
      </c>
      <c r="EX77">
        <v>0</v>
      </c>
      <c r="EY77" s="4">
        <v>48.3333333333333</v>
      </c>
      <c r="EZ77">
        <v>0</v>
      </c>
      <c r="FA77">
        <v>0</v>
      </c>
      <c r="FB77">
        <v>0</v>
      </c>
      <c r="FC77">
        <v>0</v>
      </c>
      <c r="FD77">
        <v>0</v>
      </c>
      <c r="FE77">
        <v>0</v>
      </c>
      <c r="FF77">
        <v>0</v>
      </c>
      <c r="FG77">
        <v>0</v>
      </c>
      <c r="FH77">
        <v>0</v>
      </c>
      <c r="FI77" s="4">
        <v>602388.48</v>
      </c>
      <c r="FJ77">
        <v>40231.43</v>
      </c>
      <c r="FK77">
        <v>40231.43</v>
      </c>
      <c r="FL77">
        <v>0</v>
      </c>
      <c r="FM77" s="4">
        <v>0</v>
      </c>
      <c r="FN77">
        <v>0</v>
      </c>
      <c r="FO77">
        <v>0</v>
      </c>
      <c r="FP77">
        <v>0</v>
      </c>
      <c r="FQ77">
        <v>0</v>
      </c>
      <c r="FR77">
        <v>0</v>
      </c>
      <c r="FS77">
        <v>0</v>
      </c>
      <c r="FT77">
        <v>29568.016</v>
      </c>
      <c r="FU77">
        <v>73920.04</v>
      </c>
      <c r="FV77">
        <v>11088.006</v>
      </c>
      <c r="FY77">
        <v>3696002</v>
      </c>
      <c r="FZ77">
        <v>3393563.36266667</v>
      </c>
      <c r="GA77">
        <v>383408.363333334</v>
      </c>
      <c r="GB77">
        <v>3010154.99933333</v>
      </c>
      <c r="GC77">
        <v>685847.00066667</v>
      </c>
      <c r="GD77">
        <v>0.185564564268815</v>
      </c>
      <c r="GE77">
        <v>302438.63733333</v>
      </c>
      <c r="GF77">
        <v>0.081828591362594</v>
      </c>
      <c r="GJ77">
        <v>45790.3333333333</v>
      </c>
      <c r="GL77">
        <v>45794.3333333333</v>
      </c>
      <c r="GO77">
        <v>45796.875</v>
      </c>
      <c r="GR77" t="s">
        <v>694</v>
      </c>
      <c r="GU77" t="s">
        <v>694</v>
      </c>
      <c r="HA77">
        <v>45803.0416666667</v>
      </c>
      <c r="HB77">
        <v>45804.8333333333</v>
      </c>
      <c r="HE77">
        <v>32</v>
      </c>
      <c r="HF77">
        <v>4</v>
      </c>
      <c r="HG77">
        <v>10</v>
      </c>
      <c r="HH77">
        <v>18</v>
      </c>
      <c r="HK77">
        <v>65</v>
      </c>
      <c r="HL77">
        <v>32</v>
      </c>
      <c r="HM77">
        <v>42</v>
      </c>
      <c r="HN77">
        <v>3</v>
      </c>
      <c r="HO77">
        <v>0</v>
      </c>
      <c r="HP77">
        <v>17</v>
      </c>
      <c r="HQ77">
        <v>72</v>
      </c>
      <c r="HR77">
        <v>21</v>
      </c>
      <c r="HU77" s="10"/>
    </row>
    <row r="78" spans="1:229">
      <c r="A78" s="1">
        <f t="shared" si="1"/>
        <v>77</v>
      </c>
      <c r="B78" s="2">
        <v>2025</v>
      </c>
      <c r="C78" s="2" t="s">
        <v>39</v>
      </c>
      <c r="D78" s="2" t="s">
        <v>27</v>
      </c>
      <c r="E78" s="9">
        <v>70315</v>
      </c>
      <c r="F78" s="2" t="s">
        <v>706</v>
      </c>
      <c r="G78" s="2" t="s">
        <v>28</v>
      </c>
      <c r="H78" s="2" t="s">
        <v>711</v>
      </c>
      <c r="I78" s="2" t="s">
        <v>792</v>
      </c>
      <c r="J78" t="s">
        <v>44</v>
      </c>
      <c r="K78" t="s">
        <v>41</v>
      </c>
      <c r="L78" t="s">
        <v>38</v>
      </c>
      <c r="M78">
        <v>3</v>
      </c>
      <c r="N78">
        <v>5780</v>
      </c>
      <c r="O78" s="3">
        <v>5842</v>
      </c>
      <c r="P78" s="4">
        <v>16.83</v>
      </c>
      <c r="R78" s="4">
        <v>39.38</v>
      </c>
      <c r="S78" s="4">
        <v>7.33</v>
      </c>
      <c r="T78" s="4">
        <v>46.71</v>
      </c>
      <c r="U78" s="4">
        <v>63.55</v>
      </c>
      <c r="W78" s="4">
        <v>1.56</v>
      </c>
      <c r="X78" s="4">
        <v>2.11833333333333</v>
      </c>
      <c r="Y78" s="3">
        <v>23863186</v>
      </c>
      <c r="Z78">
        <v>4869899.78413334</v>
      </c>
      <c r="AA78">
        <v>18993286.2158667</v>
      </c>
      <c r="AB78">
        <v>2856381.14666667</v>
      </c>
      <c r="AC78">
        <v>635466.67</v>
      </c>
      <c r="AD78">
        <v>635466.67</v>
      </c>
      <c r="AE78">
        <v>0</v>
      </c>
      <c r="AF78">
        <v>755880.84</v>
      </c>
      <c r="AG78">
        <v>474682.22</v>
      </c>
      <c r="AH78">
        <v>281198.62</v>
      </c>
      <c r="AI78">
        <v>26467.97</v>
      </c>
      <c r="AJ78">
        <v>6279.79</v>
      </c>
      <c r="AK78">
        <v>6527.57</v>
      </c>
      <c r="AL78">
        <v>13660.61</v>
      </c>
      <c r="AM78">
        <v>570049</v>
      </c>
      <c r="AN78">
        <v>202158.4</v>
      </c>
      <c r="AO78">
        <v>0</v>
      </c>
      <c r="AP78">
        <v>367890.6</v>
      </c>
      <c r="AQ78">
        <v>0</v>
      </c>
      <c r="AR78">
        <v>0</v>
      </c>
      <c r="AS78">
        <v>0</v>
      </c>
      <c r="AT78">
        <v>0</v>
      </c>
      <c r="AU78">
        <v>0</v>
      </c>
      <c r="AV78">
        <v>0</v>
      </c>
      <c r="AW78">
        <v>0</v>
      </c>
      <c r="AX78">
        <v>0</v>
      </c>
      <c r="AY78">
        <v>868516.666666665</v>
      </c>
      <c r="AZ78">
        <v>16136905.0692</v>
      </c>
      <c r="BA78">
        <v>4863612.7492</v>
      </c>
      <c r="BB78">
        <v>201319.8732</v>
      </c>
      <c r="BC78">
        <v>185932.0332</v>
      </c>
      <c r="BD78">
        <v>15387.84</v>
      </c>
      <c r="BE78">
        <v>0</v>
      </c>
      <c r="BF78">
        <v>1647696</v>
      </c>
      <c r="BG78">
        <v>1647696</v>
      </c>
      <c r="BH78">
        <v>0</v>
      </c>
      <c r="BI78">
        <v>3517.344</v>
      </c>
      <c r="BJ78">
        <v>104936</v>
      </c>
      <c r="BK78">
        <v>1424202.8</v>
      </c>
      <c r="BL78">
        <v>938978</v>
      </c>
      <c r="BM78">
        <v>485224.8</v>
      </c>
      <c r="BN78">
        <v>357461.602</v>
      </c>
      <c r="BO78">
        <v>409436.76</v>
      </c>
      <c r="BP78">
        <v>101674.67</v>
      </c>
      <c r="BQ78">
        <v>116467.49</v>
      </c>
      <c r="BR78">
        <v>0</v>
      </c>
      <c r="BS78">
        <v>191294.6</v>
      </c>
      <c r="BT78">
        <v>715042.37</v>
      </c>
      <c r="BU78">
        <v>607568</v>
      </c>
      <c r="BV78">
        <v>107474.37</v>
      </c>
      <c r="BW78">
        <v>0</v>
      </c>
      <c r="BX78">
        <v>0</v>
      </c>
      <c r="BY78">
        <v>345629.41</v>
      </c>
      <c r="BZ78">
        <v>345629.41</v>
      </c>
      <c r="CA78">
        <v>345629.41</v>
      </c>
      <c r="CB78">
        <v>0</v>
      </c>
      <c r="CC78">
        <v>0</v>
      </c>
      <c r="CD78">
        <v>0</v>
      </c>
      <c r="CE78">
        <v>0</v>
      </c>
      <c r="CF78">
        <v>0</v>
      </c>
      <c r="CG78">
        <v>0</v>
      </c>
      <c r="CH78">
        <v>10927662.91</v>
      </c>
      <c r="CI78">
        <v>647400</v>
      </c>
      <c r="CJ78">
        <v>0</v>
      </c>
      <c r="CK78">
        <v>9367</v>
      </c>
      <c r="CL78">
        <v>252599</v>
      </c>
      <c r="CM78">
        <v>131877</v>
      </c>
      <c r="CN78">
        <v>59619</v>
      </c>
      <c r="CO78">
        <v>193938</v>
      </c>
      <c r="CP78">
        <v>794374.999999999</v>
      </c>
      <c r="CQ78">
        <v>22389.32</v>
      </c>
      <c r="CR78">
        <v>3909.3</v>
      </c>
      <c r="CS78">
        <v>17020.02</v>
      </c>
      <c r="CT78">
        <v>0</v>
      </c>
      <c r="CU78">
        <v>500</v>
      </c>
      <c r="CV78">
        <v>0</v>
      </c>
      <c r="CW78">
        <v>0</v>
      </c>
      <c r="CX78">
        <v>960</v>
      </c>
      <c r="CY78">
        <v>27354.51</v>
      </c>
      <c r="CZ78">
        <v>3650</v>
      </c>
      <c r="DA78">
        <v>0</v>
      </c>
      <c r="DB78">
        <v>141.57</v>
      </c>
      <c r="DC78">
        <v>0</v>
      </c>
      <c r="DD78">
        <v>9000</v>
      </c>
      <c r="DE78">
        <v>9000</v>
      </c>
      <c r="DF78">
        <v>5562.94</v>
      </c>
      <c r="DG78">
        <v>0</v>
      </c>
      <c r="DH78" s="3">
        <v>590217</v>
      </c>
      <c r="DI78">
        <v>147998.74</v>
      </c>
      <c r="DJ78">
        <v>0</v>
      </c>
      <c r="DK78">
        <v>62358.14</v>
      </c>
      <c r="DL78">
        <v>0</v>
      </c>
      <c r="DM78">
        <v>0</v>
      </c>
      <c r="DN78">
        <v>0</v>
      </c>
      <c r="DO78">
        <v>0</v>
      </c>
      <c r="DP78">
        <v>85640.6</v>
      </c>
      <c r="DQ78">
        <v>98222.73</v>
      </c>
      <c r="DR78">
        <v>0</v>
      </c>
      <c r="DS78">
        <v>0</v>
      </c>
      <c r="DT78">
        <v>98222.73</v>
      </c>
      <c r="DU78">
        <v>0</v>
      </c>
      <c r="DV78">
        <v>0</v>
      </c>
      <c r="DW78">
        <v>0</v>
      </c>
      <c r="DX78">
        <v>0</v>
      </c>
      <c r="DY78">
        <v>0</v>
      </c>
      <c r="DZ78">
        <v>0</v>
      </c>
      <c r="EA78">
        <v>0</v>
      </c>
      <c r="EB78">
        <v>0</v>
      </c>
      <c r="EC78">
        <v>0</v>
      </c>
      <c r="ED78">
        <v>0</v>
      </c>
      <c r="EE78">
        <v>0</v>
      </c>
      <c r="EF78">
        <v>214345</v>
      </c>
      <c r="EG78">
        <v>0</v>
      </c>
      <c r="EH78">
        <v>285018.15</v>
      </c>
      <c r="EI78">
        <v>1363196.02</v>
      </c>
      <c r="EJ78">
        <v>0</v>
      </c>
      <c r="EK78">
        <v>727581</v>
      </c>
      <c r="EL78">
        <v>1131719</v>
      </c>
      <c r="EM78">
        <v>724145</v>
      </c>
      <c r="EN78">
        <v>0</v>
      </c>
      <c r="EO78">
        <v>24766.5</v>
      </c>
      <c r="EP78">
        <v>0</v>
      </c>
      <c r="EQ78">
        <v>24766.5</v>
      </c>
      <c r="ER78">
        <v>63483.12</v>
      </c>
      <c r="ES78">
        <v>0</v>
      </c>
      <c r="ET78">
        <v>0</v>
      </c>
      <c r="EU78">
        <v>5700</v>
      </c>
      <c r="EV78" s="4">
        <v>313.5</v>
      </c>
      <c r="EW78">
        <v>0</v>
      </c>
      <c r="EX78">
        <v>0</v>
      </c>
      <c r="EY78" s="4">
        <v>313.5</v>
      </c>
      <c r="EZ78">
        <v>0</v>
      </c>
      <c r="FA78">
        <v>0</v>
      </c>
      <c r="FB78">
        <v>0</v>
      </c>
      <c r="FC78">
        <v>0</v>
      </c>
      <c r="FD78">
        <v>0</v>
      </c>
      <c r="FE78">
        <v>0</v>
      </c>
      <c r="FF78">
        <v>0</v>
      </c>
      <c r="FG78">
        <v>0</v>
      </c>
      <c r="FH78">
        <v>0</v>
      </c>
      <c r="FI78" s="4">
        <v>3180608.64</v>
      </c>
      <c r="FJ78">
        <v>202752.31</v>
      </c>
      <c r="FK78">
        <v>202752.31</v>
      </c>
      <c r="FL78">
        <v>0</v>
      </c>
      <c r="FM78" s="4">
        <v>673.27</v>
      </c>
      <c r="FN78">
        <v>0</v>
      </c>
      <c r="FO78">
        <v>0</v>
      </c>
      <c r="FP78">
        <v>0</v>
      </c>
      <c r="FQ78">
        <v>0</v>
      </c>
      <c r="FR78">
        <v>673.27</v>
      </c>
      <c r="FS78">
        <v>0</v>
      </c>
      <c r="FT78">
        <v>174297.83</v>
      </c>
      <c r="FU78">
        <v>435744.58</v>
      </c>
      <c r="FV78">
        <v>65361.69</v>
      </c>
      <c r="FY78">
        <v>23863186</v>
      </c>
      <c r="FZ78">
        <v>18993286.2158667</v>
      </c>
      <c r="GA78">
        <v>2856381.14666667</v>
      </c>
      <c r="GB78">
        <v>16136905.0692</v>
      </c>
      <c r="GC78">
        <v>7726280.9308</v>
      </c>
      <c r="GD78">
        <v>0.323774073202128</v>
      </c>
      <c r="GE78">
        <v>4869899.7841333</v>
      </c>
      <c r="GF78">
        <v>0.204075842351197</v>
      </c>
      <c r="GJ78">
        <v>45675.3333333333</v>
      </c>
      <c r="GL78">
        <v>45692.1666666667</v>
      </c>
      <c r="GO78">
        <v>45696.25</v>
      </c>
      <c r="GR78">
        <v>45749.4791666667</v>
      </c>
      <c r="GU78" t="s">
        <v>793</v>
      </c>
      <c r="HA78">
        <v>45775.4166666667</v>
      </c>
      <c r="HB78">
        <v>45782.75</v>
      </c>
      <c r="HE78">
        <v>37</v>
      </c>
      <c r="HF78">
        <v>3</v>
      </c>
      <c r="HG78">
        <v>9</v>
      </c>
      <c r="HH78">
        <v>25</v>
      </c>
      <c r="HK78">
        <v>366</v>
      </c>
      <c r="HL78">
        <v>110</v>
      </c>
      <c r="HM78">
        <v>141</v>
      </c>
      <c r="HN78">
        <v>49</v>
      </c>
      <c r="HO78">
        <v>0</v>
      </c>
      <c r="HP78">
        <v>42</v>
      </c>
      <c r="HQ78">
        <v>227</v>
      </c>
      <c r="HR78">
        <v>181</v>
      </c>
      <c r="HU78" s="10"/>
    </row>
    <row r="79" spans="1:229">
      <c r="A79" s="1">
        <f t="shared" si="1"/>
        <v>78</v>
      </c>
      <c r="B79" s="2">
        <v>2025</v>
      </c>
      <c r="C79" s="2" t="s">
        <v>39</v>
      </c>
      <c r="D79" s="2" t="s">
        <v>27</v>
      </c>
      <c r="E79" s="9" t="s">
        <v>731</v>
      </c>
      <c r="F79" s="2" t="s">
        <v>794</v>
      </c>
      <c r="G79" s="2" t="s">
        <v>28</v>
      </c>
      <c r="H79" s="2" t="s">
        <v>711</v>
      </c>
      <c r="I79" s="2" t="s">
        <v>795</v>
      </c>
      <c r="J79" t="s">
        <v>318</v>
      </c>
      <c r="K79" t="s">
        <v>730</v>
      </c>
      <c r="L79" t="s">
        <v>32</v>
      </c>
      <c r="M79">
        <v>3</v>
      </c>
      <c r="N79">
        <v>6142</v>
      </c>
      <c r="O79" s="3">
        <v>5670</v>
      </c>
      <c r="P79" s="4">
        <v>0.83</v>
      </c>
      <c r="R79" s="4">
        <v>31.96</v>
      </c>
      <c r="S79" s="4">
        <v>8.42</v>
      </c>
      <c r="T79" s="4">
        <v>40.38</v>
      </c>
      <c r="U79" s="4">
        <v>41.21</v>
      </c>
      <c r="W79" s="4">
        <v>1.35</v>
      </c>
      <c r="X79" s="4">
        <v>1.37366666666667</v>
      </c>
      <c r="Y79" s="3">
        <v>31849340</v>
      </c>
      <c r="Z79">
        <v>9500667.75513609</v>
      </c>
      <c r="AA79">
        <v>22348672.2448639</v>
      </c>
      <c r="AB79">
        <v>2801090.85333333</v>
      </c>
      <c r="AC79">
        <v>549444.44</v>
      </c>
      <c r="AD79">
        <v>549444.44</v>
      </c>
      <c r="AE79">
        <v>0</v>
      </c>
      <c r="AF79">
        <v>719414.2</v>
      </c>
      <c r="AG79">
        <v>12007.66</v>
      </c>
      <c r="AH79">
        <v>707406.54</v>
      </c>
      <c r="AI79">
        <v>89813.78</v>
      </c>
      <c r="AJ79">
        <v>80955.34</v>
      </c>
      <c r="AK79">
        <v>0</v>
      </c>
      <c r="AL79">
        <v>8858.44</v>
      </c>
      <c r="AM79">
        <v>879215.1</v>
      </c>
      <c r="AN79">
        <v>130640.1</v>
      </c>
      <c r="AO79">
        <v>748575</v>
      </c>
      <c r="AP79">
        <v>0</v>
      </c>
      <c r="AQ79">
        <v>0</v>
      </c>
      <c r="AR79">
        <v>0</v>
      </c>
      <c r="AS79">
        <v>0</v>
      </c>
      <c r="AT79">
        <v>0</v>
      </c>
      <c r="AU79">
        <v>0</v>
      </c>
      <c r="AV79">
        <v>0</v>
      </c>
      <c r="AW79">
        <v>0</v>
      </c>
      <c r="AX79">
        <v>0</v>
      </c>
      <c r="AY79">
        <v>563203.333333335</v>
      </c>
      <c r="AZ79">
        <v>19547581.3915306</v>
      </c>
      <c r="BA79">
        <v>4977729.52353058</v>
      </c>
      <c r="BB79">
        <v>762652.0332</v>
      </c>
      <c r="BC79">
        <v>762652.0332</v>
      </c>
      <c r="BD79">
        <v>0</v>
      </c>
      <c r="BE79">
        <v>0</v>
      </c>
      <c r="BF79">
        <v>1993393</v>
      </c>
      <c r="BG79">
        <v>1993393</v>
      </c>
      <c r="BH79">
        <v>0</v>
      </c>
      <c r="BI79">
        <v>8509.86</v>
      </c>
      <c r="BJ79">
        <v>560079</v>
      </c>
      <c r="BK79">
        <v>325360</v>
      </c>
      <c r="BL79">
        <v>325360</v>
      </c>
      <c r="BM79">
        <v>0</v>
      </c>
      <c r="BN79">
        <v>310988.940330577</v>
      </c>
      <c r="BO79">
        <v>292682.96</v>
      </c>
      <c r="BP79">
        <v>65933.33</v>
      </c>
      <c r="BQ79">
        <v>66458.31</v>
      </c>
      <c r="BR79">
        <v>0</v>
      </c>
      <c r="BS79">
        <v>160291.32</v>
      </c>
      <c r="BT79">
        <v>724063.73</v>
      </c>
      <c r="BU79">
        <v>589680</v>
      </c>
      <c r="BV79">
        <v>134383.73</v>
      </c>
      <c r="BW79">
        <v>0</v>
      </c>
      <c r="BX79">
        <v>0</v>
      </c>
      <c r="BY79">
        <v>145983.13</v>
      </c>
      <c r="BZ79">
        <v>145983.13</v>
      </c>
      <c r="CA79">
        <v>145983.13</v>
      </c>
      <c r="CB79">
        <v>0</v>
      </c>
      <c r="CC79">
        <v>0</v>
      </c>
      <c r="CD79">
        <v>0</v>
      </c>
      <c r="CE79">
        <v>0</v>
      </c>
      <c r="CF79">
        <v>0</v>
      </c>
      <c r="CG79">
        <v>0</v>
      </c>
      <c r="CH79">
        <v>14423868.738</v>
      </c>
      <c r="CI79">
        <v>491262</v>
      </c>
      <c r="CJ79">
        <v>0</v>
      </c>
      <c r="CK79">
        <v>19173</v>
      </c>
      <c r="CL79">
        <v>0</v>
      </c>
      <c r="CM79">
        <v>237074</v>
      </c>
      <c r="CN79">
        <v>12226</v>
      </c>
      <c r="CO79">
        <v>222789</v>
      </c>
      <c r="CP79">
        <v>391495.000000001</v>
      </c>
      <c r="CQ79">
        <v>20377.9</v>
      </c>
      <c r="CR79">
        <v>7349.4</v>
      </c>
      <c r="CS79">
        <v>11568.5</v>
      </c>
      <c r="CT79">
        <v>0</v>
      </c>
      <c r="CU79">
        <v>500</v>
      </c>
      <c r="CV79">
        <v>0</v>
      </c>
      <c r="CW79">
        <v>0</v>
      </c>
      <c r="CX79">
        <v>960</v>
      </c>
      <c r="CY79">
        <v>27276.14</v>
      </c>
      <c r="CZ79">
        <v>3650</v>
      </c>
      <c r="DA79">
        <v>0</v>
      </c>
      <c r="DB79">
        <v>1360</v>
      </c>
      <c r="DC79">
        <v>0</v>
      </c>
      <c r="DD79">
        <v>9000</v>
      </c>
      <c r="DE79">
        <v>9000</v>
      </c>
      <c r="DF79">
        <v>4266.14</v>
      </c>
      <c r="DG79">
        <v>0</v>
      </c>
      <c r="DH79" s="3">
        <v>1957374</v>
      </c>
      <c r="DI79">
        <v>248461</v>
      </c>
      <c r="DJ79">
        <v>0</v>
      </c>
      <c r="DK79">
        <v>96921.76</v>
      </c>
      <c r="DL79">
        <v>0</v>
      </c>
      <c r="DM79">
        <v>0</v>
      </c>
      <c r="DN79">
        <v>0</v>
      </c>
      <c r="DO79">
        <v>0</v>
      </c>
      <c r="DP79">
        <v>151539.24</v>
      </c>
      <c r="DQ79">
        <v>210773.19</v>
      </c>
      <c r="DR79">
        <v>0</v>
      </c>
      <c r="DS79">
        <v>0</v>
      </c>
      <c r="DT79">
        <v>127865.19</v>
      </c>
      <c r="DU79">
        <v>0</v>
      </c>
      <c r="DV79">
        <v>0</v>
      </c>
      <c r="DW79">
        <v>0</v>
      </c>
      <c r="DX79">
        <v>0</v>
      </c>
      <c r="DY79">
        <v>82908</v>
      </c>
      <c r="DZ79">
        <v>0</v>
      </c>
      <c r="EA79">
        <v>0</v>
      </c>
      <c r="EB79">
        <v>0</v>
      </c>
      <c r="EC79">
        <v>0</v>
      </c>
      <c r="ED79">
        <v>0</v>
      </c>
      <c r="EE79">
        <v>0</v>
      </c>
      <c r="EF79">
        <v>273384</v>
      </c>
      <c r="EG79">
        <v>0</v>
      </c>
      <c r="EH79">
        <v>733503.18</v>
      </c>
      <c r="EI79">
        <v>1978759.458</v>
      </c>
      <c r="EJ79">
        <v>0</v>
      </c>
      <c r="EK79">
        <v>932231</v>
      </c>
      <c r="EL79">
        <v>1623517</v>
      </c>
      <c r="EM79">
        <v>263140</v>
      </c>
      <c r="EN79">
        <v>130000</v>
      </c>
      <c r="EO79">
        <v>120000</v>
      </c>
      <c r="EP79">
        <v>120000</v>
      </c>
      <c r="EQ79">
        <v>0</v>
      </c>
      <c r="ER79">
        <v>38941.88</v>
      </c>
      <c r="ES79">
        <v>0</v>
      </c>
      <c r="ET79">
        <v>0</v>
      </c>
      <c r="EU79">
        <v>600</v>
      </c>
      <c r="EV79" s="4">
        <v>137.36</v>
      </c>
      <c r="EW79">
        <v>0</v>
      </c>
      <c r="EX79">
        <v>0</v>
      </c>
      <c r="EY79" s="4">
        <v>137.36</v>
      </c>
      <c r="EZ79">
        <v>0</v>
      </c>
      <c r="FA79">
        <v>0</v>
      </c>
      <c r="FB79">
        <v>0</v>
      </c>
      <c r="FC79">
        <v>0</v>
      </c>
      <c r="FD79">
        <v>0</v>
      </c>
      <c r="FE79">
        <v>0</v>
      </c>
      <c r="FF79">
        <v>0</v>
      </c>
      <c r="FG79">
        <v>0</v>
      </c>
      <c r="FH79">
        <v>1728682</v>
      </c>
      <c r="FI79" s="4">
        <v>2607384.9</v>
      </c>
      <c r="FJ79">
        <v>202828.77</v>
      </c>
      <c r="FK79">
        <v>202828.77</v>
      </c>
      <c r="FL79">
        <v>0</v>
      </c>
      <c r="FM79" s="4">
        <v>1485.15</v>
      </c>
      <c r="FN79">
        <v>0</v>
      </c>
      <c r="FO79">
        <v>0</v>
      </c>
      <c r="FP79">
        <v>0</v>
      </c>
      <c r="FQ79">
        <v>0</v>
      </c>
      <c r="FR79">
        <v>1485.15</v>
      </c>
      <c r="FS79">
        <v>0</v>
      </c>
      <c r="FT79">
        <v>114130.27</v>
      </c>
      <c r="FU79">
        <v>285325.69</v>
      </c>
      <c r="FV79">
        <v>42798.85</v>
      </c>
      <c r="FY79">
        <v>31849340</v>
      </c>
      <c r="FZ79">
        <v>22348672.2448639</v>
      </c>
      <c r="GA79">
        <v>2801090.85333333</v>
      </c>
      <c r="GB79">
        <v>19547581.3915306</v>
      </c>
      <c r="GC79">
        <v>12301758.6084694</v>
      </c>
      <c r="GD79">
        <v>0.386248462557447</v>
      </c>
      <c r="GE79">
        <v>9500667.7551361</v>
      </c>
      <c r="GF79">
        <v>0.29830030245952</v>
      </c>
      <c r="GJ79">
        <v>45747.2083333333</v>
      </c>
      <c r="GL79">
        <v>45748.0416666667</v>
      </c>
      <c r="GO79">
        <v>45750.125</v>
      </c>
      <c r="GR79">
        <v>45759.1041666667</v>
      </c>
      <c r="GU79" t="s">
        <v>793</v>
      </c>
      <c r="HA79">
        <v>45780</v>
      </c>
      <c r="HB79">
        <v>45788.4166666667</v>
      </c>
      <c r="HE79">
        <v>35</v>
      </c>
      <c r="HF79">
        <v>3</v>
      </c>
      <c r="HG79">
        <v>13</v>
      </c>
      <c r="HH79">
        <v>19</v>
      </c>
      <c r="HK79">
        <v>299</v>
      </c>
      <c r="HL79">
        <v>106</v>
      </c>
      <c r="HM79">
        <v>44</v>
      </c>
      <c r="HN79">
        <v>62</v>
      </c>
      <c r="HO79">
        <v>0</v>
      </c>
      <c r="HP79">
        <v>38</v>
      </c>
      <c r="HQ79">
        <v>274</v>
      </c>
      <c r="HR79">
        <v>146</v>
      </c>
      <c r="HU79" s="10"/>
    </row>
    <row r="80" spans="1:229">
      <c r="A80" s="1">
        <f t="shared" si="1"/>
        <v>79</v>
      </c>
      <c r="B80" s="2">
        <v>2025</v>
      </c>
      <c r="C80" s="2" t="s">
        <v>39</v>
      </c>
      <c r="D80" s="2" t="s">
        <v>27</v>
      </c>
      <c r="E80" s="9" t="s">
        <v>468</v>
      </c>
      <c r="F80" s="2" t="s">
        <v>746</v>
      </c>
      <c r="G80" s="2" t="s">
        <v>28</v>
      </c>
      <c r="H80" s="2" t="s">
        <v>711</v>
      </c>
      <c r="I80" s="2" t="s">
        <v>796</v>
      </c>
      <c r="J80" t="s">
        <v>318</v>
      </c>
      <c r="K80" t="s">
        <v>730</v>
      </c>
      <c r="L80" t="s">
        <v>32</v>
      </c>
      <c r="M80">
        <v>2</v>
      </c>
      <c r="N80">
        <v>4420</v>
      </c>
      <c r="O80" s="3">
        <v>4350</v>
      </c>
      <c r="P80" s="4">
        <v>15.58</v>
      </c>
      <c r="R80" s="4">
        <v>18</v>
      </c>
      <c r="S80" s="4">
        <v>11.75</v>
      </c>
      <c r="T80" s="4">
        <v>29.75</v>
      </c>
      <c r="U80" s="4">
        <v>45.33</v>
      </c>
      <c r="W80" s="4">
        <v>0.99</v>
      </c>
      <c r="X80" s="4">
        <v>1.511</v>
      </c>
      <c r="Y80" s="3">
        <v>14553583</v>
      </c>
      <c r="Z80">
        <v>1033313.2528</v>
      </c>
      <c r="AA80">
        <v>13520269.7472</v>
      </c>
      <c r="AB80">
        <v>2516840.51</v>
      </c>
      <c r="AC80">
        <v>755555.56</v>
      </c>
      <c r="AD80">
        <v>755555.56</v>
      </c>
      <c r="AE80">
        <v>0</v>
      </c>
      <c r="AF80">
        <v>564967.1</v>
      </c>
      <c r="AG80">
        <v>161912.31</v>
      </c>
      <c r="AH80">
        <v>403054.79</v>
      </c>
      <c r="AI80">
        <v>19495.45</v>
      </c>
      <c r="AJ80">
        <v>4937.58</v>
      </c>
      <c r="AK80">
        <v>4744.79</v>
      </c>
      <c r="AL80">
        <v>9813.08</v>
      </c>
      <c r="AM80">
        <v>557312.4</v>
      </c>
      <c r="AN80">
        <v>143990.18</v>
      </c>
      <c r="AO80">
        <v>0</v>
      </c>
      <c r="AP80">
        <v>262035.32</v>
      </c>
      <c r="AQ80">
        <v>151286.9</v>
      </c>
      <c r="AR80">
        <v>0</v>
      </c>
      <c r="AS80">
        <v>0</v>
      </c>
      <c r="AT80">
        <v>0</v>
      </c>
      <c r="AU80">
        <v>0</v>
      </c>
      <c r="AV80">
        <v>0</v>
      </c>
      <c r="AW80">
        <v>0</v>
      </c>
      <c r="AX80">
        <v>0</v>
      </c>
      <c r="AY80">
        <v>619510</v>
      </c>
      <c r="AZ80">
        <v>11003429.2372</v>
      </c>
      <c r="BA80">
        <v>2679733.0572</v>
      </c>
      <c r="BB80">
        <v>351999.9072</v>
      </c>
      <c r="BC80">
        <v>351999.9072</v>
      </c>
      <c r="BD80">
        <v>0</v>
      </c>
      <c r="BE80">
        <v>0</v>
      </c>
      <c r="BF80">
        <v>1035626</v>
      </c>
      <c r="BG80">
        <v>1035626</v>
      </c>
      <c r="BH80">
        <v>0</v>
      </c>
      <c r="BI80">
        <v>0</v>
      </c>
      <c r="BJ80">
        <v>89739</v>
      </c>
      <c r="BK80">
        <v>470040</v>
      </c>
      <c r="BL80">
        <v>470040</v>
      </c>
      <c r="BM80">
        <v>0</v>
      </c>
      <c r="BN80">
        <v>36707.98</v>
      </c>
      <c r="BO80">
        <v>193230.27</v>
      </c>
      <c r="BP80">
        <v>72533.33</v>
      </c>
      <c r="BQ80">
        <v>432</v>
      </c>
      <c r="BR80">
        <v>0</v>
      </c>
      <c r="BS80">
        <v>120264.94</v>
      </c>
      <c r="BT80">
        <v>502389.9</v>
      </c>
      <c r="BU80">
        <v>452400</v>
      </c>
      <c r="BV80">
        <v>49989.9</v>
      </c>
      <c r="BW80">
        <v>0</v>
      </c>
      <c r="BX80">
        <v>0</v>
      </c>
      <c r="BY80">
        <v>38103.9</v>
      </c>
      <c r="BZ80">
        <v>38103.9</v>
      </c>
      <c r="CA80">
        <v>38103.9</v>
      </c>
      <c r="CB80">
        <v>0</v>
      </c>
      <c r="CC80">
        <v>0</v>
      </c>
      <c r="CD80">
        <v>0</v>
      </c>
      <c r="CE80">
        <v>0</v>
      </c>
      <c r="CF80">
        <v>0</v>
      </c>
      <c r="CG80">
        <v>0</v>
      </c>
      <c r="CH80">
        <v>8285592.28</v>
      </c>
      <c r="CI80">
        <v>390009</v>
      </c>
      <c r="CJ80">
        <v>0</v>
      </c>
      <c r="CK80">
        <v>0</v>
      </c>
      <c r="CL80">
        <v>227200</v>
      </c>
      <c r="CM80">
        <v>65585</v>
      </c>
      <c r="CN80">
        <v>4094</v>
      </c>
      <c r="CO80">
        <v>93130</v>
      </c>
      <c r="CP80">
        <v>362640</v>
      </c>
      <c r="CQ80">
        <v>11987</v>
      </c>
      <c r="CR80">
        <v>3674.7</v>
      </c>
      <c r="CS80">
        <v>6852.3</v>
      </c>
      <c r="CT80">
        <v>0</v>
      </c>
      <c r="CU80">
        <v>500</v>
      </c>
      <c r="CV80">
        <v>0</v>
      </c>
      <c r="CW80">
        <v>0</v>
      </c>
      <c r="CX80">
        <v>960</v>
      </c>
      <c r="CY80">
        <v>29044.74</v>
      </c>
      <c r="CZ80">
        <v>3650</v>
      </c>
      <c r="DA80">
        <v>0</v>
      </c>
      <c r="DB80">
        <v>0</v>
      </c>
      <c r="DC80">
        <v>330</v>
      </c>
      <c r="DD80">
        <v>9000</v>
      </c>
      <c r="DE80">
        <v>9000</v>
      </c>
      <c r="DF80">
        <v>7064.74</v>
      </c>
      <c r="DG80">
        <v>0</v>
      </c>
      <c r="DH80" s="3">
        <v>909279</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45719</v>
      </c>
      <c r="EG80">
        <v>0</v>
      </c>
      <c r="EH80">
        <v>184687.53</v>
      </c>
      <c r="EI80">
        <v>781474.03</v>
      </c>
      <c r="EJ80">
        <v>0</v>
      </c>
      <c r="EK80">
        <v>422245</v>
      </c>
      <c r="EL80">
        <v>1152998</v>
      </c>
      <c r="EM80">
        <v>282813</v>
      </c>
      <c r="EN80">
        <v>130000</v>
      </c>
      <c r="EO80">
        <v>120000</v>
      </c>
      <c r="EP80">
        <v>120000</v>
      </c>
      <c r="EQ80">
        <v>0</v>
      </c>
      <c r="ER80">
        <v>44064</v>
      </c>
      <c r="ES80">
        <v>0</v>
      </c>
      <c r="ET80">
        <v>0</v>
      </c>
      <c r="EU80">
        <v>600</v>
      </c>
      <c r="EV80" s="4">
        <v>151.11</v>
      </c>
      <c r="EW80">
        <v>0</v>
      </c>
      <c r="EX80">
        <v>0</v>
      </c>
      <c r="EY80" s="4">
        <v>151.11</v>
      </c>
      <c r="EZ80">
        <v>0</v>
      </c>
      <c r="FA80">
        <v>0</v>
      </c>
      <c r="FB80">
        <v>0</v>
      </c>
      <c r="FC80">
        <v>0</v>
      </c>
      <c r="FD80">
        <v>0</v>
      </c>
      <c r="FE80">
        <v>0</v>
      </c>
      <c r="FF80">
        <v>0</v>
      </c>
      <c r="FG80">
        <v>0</v>
      </c>
      <c r="FH80">
        <v>659196</v>
      </c>
      <c r="FI80" s="4">
        <v>2261432.98</v>
      </c>
      <c r="FJ80">
        <v>87764.82</v>
      </c>
      <c r="FK80">
        <v>87764.82</v>
      </c>
      <c r="FL80">
        <v>0</v>
      </c>
      <c r="FM80" s="4">
        <v>1485.15</v>
      </c>
      <c r="FN80">
        <v>0</v>
      </c>
      <c r="FO80">
        <v>0</v>
      </c>
      <c r="FP80">
        <v>0</v>
      </c>
      <c r="FQ80">
        <v>0</v>
      </c>
      <c r="FR80">
        <v>1485.15</v>
      </c>
      <c r="FS80">
        <v>0</v>
      </c>
      <c r="FT80">
        <v>105290.82</v>
      </c>
      <c r="FU80">
        <v>263227.04</v>
      </c>
      <c r="FV80">
        <v>39484.06</v>
      </c>
      <c r="FY80">
        <v>14553583</v>
      </c>
      <c r="FZ80">
        <v>13520269.7472</v>
      </c>
      <c r="GA80">
        <v>2516840.51</v>
      </c>
      <c r="GB80">
        <v>11003429.2372</v>
      </c>
      <c r="GC80">
        <v>3550153.7628</v>
      </c>
      <c r="GD80">
        <v>0.24393675171262</v>
      </c>
      <c r="GE80">
        <v>1033313.2528</v>
      </c>
      <c r="GF80">
        <v>0.0710006087710498</v>
      </c>
      <c r="GJ80">
        <v>45754.3333333333</v>
      </c>
      <c r="GL80">
        <v>45769.9166666667</v>
      </c>
      <c r="GO80">
        <v>45777.9375</v>
      </c>
      <c r="GR80" t="s">
        <v>793</v>
      </c>
      <c r="GU80" t="s">
        <v>793</v>
      </c>
      <c r="HA80">
        <v>45787.9166666667</v>
      </c>
      <c r="HB80">
        <v>45799.6666666667</v>
      </c>
      <c r="HE80">
        <v>36</v>
      </c>
      <c r="HF80">
        <v>4</v>
      </c>
      <c r="HG80">
        <v>16</v>
      </c>
      <c r="HH80">
        <v>16</v>
      </c>
      <c r="HK80">
        <v>201</v>
      </c>
      <c r="HL80">
        <v>56</v>
      </c>
      <c r="HM80">
        <v>25</v>
      </c>
      <c r="HN80">
        <v>35</v>
      </c>
      <c r="HO80">
        <v>0</v>
      </c>
      <c r="HP80">
        <v>9</v>
      </c>
      <c r="HQ80">
        <v>147</v>
      </c>
      <c r="HR80">
        <v>241</v>
      </c>
      <c r="HU80" s="10"/>
    </row>
    <row r="81" spans="1:229">
      <c r="A81" s="1">
        <f t="shared" si="1"/>
        <v>80</v>
      </c>
      <c r="B81" s="2">
        <v>2025</v>
      </c>
      <c r="C81" s="2" t="s">
        <v>45</v>
      </c>
      <c r="D81" s="2" t="s">
        <v>27</v>
      </c>
      <c r="E81" s="9">
        <v>50537</v>
      </c>
      <c r="F81" s="2" t="s">
        <v>736</v>
      </c>
      <c r="G81" s="2" t="s">
        <v>36</v>
      </c>
      <c r="H81" s="2" t="s">
        <v>692</v>
      </c>
      <c r="I81" s="2" t="s">
        <v>46</v>
      </c>
      <c r="J81" t="s">
        <v>30</v>
      </c>
      <c r="K81" t="s">
        <v>31</v>
      </c>
      <c r="L81" t="s">
        <v>38</v>
      </c>
      <c r="M81">
        <v>2</v>
      </c>
      <c r="N81">
        <v>2840</v>
      </c>
      <c r="O81" s="3">
        <v>2850</v>
      </c>
      <c r="P81" s="4">
        <v>4</v>
      </c>
      <c r="R81" s="4">
        <v>12.25</v>
      </c>
      <c r="S81" s="4">
        <v>8</v>
      </c>
      <c r="T81" s="4">
        <v>20.25</v>
      </c>
      <c r="U81" s="4">
        <v>24.25</v>
      </c>
      <c r="W81" s="4">
        <v>0.675</v>
      </c>
      <c r="X81" s="4">
        <v>0.808333333333333</v>
      </c>
      <c r="Y81" s="3">
        <v>5230425</v>
      </c>
      <c r="Z81">
        <v>534044.117146667</v>
      </c>
      <c r="AA81">
        <v>4696380.88285333</v>
      </c>
      <c r="AB81">
        <v>622288.37</v>
      </c>
      <c r="AC81">
        <v>262708.333333333</v>
      </c>
      <c r="AD81">
        <v>262708.333333333</v>
      </c>
      <c r="AE81">
        <v>0</v>
      </c>
      <c r="AF81">
        <v>21320.43</v>
      </c>
      <c r="AG81">
        <v>21320.43</v>
      </c>
      <c r="AH81">
        <v>0</v>
      </c>
      <c r="AI81">
        <v>6842.94</v>
      </c>
      <c r="AJ81">
        <v>4037.96</v>
      </c>
      <c r="AK81">
        <v>2503.84</v>
      </c>
      <c r="AL81">
        <v>301.14</v>
      </c>
      <c r="AM81">
        <v>0</v>
      </c>
      <c r="AN81">
        <v>0</v>
      </c>
      <c r="AO81">
        <v>0</v>
      </c>
      <c r="AP81">
        <v>0</v>
      </c>
      <c r="AQ81">
        <v>0</v>
      </c>
      <c r="AR81">
        <v>0</v>
      </c>
      <c r="AS81">
        <v>0</v>
      </c>
      <c r="AT81">
        <v>0</v>
      </c>
      <c r="AU81">
        <v>0</v>
      </c>
      <c r="AV81">
        <v>0</v>
      </c>
      <c r="AW81">
        <v>0</v>
      </c>
      <c r="AX81">
        <v>0</v>
      </c>
      <c r="AY81">
        <v>331416.666666667</v>
      </c>
      <c r="AZ81">
        <v>4074092.51285333</v>
      </c>
      <c r="BA81">
        <v>1668524.74452</v>
      </c>
      <c r="BB81">
        <v>32945.0868</v>
      </c>
      <c r="BC81">
        <v>17107.9668</v>
      </c>
      <c r="BD81">
        <v>15837.12</v>
      </c>
      <c r="BE81">
        <v>0</v>
      </c>
      <c r="BF81">
        <v>724213</v>
      </c>
      <c r="BG81">
        <v>724213</v>
      </c>
      <c r="BH81">
        <v>0</v>
      </c>
      <c r="BI81">
        <v>5827.464</v>
      </c>
      <c r="BJ81">
        <v>442403</v>
      </c>
      <c r="BK81">
        <v>0</v>
      </c>
      <c r="BL81">
        <v>0</v>
      </c>
      <c r="BM81">
        <v>0</v>
      </c>
      <c r="BN81">
        <v>174191.72372</v>
      </c>
      <c r="BO81">
        <v>112911.37</v>
      </c>
      <c r="BP81">
        <v>38800</v>
      </c>
      <c r="BQ81">
        <v>0</v>
      </c>
      <c r="BR81">
        <v>0</v>
      </c>
      <c r="BS81">
        <v>74111.37</v>
      </c>
      <c r="BT81">
        <v>176033.1</v>
      </c>
      <c r="BU81">
        <v>179550</v>
      </c>
      <c r="BV81">
        <v>-3516.9</v>
      </c>
      <c r="BW81">
        <v>0</v>
      </c>
      <c r="BX81">
        <v>0</v>
      </c>
      <c r="BY81">
        <v>17336.6</v>
      </c>
      <c r="BZ81">
        <v>17336.6</v>
      </c>
      <c r="CA81">
        <v>17336.6</v>
      </c>
      <c r="CB81">
        <v>0</v>
      </c>
      <c r="CC81">
        <v>0</v>
      </c>
      <c r="CD81">
        <v>0</v>
      </c>
      <c r="CE81">
        <v>0</v>
      </c>
      <c r="CF81">
        <v>0</v>
      </c>
      <c r="CG81">
        <v>0</v>
      </c>
      <c r="CH81">
        <v>2388231.16833333</v>
      </c>
      <c r="CI81">
        <v>202204</v>
      </c>
      <c r="CJ81">
        <v>0</v>
      </c>
      <c r="CK81">
        <v>0</v>
      </c>
      <c r="CL81">
        <v>59973</v>
      </c>
      <c r="CM81">
        <v>50763</v>
      </c>
      <c r="CN81">
        <v>23990</v>
      </c>
      <c r="CO81">
        <v>67478</v>
      </c>
      <c r="CP81">
        <v>194000</v>
      </c>
      <c r="CQ81">
        <v>8002.97</v>
      </c>
      <c r="CR81">
        <v>1421.55</v>
      </c>
      <c r="CS81">
        <v>6581.42</v>
      </c>
      <c r="CT81">
        <v>0</v>
      </c>
      <c r="CU81">
        <v>0</v>
      </c>
      <c r="CV81">
        <v>0</v>
      </c>
      <c r="CW81">
        <v>0</v>
      </c>
      <c r="CX81">
        <v>0</v>
      </c>
      <c r="CY81">
        <v>29407.34</v>
      </c>
      <c r="CZ81">
        <v>3650</v>
      </c>
      <c r="DA81">
        <v>0</v>
      </c>
      <c r="DB81">
        <v>0</v>
      </c>
      <c r="DC81">
        <v>0</v>
      </c>
      <c r="DD81">
        <v>9000</v>
      </c>
      <c r="DE81">
        <v>9000</v>
      </c>
      <c r="DF81">
        <v>7757.34</v>
      </c>
      <c r="DG81">
        <v>0</v>
      </c>
      <c r="DH81" s="3">
        <v>469205</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28127</v>
      </c>
      <c r="EG81">
        <v>0</v>
      </c>
      <c r="EH81">
        <v>0</v>
      </c>
      <c r="EI81">
        <v>371797.88</v>
      </c>
      <c r="EJ81">
        <v>0</v>
      </c>
      <c r="EK81">
        <v>0</v>
      </c>
      <c r="EL81">
        <v>0</v>
      </c>
      <c r="EM81">
        <v>52753</v>
      </c>
      <c r="EN81">
        <v>0</v>
      </c>
      <c r="EO81">
        <v>18288.5</v>
      </c>
      <c r="EP81">
        <v>0</v>
      </c>
      <c r="EQ81">
        <v>18288.5</v>
      </c>
      <c r="ER81">
        <v>18987.75</v>
      </c>
      <c r="ES81">
        <v>0</v>
      </c>
      <c r="ET81">
        <v>0</v>
      </c>
      <c r="EU81">
        <v>4000</v>
      </c>
      <c r="EV81" s="4">
        <v>80.8333333333333</v>
      </c>
      <c r="EW81">
        <v>0</v>
      </c>
      <c r="EX81">
        <v>0</v>
      </c>
      <c r="EY81" s="4">
        <v>80.8333333333333</v>
      </c>
      <c r="EZ81">
        <v>0</v>
      </c>
      <c r="FA81">
        <v>0</v>
      </c>
      <c r="FB81">
        <v>0</v>
      </c>
      <c r="FC81">
        <v>0</v>
      </c>
      <c r="FD81">
        <v>0</v>
      </c>
      <c r="FE81">
        <v>0</v>
      </c>
      <c r="FF81">
        <v>0</v>
      </c>
      <c r="FG81">
        <v>0</v>
      </c>
      <c r="FH81">
        <v>0</v>
      </c>
      <c r="FI81" s="4">
        <v>788467.64</v>
      </c>
      <c r="FJ81">
        <v>40231.43</v>
      </c>
      <c r="FK81">
        <v>40231.43</v>
      </c>
      <c r="FL81">
        <v>0</v>
      </c>
      <c r="FM81" s="4">
        <v>534.65</v>
      </c>
      <c r="FN81">
        <v>0</v>
      </c>
      <c r="FO81">
        <v>0</v>
      </c>
      <c r="FP81">
        <v>0</v>
      </c>
      <c r="FQ81">
        <v>0</v>
      </c>
      <c r="FR81">
        <v>534.65</v>
      </c>
      <c r="FS81">
        <v>0</v>
      </c>
      <c r="FT81">
        <v>41843.4</v>
      </c>
      <c r="FU81">
        <v>104608.5</v>
      </c>
      <c r="FV81">
        <v>15691.275</v>
      </c>
      <c r="FY81">
        <v>5230425</v>
      </c>
      <c r="FZ81">
        <v>4696380.88285333</v>
      </c>
      <c r="GA81">
        <v>622288.37</v>
      </c>
      <c r="GB81">
        <v>4074092.51285333</v>
      </c>
      <c r="GC81">
        <v>1156332.48714667</v>
      </c>
      <c r="GD81">
        <v>0.221078112609715</v>
      </c>
      <c r="GE81">
        <v>534044.117146667</v>
      </c>
      <c r="GF81">
        <v>0.102103388758402</v>
      </c>
      <c r="GJ81">
        <v>45811.3333333333</v>
      </c>
      <c r="GL81">
        <v>45815.3333333333</v>
      </c>
      <c r="GO81">
        <v>45819.9583333333</v>
      </c>
      <c r="GR81" t="s">
        <v>694</v>
      </c>
      <c r="GU81" t="s">
        <v>694</v>
      </c>
      <c r="HA81">
        <v>45827.5833333333</v>
      </c>
      <c r="HB81">
        <v>45835.5833333333</v>
      </c>
      <c r="HE81">
        <v>29</v>
      </c>
      <c r="HF81">
        <v>3</v>
      </c>
      <c r="HG81">
        <v>10</v>
      </c>
      <c r="HH81">
        <v>16</v>
      </c>
      <c r="HK81">
        <v>87</v>
      </c>
      <c r="HL81">
        <v>36</v>
      </c>
      <c r="HM81">
        <v>64</v>
      </c>
      <c r="HN81">
        <v>5</v>
      </c>
      <c r="HO81">
        <v>0</v>
      </c>
      <c r="HP81">
        <v>19</v>
      </c>
      <c r="HQ81">
        <v>152</v>
      </c>
      <c r="HR81">
        <v>123</v>
      </c>
      <c r="HU81" s="10"/>
    </row>
    <row r="82" spans="1:229">
      <c r="A82" s="1">
        <f t="shared" si="1"/>
        <v>81</v>
      </c>
      <c r="B82" s="2">
        <v>2025</v>
      </c>
      <c r="C82" s="2" t="s">
        <v>45</v>
      </c>
      <c r="D82" s="2" t="s">
        <v>27</v>
      </c>
      <c r="E82" s="9">
        <v>70315</v>
      </c>
      <c r="F82" s="2" t="s">
        <v>706</v>
      </c>
      <c r="G82" s="2" t="s">
        <v>28</v>
      </c>
      <c r="H82" s="2" t="s">
        <v>711</v>
      </c>
      <c r="I82" s="2" t="s">
        <v>797</v>
      </c>
      <c r="J82" t="s">
        <v>315</v>
      </c>
      <c r="K82" t="s">
        <v>41</v>
      </c>
      <c r="L82" t="s">
        <v>32</v>
      </c>
      <c r="M82">
        <v>2</v>
      </c>
      <c r="N82">
        <v>3321</v>
      </c>
      <c r="O82" s="3">
        <v>3321</v>
      </c>
      <c r="P82" s="4">
        <v>8.33333333340124</v>
      </c>
      <c r="R82" s="4">
        <v>7.33333333329938</v>
      </c>
      <c r="S82" s="4">
        <v>13.0833333332994</v>
      </c>
      <c r="T82" s="4">
        <v>20.4166666665988</v>
      </c>
      <c r="U82" s="4">
        <v>28.75</v>
      </c>
      <c r="W82" s="4">
        <v>0.680555555553292</v>
      </c>
      <c r="X82" s="4">
        <v>0.958333333333333</v>
      </c>
      <c r="Y82" s="3">
        <v>6480349</v>
      </c>
      <c r="Z82">
        <v>625224.690866666</v>
      </c>
      <c r="AA82">
        <v>5855124.30913333</v>
      </c>
      <c r="AB82">
        <v>1062274.74</v>
      </c>
      <c r="AC82">
        <v>311458.333333333</v>
      </c>
      <c r="AD82">
        <v>311458.333333333</v>
      </c>
      <c r="AE82">
        <v>0</v>
      </c>
      <c r="AF82">
        <v>345526.51</v>
      </c>
      <c r="AG82">
        <v>215764.41</v>
      </c>
      <c r="AH82">
        <v>129762.1</v>
      </c>
      <c r="AI82">
        <v>12373.23</v>
      </c>
      <c r="AJ82">
        <v>2935.67</v>
      </c>
      <c r="AK82">
        <v>3051.5</v>
      </c>
      <c r="AL82">
        <v>6386.06</v>
      </c>
      <c r="AM82">
        <v>0</v>
      </c>
      <c r="AN82">
        <v>0</v>
      </c>
      <c r="AO82">
        <v>0</v>
      </c>
      <c r="AP82">
        <v>0</v>
      </c>
      <c r="AQ82">
        <v>0</v>
      </c>
      <c r="AR82">
        <v>0</v>
      </c>
      <c r="AS82">
        <v>0</v>
      </c>
      <c r="AT82">
        <v>0</v>
      </c>
      <c r="AU82">
        <v>0</v>
      </c>
      <c r="AV82">
        <v>0</v>
      </c>
      <c r="AW82">
        <v>0</v>
      </c>
      <c r="AX82">
        <v>0</v>
      </c>
      <c r="AY82">
        <v>392916.666666667</v>
      </c>
      <c r="AZ82">
        <v>4792849.56913333</v>
      </c>
      <c r="BA82">
        <v>1150898.4968</v>
      </c>
      <c r="BB82">
        <v>43410.2468</v>
      </c>
      <c r="BC82">
        <v>17107.9668</v>
      </c>
      <c r="BD82">
        <v>26302.28</v>
      </c>
      <c r="BE82">
        <v>0</v>
      </c>
      <c r="BF82">
        <v>348121</v>
      </c>
      <c r="BG82">
        <v>348121</v>
      </c>
      <c r="BH82">
        <v>0</v>
      </c>
      <c r="BI82">
        <v>0</v>
      </c>
      <c r="BJ82">
        <v>328957</v>
      </c>
      <c r="BK82">
        <v>12931</v>
      </c>
      <c r="BL82">
        <v>12931</v>
      </c>
      <c r="BM82">
        <v>0</v>
      </c>
      <c r="BN82">
        <v>34670.5</v>
      </c>
      <c r="BO82">
        <v>135536.35</v>
      </c>
      <c r="BP82">
        <v>46000</v>
      </c>
      <c r="BQ82">
        <v>0</v>
      </c>
      <c r="BR82">
        <v>0</v>
      </c>
      <c r="BS82">
        <v>89536.35</v>
      </c>
      <c r="BT82">
        <v>247272.4</v>
      </c>
      <c r="BU82">
        <v>209223</v>
      </c>
      <c r="BV82">
        <v>38049.4</v>
      </c>
      <c r="BW82">
        <v>0</v>
      </c>
      <c r="BX82">
        <v>0</v>
      </c>
      <c r="BY82">
        <v>14871.11</v>
      </c>
      <c r="BZ82">
        <v>14871.11</v>
      </c>
      <c r="CA82">
        <v>14871.11</v>
      </c>
      <c r="CB82">
        <v>0</v>
      </c>
      <c r="CC82">
        <v>0</v>
      </c>
      <c r="CD82">
        <v>0</v>
      </c>
      <c r="CE82">
        <v>0</v>
      </c>
      <c r="CF82">
        <v>0</v>
      </c>
      <c r="CG82">
        <v>0</v>
      </c>
      <c r="CH82">
        <v>3627079.96233333</v>
      </c>
      <c r="CI82">
        <v>433706</v>
      </c>
      <c r="CJ82">
        <v>0</v>
      </c>
      <c r="CK82">
        <v>0</v>
      </c>
      <c r="CL82">
        <v>184730</v>
      </c>
      <c r="CM82">
        <v>165186</v>
      </c>
      <c r="CN82">
        <v>1663</v>
      </c>
      <c r="CO82">
        <v>82127</v>
      </c>
      <c r="CP82">
        <v>359375</v>
      </c>
      <c r="CQ82">
        <v>12681.04</v>
      </c>
      <c r="CR82">
        <v>3553.88</v>
      </c>
      <c r="CS82">
        <v>9127.16</v>
      </c>
      <c r="CT82">
        <v>0</v>
      </c>
      <c r="CU82">
        <v>0</v>
      </c>
      <c r="CV82">
        <v>0</v>
      </c>
      <c r="CW82">
        <v>0</v>
      </c>
      <c r="CX82">
        <v>0</v>
      </c>
      <c r="CY82">
        <v>27612.94</v>
      </c>
      <c r="CZ82">
        <v>3650</v>
      </c>
      <c r="DA82">
        <v>0</v>
      </c>
      <c r="DB82">
        <v>0</v>
      </c>
      <c r="DC82">
        <v>0</v>
      </c>
      <c r="DD82">
        <v>9000</v>
      </c>
      <c r="DE82">
        <v>9000</v>
      </c>
      <c r="DF82">
        <v>5962.94</v>
      </c>
      <c r="DG82">
        <v>0</v>
      </c>
      <c r="DH82" s="3">
        <v>754129</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31395</v>
      </c>
      <c r="EG82">
        <v>0</v>
      </c>
      <c r="EH82">
        <v>4500</v>
      </c>
      <c r="EI82">
        <v>756732.62</v>
      </c>
      <c r="EJ82">
        <v>0</v>
      </c>
      <c r="EK82">
        <v>0</v>
      </c>
      <c r="EL82">
        <v>42358</v>
      </c>
      <c r="EM82">
        <v>0</v>
      </c>
      <c r="EN82">
        <v>0</v>
      </c>
      <c r="EO82">
        <v>13390.5</v>
      </c>
      <c r="EP82">
        <v>0</v>
      </c>
      <c r="EQ82">
        <v>13390.5</v>
      </c>
      <c r="ER82">
        <v>29497.5</v>
      </c>
      <c r="ES82">
        <v>0</v>
      </c>
      <c r="ET82">
        <v>0</v>
      </c>
      <c r="EU82">
        <v>600</v>
      </c>
      <c r="EV82" s="4">
        <v>141.833333333333</v>
      </c>
      <c r="EW82">
        <v>0</v>
      </c>
      <c r="EX82">
        <v>0</v>
      </c>
      <c r="EY82" s="4">
        <v>141.833333333333</v>
      </c>
      <c r="EZ82">
        <v>0</v>
      </c>
      <c r="FA82">
        <v>0</v>
      </c>
      <c r="FB82">
        <v>0</v>
      </c>
      <c r="FC82">
        <v>0</v>
      </c>
      <c r="FD82">
        <v>0</v>
      </c>
      <c r="FE82">
        <v>0</v>
      </c>
      <c r="FF82">
        <v>0</v>
      </c>
      <c r="FG82">
        <v>0</v>
      </c>
      <c r="FH82">
        <v>0</v>
      </c>
      <c r="FI82" s="4">
        <v>919838.28</v>
      </c>
      <c r="FJ82">
        <v>40231.43</v>
      </c>
      <c r="FK82">
        <v>40231.43</v>
      </c>
      <c r="FL82">
        <v>0</v>
      </c>
      <c r="FM82" s="4">
        <v>0</v>
      </c>
      <c r="FN82">
        <v>0</v>
      </c>
      <c r="FO82">
        <v>0</v>
      </c>
      <c r="FP82">
        <v>0</v>
      </c>
      <c r="FQ82">
        <v>0</v>
      </c>
      <c r="FR82">
        <v>0</v>
      </c>
      <c r="FS82">
        <v>0</v>
      </c>
      <c r="FT82">
        <v>51842.792</v>
      </c>
      <c r="FU82">
        <v>129606.98</v>
      </c>
      <c r="FV82">
        <v>19441.047</v>
      </c>
      <c r="FY82">
        <v>6480349</v>
      </c>
      <c r="FZ82">
        <v>5855124.30913333</v>
      </c>
      <c r="GA82">
        <v>1062274.74</v>
      </c>
      <c r="GB82">
        <v>4792849.56913333</v>
      </c>
      <c r="GC82">
        <v>1687499.43086667</v>
      </c>
      <c r="GD82">
        <v>0.260402554070262</v>
      </c>
      <c r="GE82">
        <v>625224.690866666</v>
      </c>
      <c r="GF82">
        <v>0.0964800955730418</v>
      </c>
      <c r="GJ82">
        <v>45789.3333333333</v>
      </c>
      <c r="GL82">
        <v>45797.6666666667</v>
      </c>
      <c r="GO82">
        <v>45800.9583333333</v>
      </c>
      <c r="GR82" t="s">
        <v>694</v>
      </c>
      <c r="GU82" t="s">
        <v>694</v>
      </c>
      <c r="HA82">
        <v>45805</v>
      </c>
      <c r="HB82">
        <v>45818.0833333333</v>
      </c>
      <c r="HE82">
        <v>38</v>
      </c>
      <c r="HF82">
        <v>4</v>
      </c>
      <c r="HG82">
        <v>9</v>
      </c>
      <c r="HH82">
        <v>25</v>
      </c>
      <c r="HK82">
        <v>79</v>
      </c>
      <c r="HL82">
        <v>11</v>
      </c>
      <c r="HM82">
        <v>20</v>
      </c>
      <c r="HN82">
        <v>10</v>
      </c>
      <c r="HO82">
        <v>0</v>
      </c>
      <c r="HP82">
        <v>7</v>
      </c>
      <c r="HQ82">
        <v>150</v>
      </c>
      <c r="HR82">
        <v>213</v>
      </c>
      <c r="HU82" s="10"/>
    </row>
    <row r="83" spans="1:229">
      <c r="A83" s="1">
        <f t="shared" si="1"/>
        <v>82</v>
      </c>
      <c r="B83" s="2">
        <v>2025</v>
      </c>
      <c r="C83" s="2" t="s">
        <v>45</v>
      </c>
      <c r="D83" s="2" t="s">
        <v>27</v>
      </c>
      <c r="E83" s="9" t="s">
        <v>731</v>
      </c>
      <c r="F83" s="2" t="s">
        <v>794</v>
      </c>
      <c r="G83" s="2" t="s">
        <v>28</v>
      </c>
      <c r="H83" s="2" t="s">
        <v>711</v>
      </c>
      <c r="I83" s="2" t="s">
        <v>798</v>
      </c>
      <c r="J83" t="s">
        <v>318</v>
      </c>
      <c r="K83" t="s">
        <v>41</v>
      </c>
      <c r="L83" t="s">
        <v>32</v>
      </c>
      <c r="M83">
        <v>3</v>
      </c>
      <c r="N83">
        <v>4781</v>
      </c>
      <c r="O83" s="3">
        <v>4820</v>
      </c>
      <c r="P83" s="4">
        <v>10.625</v>
      </c>
      <c r="R83" s="4">
        <v>22.7316666667006</v>
      </c>
      <c r="S83" s="4">
        <v>11.9583333332994</v>
      </c>
      <c r="T83" s="4">
        <v>34.69</v>
      </c>
      <c r="U83" s="4">
        <v>45.315</v>
      </c>
      <c r="W83" s="4">
        <v>1.15633333333333</v>
      </c>
      <c r="X83" s="4">
        <v>1.5105</v>
      </c>
      <c r="Y83" s="3">
        <v>15992980</v>
      </c>
      <c r="Z83">
        <v>752345.787189383</v>
      </c>
      <c r="AA83">
        <v>15240634.2128106</v>
      </c>
      <c r="AB83">
        <v>2143901.39</v>
      </c>
      <c r="AC83">
        <v>604200</v>
      </c>
      <c r="AD83">
        <v>604200</v>
      </c>
      <c r="AE83">
        <v>0</v>
      </c>
      <c r="AF83">
        <v>818332.84</v>
      </c>
      <c r="AG83">
        <v>14442.53</v>
      </c>
      <c r="AH83">
        <v>803890.31</v>
      </c>
      <c r="AI83">
        <v>102063.55</v>
      </c>
      <c r="AJ83">
        <v>91996.9</v>
      </c>
      <c r="AK83">
        <v>0</v>
      </c>
      <c r="AL83">
        <v>10066.65</v>
      </c>
      <c r="AM83">
        <v>0</v>
      </c>
      <c r="AN83">
        <v>0</v>
      </c>
      <c r="AO83">
        <v>0</v>
      </c>
      <c r="AP83">
        <v>0</v>
      </c>
      <c r="AQ83">
        <v>0</v>
      </c>
      <c r="AR83">
        <v>0</v>
      </c>
      <c r="AS83">
        <v>0</v>
      </c>
      <c r="AT83">
        <v>0</v>
      </c>
      <c r="AU83">
        <v>0</v>
      </c>
      <c r="AV83">
        <v>0</v>
      </c>
      <c r="AW83">
        <v>0</v>
      </c>
      <c r="AX83">
        <v>0</v>
      </c>
      <c r="AY83">
        <v>619305</v>
      </c>
      <c r="AZ83">
        <v>13096732.8228106</v>
      </c>
      <c r="BA83">
        <v>3222123.12781062</v>
      </c>
      <c r="BB83">
        <v>282052.0332</v>
      </c>
      <c r="BC83">
        <v>282052.0332</v>
      </c>
      <c r="BD83">
        <v>0</v>
      </c>
      <c r="BE83">
        <v>0</v>
      </c>
      <c r="BF83">
        <v>1011142</v>
      </c>
      <c r="BG83">
        <v>1011142</v>
      </c>
      <c r="BH83">
        <v>0</v>
      </c>
      <c r="BI83">
        <v>0</v>
      </c>
      <c r="BJ83">
        <v>555581</v>
      </c>
      <c r="BK83">
        <v>237979</v>
      </c>
      <c r="BL83">
        <v>237979</v>
      </c>
      <c r="BM83">
        <v>0</v>
      </c>
      <c r="BN83">
        <v>335724.10461062</v>
      </c>
      <c r="BO83">
        <v>247925.91</v>
      </c>
      <c r="BP83">
        <v>72504</v>
      </c>
      <c r="BQ83">
        <v>0</v>
      </c>
      <c r="BR83">
        <v>0</v>
      </c>
      <c r="BS83">
        <v>175421.91</v>
      </c>
      <c r="BT83">
        <v>551719.08</v>
      </c>
      <c r="BU83">
        <v>501280</v>
      </c>
      <c r="BV83">
        <v>50439.08</v>
      </c>
      <c r="BW83">
        <v>0</v>
      </c>
      <c r="BX83">
        <v>0</v>
      </c>
      <c r="BY83">
        <v>181309.27</v>
      </c>
      <c r="BZ83">
        <v>142514.75</v>
      </c>
      <c r="CA83">
        <v>142514.75</v>
      </c>
      <c r="CB83">
        <v>0</v>
      </c>
      <c r="CC83">
        <v>0</v>
      </c>
      <c r="CD83">
        <v>38794.52</v>
      </c>
      <c r="CE83">
        <v>0</v>
      </c>
      <c r="CF83">
        <v>38794.52</v>
      </c>
      <c r="CG83">
        <v>0</v>
      </c>
      <c r="CH83">
        <v>9693300.425</v>
      </c>
      <c r="CI83">
        <v>469778</v>
      </c>
      <c r="CJ83">
        <v>0</v>
      </c>
      <c r="CK83">
        <v>8536</v>
      </c>
      <c r="CL83">
        <v>222006</v>
      </c>
      <c r="CM83">
        <v>102157</v>
      </c>
      <c r="CN83">
        <v>9504</v>
      </c>
      <c r="CO83">
        <v>127575</v>
      </c>
      <c r="CP83">
        <v>430492.5</v>
      </c>
      <c r="CQ83">
        <v>21846.61</v>
      </c>
      <c r="CR83">
        <v>10105.37</v>
      </c>
      <c r="CS83">
        <v>11741.24</v>
      </c>
      <c r="CT83">
        <v>0</v>
      </c>
      <c r="CU83">
        <v>0</v>
      </c>
      <c r="CV83">
        <v>0</v>
      </c>
      <c r="CW83">
        <v>0</v>
      </c>
      <c r="CX83">
        <v>0</v>
      </c>
      <c r="CY83">
        <v>28690.14</v>
      </c>
      <c r="CZ83">
        <v>3650</v>
      </c>
      <c r="DA83">
        <v>0</v>
      </c>
      <c r="DB83">
        <v>0</v>
      </c>
      <c r="DC83">
        <v>0</v>
      </c>
      <c r="DD83">
        <v>9000</v>
      </c>
      <c r="DE83">
        <v>11514</v>
      </c>
      <c r="DF83">
        <v>4526.14</v>
      </c>
      <c r="DG83">
        <v>0</v>
      </c>
      <c r="DH83" s="3">
        <v>1040352</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49499</v>
      </c>
      <c r="EG83">
        <v>0</v>
      </c>
      <c r="EH83">
        <v>161454.17</v>
      </c>
      <c r="EI83">
        <v>1727012.54</v>
      </c>
      <c r="EJ83">
        <v>0</v>
      </c>
      <c r="EK83">
        <v>532486</v>
      </c>
      <c r="EL83">
        <v>718423</v>
      </c>
      <c r="EM83">
        <v>263140</v>
      </c>
      <c r="EN83">
        <v>130000</v>
      </c>
      <c r="EO83">
        <v>80000</v>
      </c>
      <c r="EP83">
        <v>80000</v>
      </c>
      <c r="EQ83">
        <v>0</v>
      </c>
      <c r="ER83">
        <v>42822.675</v>
      </c>
      <c r="ES83">
        <v>0</v>
      </c>
      <c r="ET83">
        <v>0</v>
      </c>
      <c r="EU83">
        <v>1800</v>
      </c>
      <c r="EV83" s="4">
        <v>151.05</v>
      </c>
      <c r="EW83">
        <v>0</v>
      </c>
      <c r="EX83">
        <v>0</v>
      </c>
      <c r="EY83" s="4">
        <v>151.05</v>
      </c>
      <c r="EZ83">
        <v>0</v>
      </c>
      <c r="FA83">
        <v>0</v>
      </c>
      <c r="FB83">
        <v>0</v>
      </c>
      <c r="FC83">
        <v>0</v>
      </c>
      <c r="FD83">
        <v>0</v>
      </c>
      <c r="FE83">
        <v>0</v>
      </c>
      <c r="FF83">
        <v>0</v>
      </c>
      <c r="FG83">
        <v>0</v>
      </c>
      <c r="FH83">
        <v>820210</v>
      </c>
      <c r="FI83" s="4">
        <v>2476531.59</v>
      </c>
      <c r="FJ83">
        <v>202828.77</v>
      </c>
      <c r="FK83">
        <v>202828.77</v>
      </c>
      <c r="FL83">
        <v>0</v>
      </c>
      <c r="FM83" s="4">
        <v>0</v>
      </c>
      <c r="FN83">
        <v>0</v>
      </c>
      <c r="FO83">
        <v>0</v>
      </c>
      <c r="FP83">
        <v>0</v>
      </c>
      <c r="FQ83">
        <v>0</v>
      </c>
      <c r="FR83">
        <v>0</v>
      </c>
      <c r="FS83">
        <v>0</v>
      </c>
      <c r="FT83">
        <v>127943.84</v>
      </c>
      <c r="FU83">
        <v>319859.6</v>
      </c>
      <c r="FV83">
        <v>47978.94</v>
      </c>
      <c r="FY83">
        <v>15992980</v>
      </c>
      <c r="FZ83">
        <v>15240634.2128106</v>
      </c>
      <c r="GA83">
        <v>2143901.39</v>
      </c>
      <c r="GB83">
        <v>13096732.8228106</v>
      </c>
      <c r="GC83">
        <v>2896247.17718938</v>
      </c>
      <c r="GD83">
        <v>0.18109490396345</v>
      </c>
      <c r="GE83">
        <v>752345.787189383</v>
      </c>
      <c r="GF83">
        <v>0.0470422514871764</v>
      </c>
      <c r="GJ83">
        <v>45728.3333333333</v>
      </c>
      <c r="GL83">
        <v>45738.9583333333</v>
      </c>
      <c r="GO83">
        <v>45741.5</v>
      </c>
      <c r="GR83">
        <v>45790.9166666667</v>
      </c>
      <c r="GU83" t="s">
        <v>694</v>
      </c>
      <c r="HA83">
        <v>45805.5</v>
      </c>
      <c r="HB83">
        <v>45817.4583333333</v>
      </c>
      <c r="HE83">
        <v>35</v>
      </c>
      <c r="HF83">
        <v>3</v>
      </c>
      <c r="HG83">
        <v>13</v>
      </c>
      <c r="HH83">
        <v>19</v>
      </c>
      <c r="HK83">
        <v>286</v>
      </c>
      <c r="HL83">
        <v>47</v>
      </c>
      <c r="HM83">
        <v>40</v>
      </c>
      <c r="HN83">
        <v>42</v>
      </c>
      <c r="HO83">
        <v>0</v>
      </c>
      <c r="HP83">
        <v>10</v>
      </c>
      <c r="HQ83">
        <v>281</v>
      </c>
      <c r="HR83">
        <v>126</v>
      </c>
      <c r="HU83" s="10"/>
    </row>
    <row r="84" spans="1:229">
      <c r="A84" s="1">
        <f t="shared" si="1"/>
        <v>83</v>
      </c>
      <c r="B84" s="2">
        <v>2025</v>
      </c>
      <c r="C84" s="2" t="s">
        <v>47</v>
      </c>
      <c r="D84" s="2" t="s">
        <v>27</v>
      </c>
      <c r="E84" s="9">
        <v>50537</v>
      </c>
      <c r="F84" s="2" t="s">
        <v>736</v>
      </c>
      <c r="G84" s="2" t="s">
        <v>36</v>
      </c>
      <c r="H84" s="2" t="s">
        <v>692</v>
      </c>
      <c r="I84" s="2" t="s">
        <v>48</v>
      </c>
      <c r="J84" t="s">
        <v>30</v>
      </c>
      <c r="K84" t="s">
        <v>31</v>
      </c>
      <c r="L84" t="s">
        <v>38</v>
      </c>
      <c r="M84">
        <v>2</v>
      </c>
      <c r="N84">
        <v>2270</v>
      </c>
      <c r="O84" s="3">
        <v>2278</v>
      </c>
      <c r="P84" s="4">
        <v>8.58333333340124</v>
      </c>
      <c r="R84" s="4">
        <v>10.25</v>
      </c>
      <c r="S84" s="4">
        <v>4.20833333329938</v>
      </c>
      <c r="T84" s="4">
        <v>14.4583333332994</v>
      </c>
      <c r="U84" s="4">
        <v>23.0416666667006</v>
      </c>
      <c r="W84" s="4">
        <v>0.481944444443313</v>
      </c>
      <c r="X84" s="4">
        <v>0.768055555556687</v>
      </c>
      <c r="Y84" s="3">
        <v>3827722</v>
      </c>
      <c r="Z84">
        <v>72315.721810061</v>
      </c>
      <c r="AA84">
        <v>3755406.27818994</v>
      </c>
      <c r="AB84">
        <v>589100.763334165</v>
      </c>
      <c r="AC84">
        <v>249618.055555923</v>
      </c>
      <c r="AD84">
        <v>249618.055555923</v>
      </c>
      <c r="AE84">
        <v>0</v>
      </c>
      <c r="AF84">
        <v>19807.44</v>
      </c>
      <c r="AG84">
        <v>19807.44</v>
      </c>
      <c r="AH84">
        <v>0</v>
      </c>
      <c r="AI84">
        <v>4772.49</v>
      </c>
      <c r="AJ84">
        <v>2166.61</v>
      </c>
      <c r="AK84">
        <v>2326.13</v>
      </c>
      <c r="AL84">
        <v>279.75</v>
      </c>
      <c r="AM84">
        <v>0</v>
      </c>
      <c r="AN84">
        <v>0</v>
      </c>
      <c r="AO84">
        <v>0</v>
      </c>
      <c r="AP84">
        <v>0</v>
      </c>
      <c r="AQ84">
        <v>0</v>
      </c>
      <c r="AR84">
        <v>0</v>
      </c>
      <c r="AS84">
        <v>0</v>
      </c>
      <c r="AT84">
        <v>0</v>
      </c>
      <c r="AU84">
        <v>0</v>
      </c>
      <c r="AV84">
        <v>0</v>
      </c>
      <c r="AW84">
        <v>0</v>
      </c>
      <c r="AX84">
        <v>0</v>
      </c>
      <c r="AY84">
        <v>314902.777778242</v>
      </c>
      <c r="AZ84">
        <v>3166305.51485577</v>
      </c>
      <c r="BA84">
        <v>1144614.91118872</v>
      </c>
      <c r="BB84">
        <v>22548.654</v>
      </c>
      <c r="BC84">
        <v>9748.674</v>
      </c>
      <c r="BD84">
        <v>12799.98</v>
      </c>
      <c r="BE84">
        <v>0</v>
      </c>
      <c r="BF84">
        <v>519250</v>
      </c>
      <c r="BG84">
        <v>519250</v>
      </c>
      <c r="BH84">
        <v>0</v>
      </c>
      <c r="BI84">
        <v>5827.464</v>
      </c>
      <c r="BJ84">
        <v>185393</v>
      </c>
      <c r="BK84">
        <v>0</v>
      </c>
      <c r="BL84">
        <v>0</v>
      </c>
      <c r="BM84">
        <v>0</v>
      </c>
      <c r="BN84">
        <v>150593.726522</v>
      </c>
      <c r="BO84">
        <v>101786.016666721</v>
      </c>
      <c r="BP84">
        <v>36866.666666721</v>
      </c>
      <c r="BQ84">
        <v>0</v>
      </c>
      <c r="BR84">
        <v>0</v>
      </c>
      <c r="BS84">
        <v>64919.35</v>
      </c>
      <c r="BT84">
        <v>159216.05</v>
      </c>
      <c r="BU84">
        <v>143514</v>
      </c>
      <c r="BV84">
        <v>15702.05</v>
      </c>
      <c r="BW84">
        <v>0</v>
      </c>
      <c r="BX84">
        <v>0</v>
      </c>
      <c r="BY84">
        <v>4298.5</v>
      </c>
      <c r="BZ84">
        <v>4298.5</v>
      </c>
      <c r="CA84">
        <v>4298.5</v>
      </c>
      <c r="CB84">
        <v>0</v>
      </c>
      <c r="CC84">
        <v>0</v>
      </c>
      <c r="CD84">
        <v>0</v>
      </c>
      <c r="CE84">
        <v>0</v>
      </c>
      <c r="CF84">
        <v>0</v>
      </c>
      <c r="CG84">
        <v>0</v>
      </c>
      <c r="CH84">
        <v>2017392.10366705</v>
      </c>
      <c r="CI84">
        <v>172769</v>
      </c>
      <c r="CJ84">
        <v>0</v>
      </c>
      <c r="CK84">
        <v>0</v>
      </c>
      <c r="CL84">
        <v>59761</v>
      </c>
      <c r="CM84">
        <v>43183</v>
      </c>
      <c r="CN84">
        <v>14251</v>
      </c>
      <c r="CO84">
        <v>55574</v>
      </c>
      <c r="CP84">
        <v>241937.500000356</v>
      </c>
      <c r="CQ84">
        <v>7988</v>
      </c>
      <c r="CR84">
        <v>2132</v>
      </c>
      <c r="CS84">
        <v>5856</v>
      </c>
      <c r="CT84">
        <v>0</v>
      </c>
      <c r="CU84">
        <v>0</v>
      </c>
      <c r="CV84">
        <v>0</v>
      </c>
      <c r="CW84">
        <v>0</v>
      </c>
      <c r="CX84">
        <v>0</v>
      </c>
      <c r="CY84">
        <v>24367.34</v>
      </c>
      <c r="CZ84">
        <v>3650</v>
      </c>
      <c r="DA84">
        <v>0</v>
      </c>
      <c r="DB84">
        <v>0</v>
      </c>
      <c r="DC84">
        <v>0</v>
      </c>
      <c r="DD84">
        <v>0</v>
      </c>
      <c r="DE84">
        <v>9000</v>
      </c>
      <c r="DF84">
        <v>11717.34</v>
      </c>
      <c r="DG84">
        <v>0</v>
      </c>
      <c r="DH84" s="3">
        <v>352887</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21763</v>
      </c>
      <c r="EG84">
        <v>0</v>
      </c>
      <c r="EH84">
        <v>0</v>
      </c>
      <c r="EI84">
        <v>360708.81</v>
      </c>
      <c r="EJ84">
        <v>0</v>
      </c>
      <c r="EK84">
        <v>0</v>
      </c>
      <c r="EL84">
        <v>0</v>
      </c>
      <c r="EM84">
        <v>52753</v>
      </c>
      <c r="EN84">
        <v>0</v>
      </c>
      <c r="EO84">
        <v>12166</v>
      </c>
      <c r="EP84">
        <v>0</v>
      </c>
      <c r="EQ84">
        <v>12166</v>
      </c>
      <c r="ER84">
        <v>21152.2500000312</v>
      </c>
      <c r="ES84">
        <v>0</v>
      </c>
      <c r="ET84">
        <v>0</v>
      </c>
      <c r="EU84">
        <v>480</v>
      </c>
      <c r="EV84" s="4">
        <v>105.991666666823</v>
      </c>
      <c r="EW84">
        <v>0</v>
      </c>
      <c r="EX84">
        <v>0</v>
      </c>
      <c r="EY84" s="4">
        <v>105.991666666823</v>
      </c>
      <c r="EZ84">
        <v>0</v>
      </c>
      <c r="FA84">
        <v>0</v>
      </c>
      <c r="FB84">
        <v>0</v>
      </c>
      <c r="FC84">
        <v>0</v>
      </c>
      <c r="FD84">
        <v>0</v>
      </c>
      <c r="FE84">
        <v>0</v>
      </c>
      <c r="FF84">
        <v>0</v>
      </c>
      <c r="FG84">
        <v>0</v>
      </c>
      <c r="FH84">
        <v>0</v>
      </c>
      <c r="FI84" s="4">
        <v>589423.4</v>
      </c>
      <c r="FJ84">
        <v>40231.43</v>
      </c>
      <c r="FK84">
        <v>40231.43</v>
      </c>
      <c r="FL84">
        <v>0</v>
      </c>
      <c r="FM84" s="4">
        <v>0</v>
      </c>
      <c r="FN84">
        <v>0</v>
      </c>
      <c r="FO84">
        <v>0</v>
      </c>
      <c r="FP84">
        <v>0</v>
      </c>
      <c r="FQ84">
        <v>0</v>
      </c>
      <c r="FR84">
        <v>0</v>
      </c>
      <c r="FS84">
        <v>0</v>
      </c>
      <c r="FT84">
        <v>30621.776</v>
      </c>
      <c r="FU84">
        <v>76554.44</v>
      </c>
      <c r="FV84">
        <v>11483.166</v>
      </c>
      <c r="FY84">
        <v>3827722</v>
      </c>
      <c r="FZ84">
        <v>3755406.27818994</v>
      </c>
      <c r="GA84">
        <v>589100.763334165</v>
      </c>
      <c r="GB84">
        <v>3166305.51485577</v>
      </c>
      <c r="GC84">
        <v>661416.485144226</v>
      </c>
      <c r="GD84">
        <v>0.172796374748277</v>
      </c>
      <c r="GE84">
        <v>72315.721810061</v>
      </c>
      <c r="GF84">
        <v>0.0188926264263865</v>
      </c>
      <c r="GJ84">
        <v>45838.3333333333</v>
      </c>
      <c r="GL84">
        <v>45846.9166666667</v>
      </c>
      <c r="GO84">
        <v>45849.875</v>
      </c>
      <c r="GR84" t="s">
        <v>694</v>
      </c>
      <c r="GU84" t="s">
        <v>694</v>
      </c>
      <c r="HA84">
        <v>45857.1666666667</v>
      </c>
      <c r="HB84">
        <v>45861.375</v>
      </c>
      <c r="HE84">
        <v>34</v>
      </c>
      <c r="HF84">
        <v>3</v>
      </c>
      <c r="HG84">
        <v>10</v>
      </c>
      <c r="HH84">
        <v>21</v>
      </c>
      <c r="HK84">
        <v>72</v>
      </c>
      <c r="HL84">
        <v>44</v>
      </c>
      <c r="HM84">
        <v>53</v>
      </c>
      <c r="HN84">
        <v>0</v>
      </c>
      <c r="HO84">
        <v>0</v>
      </c>
      <c r="HP84">
        <v>29</v>
      </c>
      <c r="HQ84">
        <v>143</v>
      </c>
      <c r="HR84">
        <v>6</v>
      </c>
      <c r="HU84" s="10"/>
    </row>
    <row r="85" spans="1:229">
      <c r="A85" s="1">
        <f t="shared" si="1"/>
        <v>84</v>
      </c>
      <c r="B85" s="2">
        <v>2025</v>
      </c>
      <c r="C85" s="2" t="s">
        <v>47</v>
      </c>
      <c r="D85" s="2" t="s">
        <v>27</v>
      </c>
      <c r="E85" s="9">
        <v>70111</v>
      </c>
      <c r="F85" s="2" t="s">
        <v>790</v>
      </c>
      <c r="G85" s="2" t="s">
        <v>28</v>
      </c>
      <c r="H85" s="2" t="s">
        <v>711</v>
      </c>
      <c r="I85" s="2" t="s">
        <v>799</v>
      </c>
      <c r="J85" t="s">
        <v>318</v>
      </c>
      <c r="K85" t="s">
        <v>41</v>
      </c>
      <c r="L85" t="s">
        <v>32</v>
      </c>
      <c r="M85">
        <v>3</v>
      </c>
      <c r="N85">
        <v>5798</v>
      </c>
      <c r="O85" s="3">
        <v>5798</v>
      </c>
      <c r="P85" s="4">
        <v>8.58333333340124</v>
      </c>
      <c r="R85" s="4">
        <v>32.9583333332994</v>
      </c>
      <c r="S85" s="4">
        <v>14.375</v>
      </c>
      <c r="T85" s="4">
        <v>47.3333333332994</v>
      </c>
      <c r="U85" s="4">
        <v>55.9166666667006</v>
      </c>
      <c r="W85" s="4">
        <v>1.57777777777665</v>
      </c>
      <c r="X85" s="4">
        <v>1.86388888889002</v>
      </c>
      <c r="Y85" s="3">
        <v>20307613</v>
      </c>
      <c r="Z85">
        <v>535963.603569578</v>
      </c>
      <c r="AA85">
        <v>19771649.3964304</v>
      </c>
      <c r="AB85">
        <v>1802236.58777867</v>
      </c>
      <c r="AC85">
        <v>698958.333333758</v>
      </c>
      <c r="AD85">
        <v>698958.333333758</v>
      </c>
      <c r="AE85">
        <v>0</v>
      </c>
      <c r="AF85">
        <v>303282.93</v>
      </c>
      <c r="AG85">
        <v>59031.73</v>
      </c>
      <c r="AH85">
        <v>244251.2</v>
      </c>
      <c r="AI85">
        <v>35800.88</v>
      </c>
      <c r="AJ85">
        <v>24203.78</v>
      </c>
      <c r="AK85">
        <v>11597.1</v>
      </c>
      <c r="AL85">
        <v>0</v>
      </c>
      <c r="AM85">
        <v>0</v>
      </c>
      <c r="AN85">
        <v>0</v>
      </c>
      <c r="AO85">
        <v>0</v>
      </c>
      <c r="AP85">
        <v>0</v>
      </c>
      <c r="AQ85">
        <v>0</v>
      </c>
      <c r="AR85">
        <v>0</v>
      </c>
      <c r="AS85">
        <v>0</v>
      </c>
      <c r="AT85">
        <v>0</v>
      </c>
      <c r="AU85">
        <v>0</v>
      </c>
      <c r="AV85">
        <v>0</v>
      </c>
      <c r="AW85">
        <v>0</v>
      </c>
      <c r="AX85">
        <v>0</v>
      </c>
      <c r="AY85">
        <v>764194.444444908</v>
      </c>
      <c r="AZ85">
        <v>17969412.8086518</v>
      </c>
      <c r="BA85">
        <v>4280990.35111805</v>
      </c>
      <c r="BB85">
        <v>600785.8344</v>
      </c>
      <c r="BC85">
        <v>600785.8344</v>
      </c>
      <c r="BD85">
        <v>0</v>
      </c>
      <c r="BE85">
        <v>0</v>
      </c>
      <c r="BF85">
        <v>1052469</v>
      </c>
      <c r="BG85">
        <v>1052469</v>
      </c>
      <c r="BH85">
        <v>0</v>
      </c>
      <c r="BI85">
        <v>9729.1017</v>
      </c>
      <c r="BJ85">
        <v>89739</v>
      </c>
      <c r="BK85">
        <v>1142820.12</v>
      </c>
      <c r="BL85">
        <v>532570.87</v>
      </c>
      <c r="BM85">
        <v>610249.25</v>
      </c>
      <c r="BN85">
        <v>548495.598351327</v>
      </c>
      <c r="BO85">
        <v>155551.076666721</v>
      </c>
      <c r="BP85">
        <v>89466.666666721</v>
      </c>
      <c r="BQ85">
        <v>0</v>
      </c>
      <c r="BR85">
        <v>0</v>
      </c>
      <c r="BS85">
        <v>66084.41</v>
      </c>
      <c r="BT85">
        <v>681400.62</v>
      </c>
      <c r="BU85">
        <v>602992</v>
      </c>
      <c r="BV85">
        <v>78408.62</v>
      </c>
      <c r="BW85">
        <v>0</v>
      </c>
      <c r="BX85">
        <v>0</v>
      </c>
      <c r="BY85">
        <v>890866.3812</v>
      </c>
      <c r="BZ85">
        <v>35280.5</v>
      </c>
      <c r="CA85">
        <v>35280.5</v>
      </c>
      <c r="CB85">
        <v>0</v>
      </c>
      <c r="CC85">
        <v>0</v>
      </c>
      <c r="CD85">
        <v>855585.8812</v>
      </c>
      <c r="CE85">
        <v>450448.7012</v>
      </c>
      <c r="CF85">
        <v>67284.8</v>
      </c>
      <c r="CG85">
        <v>337852.38</v>
      </c>
      <c r="CH85">
        <v>12797556.0763337</v>
      </c>
      <c r="CI85">
        <v>820215</v>
      </c>
      <c r="CJ85">
        <v>0</v>
      </c>
      <c r="CK85">
        <v>0</v>
      </c>
      <c r="CL85">
        <v>507640</v>
      </c>
      <c r="CM85">
        <v>106175</v>
      </c>
      <c r="CN85">
        <v>57274</v>
      </c>
      <c r="CO85">
        <v>149126</v>
      </c>
      <c r="CP85">
        <v>559166.666667006</v>
      </c>
      <c r="CQ85">
        <v>30140</v>
      </c>
      <c r="CR85">
        <v>6430</v>
      </c>
      <c r="CS85">
        <v>23710</v>
      </c>
      <c r="CT85">
        <v>0</v>
      </c>
      <c r="CU85">
        <v>0</v>
      </c>
      <c r="CV85">
        <v>0</v>
      </c>
      <c r="CW85">
        <v>0</v>
      </c>
      <c r="CX85">
        <v>0</v>
      </c>
      <c r="CY85">
        <v>20794.34</v>
      </c>
      <c r="CZ85">
        <v>3650</v>
      </c>
      <c r="DA85">
        <v>0</v>
      </c>
      <c r="DB85">
        <v>0</v>
      </c>
      <c r="DC85">
        <v>0</v>
      </c>
      <c r="DD85">
        <v>0</v>
      </c>
      <c r="DE85">
        <v>9000</v>
      </c>
      <c r="DF85">
        <v>8144.34</v>
      </c>
      <c r="DG85">
        <v>0</v>
      </c>
      <c r="DH85" s="3">
        <v>1687607</v>
      </c>
      <c r="DI85">
        <v>96884.64</v>
      </c>
      <c r="DJ85">
        <v>0</v>
      </c>
      <c r="DK85">
        <v>96884.64</v>
      </c>
      <c r="DL85">
        <v>0</v>
      </c>
      <c r="DM85">
        <v>0</v>
      </c>
      <c r="DN85">
        <v>0</v>
      </c>
      <c r="DO85">
        <v>0</v>
      </c>
      <c r="DP85">
        <v>0</v>
      </c>
      <c r="DQ85">
        <v>58177.55</v>
      </c>
      <c r="DR85">
        <v>0</v>
      </c>
      <c r="DS85">
        <v>58177.55</v>
      </c>
      <c r="DT85">
        <v>0</v>
      </c>
      <c r="DU85">
        <v>0</v>
      </c>
      <c r="DV85">
        <v>0</v>
      </c>
      <c r="DW85">
        <v>0</v>
      </c>
      <c r="DX85">
        <v>0</v>
      </c>
      <c r="DY85">
        <v>0</v>
      </c>
      <c r="DZ85">
        <v>0</v>
      </c>
      <c r="EA85">
        <v>0</v>
      </c>
      <c r="EB85">
        <v>0</v>
      </c>
      <c r="EC85">
        <v>0</v>
      </c>
      <c r="ED85">
        <v>0</v>
      </c>
      <c r="EE85">
        <v>0</v>
      </c>
      <c r="EF85">
        <v>51966</v>
      </c>
      <c r="EG85">
        <v>0</v>
      </c>
      <c r="EH85">
        <v>233137.81</v>
      </c>
      <c r="EI85">
        <v>1804137.46</v>
      </c>
      <c r="EJ85">
        <v>0</v>
      </c>
      <c r="EK85">
        <v>709891</v>
      </c>
      <c r="EL85">
        <v>1066972</v>
      </c>
      <c r="EM85">
        <v>751562</v>
      </c>
      <c r="EN85">
        <v>200000</v>
      </c>
      <c r="EO85">
        <v>100000</v>
      </c>
      <c r="EP85">
        <v>100000</v>
      </c>
      <c r="EQ85">
        <v>0</v>
      </c>
      <c r="ER85">
        <v>52841.2500000321</v>
      </c>
      <c r="ES85">
        <v>0</v>
      </c>
      <c r="ET85">
        <v>0</v>
      </c>
      <c r="EU85">
        <v>2100</v>
      </c>
      <c r="EV85" s="4">
        <v>257.216666666823</v>
      </c>
      <c r="EW85">
        <v>0</v>
      </c>
      <c r="EX85">
        <v>0</v>
      </c>
      <c r="EY85" s="4">
        <v>257.216666666823</v>
      </c>
      <c r="EZ85">
        <v>0</v>
      </c>
      <c r="FA85">
        <v>0</v>
      </c>
      <c r="FB85">
        <v>0</v>
      </c>
      <c r="FC85">
        <v>0</v>
      </c>
      <c r="FD85">
        <v>0</v>
      </c>
      <c r="FE85">
        <v>0</v>
      </c>
      <c r="FF85">
        <v>0</v>
      </c>
      <c r="FG85">
        <v>0</v>
      </c>
      <c r="FH85">
        <v>1062137</v>
      </c>
      <c r="FI85" s="4">
        <v>2679896.88</v>
      </c>
      <c r="FJ85">
        <v>178651.11</v>
      </c>
      <c r="FK85">
        <v>178651.11</v>
      </c>
      <c r="FL85">
        <v>0</v>
      </c>
      <c r="FM85" s="4">
        <v>1485.15</v>
      </c>
      <c r="FN85">
        <v>0</v>
      </c>
      <c r="FO85">
        <v>0</v>
      </c>
      <c r="FP85">
        <v>0</v>
      </c>
      <c r="FQ85">
        <v>0</v>
      </c>
      <c r="FR85">
        <v>1485.15</v>
      </c>
      <c r="FS85">
        <v>0</v>
      </c>
      <c r="FT85">
        <v>162460.904</v>
      </c>
      <c r="FU85">
        <v>406152.26</v>
      </c>
      <c r="FV85">
        <v>60922.839</v>
      </c>
      <c r="FY85">
        <v>20307613</v>
      </c>
      <c r="FZ85">
        <v>19771649.3964304</v>
      </c>
      <c r="GA85">
        <v>1802236.58777867</v>
      </c>
      <c r="GB85">
        <v>17969412.8086518</v>
      </c>
      <c r="GC85">
        <v>2338200.19134825</v>
      </c>
      <c r="GD85">
        <v>0.115139095439146</v>
      </c>
      <c r="GE85">
        <v>535963.603569578</v>
      </c>
      <c r="GF85">
        <v>0.0263922502152064</v>
      </c>
      <c r="GJ85">
        <v>45791.3333333333</v>
      </c>
      <c r="GL85">
        <v>45799.9166666667</v>
      </c>
      <c r="GO85">
        <v>45802</v>
      </c>
      <c r="GR85">
        <v>45808.6041666667</v>
      </c>
      <c r="GU85" t="s">
        <v>694</v>
      </c>
      <c r="HA85">
        <v>45832.875</v>
      </c>
      <c r="HB85">
        <v>45847.25</v>
      </c>
      <c r="HE85">
        <v>35</v>
      </c>
      <c r="HF85">
        <v>6</v>
      </c>
      <c r="HG85">
        <v>9</v>
      </c>
      <c r="HH85">
        <v>20</v>
      </c>
      <c r="HK85">
        <v>296</v>
      </c>
      <c r="HL85">
        <v>159</v>
      </c>
      <c r="HM85">
        <v>34</v>
      </c>
      <c r="HN85">
        <v>21</v>
      </c>
      <c r="HO85">
        <v>2</v>
      </c>
      <c r="HP85">
        <v>38</v>
      </c>
      <c r="HQ85">
        <v>217</v>
      </c>
      <c r="HR85">
        <v>369</v>
      </c>
      <c r="HU85" s="10"/>
    </row>
    <row r="86" spans="1:229">
      <c r="A86" s="1">
        <f t="shared" si="1"/>
        <v>85</v>
      </c>
      <c r="B86" s="2">
        <v>2025</v>
      </c>
      <c r="C86" s="2" t="s">
        <v>47</v>
      </c>
      <c r="D86" s="2" t="s">
        <v>27</v>
      </c>
      <c r="E86" s="9" t="s">
        <v>468</v>
      </c>
      <c r="F86" s="2" t="s">
        <v>746</v>
      </c>
      <c r="G86" s="2" t="s">
        <v>28</v>
      </c>
      <c r="H86" s="2" t="s">
        <v>711</v>
      </c>
      <c r="I86" s="2" t="s">
        <v>800</v>
      </c>
      <c r="J86" t="s">
        <v>318</v>
      </c>
      <c r="K86" t="s">
        <v>730</v>
      </c>
      <c r="L86" t="s">
        <v>32</v>
      </c>
      <c r="M86">
        <v>2</v>
      </c>
      <c r="N86">
        <v>5542</v>
      </c>
      <c r="O86" s="3">
        <v>5606</v>
      </c>
      <c r="P86" s="4">
        <v>3</v>
      </c>
      <c r="R86" s="4">
        <v>30.1666666667006</v>
      </c>
      <c r="S86" s="4">
        <v>12.875</v>
      </c>
      <c r="T86" s="4">
        <v>43.0416666667006</v>
      </c>
      <c r="U86" s="4">
        <v>46.0416666667006</v>
      </c>
      <c r="W86" s="4">
        <v>1.43472222222335</v>
      </c>
      <c r="X86" s="4">
        <v>1.53472222222335</v>
      </c>
      <c r="Y86" s="3">
        <v>18595524</v>
      </c>
      <c r="Z86">
        <v>679309.948317997</v>
      </c>
      <c r="AA86">
        <v>17916214.051682</v>
      </c>
      <c r="AB86">
        <v>1914384.94666767</v>
      </c>
      <c r="AC86">
        <v>728993.055556093</v>
      </c>
      <c r="AD86">
        <v>728993.055556093</v>
      </c>
      <c r="AE86">
        <v>0</v>
      </c>
      <c r="AF86">
        <v>536355.06</v>
      </c>
      <c r="AG86">
        <v>129610.28</v>
      </c>
      <c r="AH86">
        <v>406744.78</v>
      </c>
      <c r="AI86">
        <v>19800.72</v>
      </c>
      <c r="AJ86">
        <v>5014.91</v>
      </c>
      <c r="AK86">
        <v>4819.11</v>
      </c>
      <c r="AL86">
        <v>9966.7</v>
      </c>
      <c r="AM86">
        <v>0</v>
      </c>
      <c r="AN86">
        <v>0</v>
      </c>
      <c r="AO86">
        <v>0</v>
      </c>
      <c r="AP86">
        <v>0</v>
      </c>
      <c r="AQ86">
        <v>0</v>
      </c>
      <c r="AR86">
        <v>0</v>
      </c>
      <c r="AS86">
        <v>0</v>
      </c>
      <c r="AT86">
        <v>0</v>
      </c>
      <c r="AU86">
        <v>0</v>
      </c>
      <c r="AV86">
        <v>0</v>
      </c>
      <c r="AW86">
        <v>0</v>
      </c>
      <c r="AX86">
        <v>0</v>
      </c>
      <c r="AY86">
        <v>629236.111111574</v>
      </c>
      <c r="AZ86">
        <v>16001829.1050143</v>
      </c>
      <c r="BA86">
        <v>4246895.39591403</v>
      </c>
      <c r="BB86">
        <v>647270.1252</v>
      </c>
      <c r="BC86">
        <v>647270.1252</v>
      </c>
      <c r="BD86">
        <v>0</v>
      </c>
      <c r="BE86">
        <v>0</v>
      </c>
      <c r="BF86">
        <v>1259761</v>
      </c>
      <c r="BG86">
        <v>1259761</v>
      </c>
      <c r="BH86">
        <v>0</v>
      </c>
      <c r="BI86">
        <v>13630.7394</v>
      </c>
      <c r="BJ86">
        <v>0</v>
      </c>
      <c r="BK86">
        <v>1247334.34</v>
      </c>
      <c r="BL86">
        <v>472701.39</v>
      </c>
      <c r="BM86">
        <v>774632.95</v>
      </c>
      <c r="BN86">
        <v>228064.284647313</v>
      </c>
      <c r="BO86">
        <v>187238.646666721</v>
      </c>
      <c r="BP86">
        <v>73666.666666721</v>
      </c>
      <c r="BQ86">
        <v>0</v>
      </c>
      <c r="BR86">
        <v>0</v>
      </c>
      <c r="BS86">
        <v>113571.98</v>
      </c>
      <c r="BT86">
        <v>663596.26</v>
      </c>
      <c r="BU86">
        <v>583024</v>
      </c>
      <c r="BV86">
        <v>80572.26</v>
      </c>
      <c r="BW86">
        <v>0</v>
      </c>
      <c r="BX86">
        <v>0</v>
      </c>
      <c r="BY86">
        <v>650270.9151</v>
      </c>
      <c r="BZ86">
        <v>116719</v>
      </c>
      <c r="CA86">
        <v>114719</v>
      </c>
      <c r="CB86">
        <v>0</v>
      </c>
      <c r="CC86">
        <v>2000</v>
      </c>
      <c r="CD86">
        <v>533551.9151</v>
      </c>
      <c r="CE86">
        <v>168774.6951</v>
      </c>
      <c r="CF86">
        <v>77454.08</v>
      </c>
      <c r="CG86">
        <v>287323.14</v>
      </c>
      <c r="CH86">
        <v>11104662.7940003</v>
      </c>
      <c r="CI86">
        <v>214948</v>
      </c>
      <c r="CJ86">
        <v>0</v>
      </c>
      <c r="CK86">
        <v>11974</v>
      </c>
      <c r="CL86">
        <v>0</v>
      </c>
      <c r="CM86">
        <v>108559</v>
      </c>
      <c r="CN86">
        <v>6553</v>
      </c>
      <c r="CO86">
        <v>87862</v>
      </c>
      <c r="CP86">
        <v>368333.333333604</v>
      </c>
      <c r="CQ86">
        <v>18611</v>
      </c>
      <c r="CR86">
        <v>11024</v>
      </c>
      <c r="CS86">
        <v>7587</v>
      </c>
      <c r="CT86">
        <v>0</v>
      </c>
      <c r="CU86">
        <v>0</v>
      </c>
      <c r="CV86">
        <v>0</v>
      </c>
      <c r="CW86">
        <v>0</v>
      </c>
      <c r="CX86">
        <v>0</v>
      </c>
      <c r="CY86">
        <v>22314.74</v>
      </c>
      <c r="CZ86">
        <v>3650</v>
      </c>
      <c r="DA86">
        <v>0</v>
      </c>
      <c r="DB86">
        <v>0</v>
      </c>
      <c r="DC86">
        <v>440</v>
      </c>
      <c r="DD86">
        <v>0</v>
      </c>
      <c r="DE86">
        <v>9000</v>
      </c>
      <c r="DF86">
        <v>9224.74</v>
      </c>
      <c r="DG86">
        <v>0</v>
      </c>
      <c r="DH86" s="3">
        <v>1822466</v>
      </c>
      <c r="DI86">
        <v>149309.6</v>
      </c>
      <c r="DJ86">
        <v>0</v>
      </c>
      <c r="DK86">
        <v>0</v>
      </c>
      <c r="DL86">
        <v>0</v>
      </c>
      <c r="DM86">
        <v>0</v>
      </c>
      <c r="DN86">
        <v>0</v>
      </c>
      <c r="DO86">
        <v>0</v>
      </c>
      <c r="DP86">
        <v>149309.6</v>
      </c>
      <c r="DQ86">
        <v>0</v>
      </c>
      <c r="DR86">
        <v>0</v>
      </c>
      <c r="DS86">
        <v>0</v>
      </c>
      <c r="DT86">
        <v>0</v>
      </c>
      <c r="DU86">
        <v>0</v>
      </c>
      <c r="DV86">
        <v>0</v>
      </c>
      <c r="DW86">
        <v>0</v>
      </c>
      <c r="DX86">
        <v>0</v>
      </c>
      <c r="DY86">
        <v>0</v>
      </c>
      <c r="DZ86">
        <v>0</v>
      </c>
      <c r="EA86">
        <v>0</v>
      </c>
      <c r="EB86">
        <v>0</v>
      </c>
      <c r="EC86">
        <v>0</v>
      </c>
      <c r="ED86">
        <v>0</v>
      </c>
      <c r="EE86">
        <v>0</v>
      </c>
      <c r="EF86">
        <v>53004</v>
      </c>
      <c r="EG86">
        <v>0</v>
      </c>
      <c r="EH86">
        <v>364188.77</v>
      </c>
      <c r="EI86">
        <v>1828449.7</v>
      </c>
      <c r="EJ86">
        <v>0</v>
      </c>
      <c r="EK86">
        <v>699926</v>
      </c>
      <c r="EL86">
        <v>666024</v>
      </c>
      <c r="EM86">
        <v>282813</v>
      </c>
      <c r="EN86">
        <v>170000</v>
      </c>
      <c r="EO86">
        <v>80000</v>
      </c>
      <c r="EP86">
        <v>80000</v>
      </c>
      <c r="EQ86">
        <v>0</v>
      </c>
      <c r="ER86">
        <v>43509.3750000321</v>
      </c>
      <c r="ES86">
        <v>0</v>
      </c>
      <c r="ET86">
        <v>0</v>
      </c>
      <c r="EU86">
        <v>1800</v>
      </c>
      <c r="EV86" s="4">
        <v>211.791666666823</v>
      </c>
      <c r="EW86">
        <v>0</v>
      </c>
      <c r="EX86">
        <v>0</v>
      </c>
      <c r="EY86" s="4">
        <v>211.791666666823</v>
      </c>
      <c r="EZ86">
        <v>0</v>
      </c>
      <c r="FA86">
        <v>0</v>
      </c>
      <c r="FB86">
        <v>0</v>
      </c>
      <c r="FC86">
        <v>0</v>
      </c>
      <c r="FD86">
        <v>0</v>
      </c>
      <c r="FE86">
        <v>0</v>
      </c>
      <c r="FF86">
        <v>0</v>
      </c>
      <c r="FG86">
        <v>0</v>
      </c>
      <c r="FH86">
        <v>1058407</v>
      </c>
      <c r="FI86" s="4">
        <v>2600091.57</v>
      </c>
      <c r="FJ86">
        <v>83793.67</v>
      </c>
      <c r="FK86">
        <v>83793.67</v>
      </c>
      <c r="FL86">
        <v>0</v>
      </c>
      <c r="FM86" s="4">
        <v>0</v>
      </c>
      <c r="FN86">
        <v>0</v>
      </c>
      <c r="FO86">
        <v>0</v>
      </c>
      <c r="FP86">
        <v>0</v>
      </c>
      <c r="FQ86">
        <v>0</v>
      </c>
      <c r="FR86">
        <v>0</v>
      </c>
      <c r="FS86">
        <v>0</v>
      </c>
      <c r="FT86">
        <v>148764.192</v>
      </c>
      <c r="FU86">
        <v>371910.48</v>
      </c>
      <c r="FV86">
        <v>55786.572</v>
      </c>
      <c r="FY86">
        <v>18595524</v>
      </c>
      <c r="FZ86">
        <v>17916214.051682</v>
      </c>
      <c r="GA86">
        <v>1914384.94666767</v>
      </c>
      <c r="GB86">
        <v>16001829.1050143</v>
      </c>
      <c r="GC86">
        <v>2593694.89498567</v>
      </c>
      <c r="GD86">
        <v>0.139479527169316</v>
      </c>
      <c r="GE86">
        <v>679309.948317997</v>
      </c>
      <c r="GF86">
        <v>0.0365308311999166</v>
      </c>
      <c r="GJ86">
        <v>45800.3333333333</v>
      </c>
      <c r="GL86">
        <v>45803.3333333333</v>
      </c>
      <c r="GO86">
        <v>45809.8541666667</v>
      </c>
      <c r="GR86" t="s">
        <v>694</v>
      </c>
      <c r="GU86" t="s">
        <v>694</v>
      </c>
      <c r="HA86">
        <v>45833.5</v>
      </c>
      <c r="HB86">
        <v>45846.375</v>
      </c>
      <c r="HE86">
        <v>35</v>
      </c>
      <c r="HF86">
        <v>3</v>
      </c>
      <c r="HG86">
        <v>16</v>
      </c>
      <c r="HH86">
        <v>16</v>
      </c>
      <c r="HK86">
        <v>326</v>
      </c>
      <c r="HL86">
        <v>193</v>
      </c>
      <c r="HM86">
        <v>31</v>
      </c>
      <c r="HN86">
        <v>44</v>
      </c>
      <c r="HO86">
        <v>0</v>
      </c>
      <c r="HP86">
        <v>28</v>
      </c>
      <c r="HQ86">
        <v>160</v>
      </c>
      <c r="HR86">
        <v>304</v>
      </c>
      <c r="HU86" s="10"/>
    </row>
    <row r="87" spans="1:229">
      <c r="A87" s="1">
        <f t="shared" si="1"/>
        <v>86</v>
      </c>
      <c r="B87" s="2">
        <v>2025</v>
      </c>
      <c r="C87" s="2" t="s">
        <v>741</v>
      </c>
      <c r="D87" s="2" t="s">
        <v>27</v>
      </c>
      <c r="E87" s="9">
        <v>50639</v>
      </c>
      <c r="F87" s="2" t="s">
        <v>723</v>
      </c>
      <c r="G87" s="2" t="s">
        <v>36</v>
      </c>
      <c r="H87" s="2" t="s">
        <v>692</v>
      </c>
      <c r="I87" s="2" t="s">
        <v>801</v>
      </c>
      <c r="J87" t="s">
        <v>308</v>
      </c>
      <c r="K87" t="s">
        <v>31</v>
      </c>
      <c r="L87" t="s">
        <v>32</v>
      </c>
      <c r="M87">
        <v>2</v>
      </c>
      <c r="N87">
        <v>3329</v>
      </c>
      <c r="O87" s="3">
        <v>3347</v>
      </c>
      <c r="P87" s="4">
        <v>6.89583333340124</v>
      </c>
      <c r="R87" s="4">
        <v>12.4791666665988</v>
      </c>
      <c r="S87" s="4">
        <v>6.04166666670062</v>
      </c>
      <c r="T87" s="4">
        <v>18.5208333332994</v>
      </c>
      <c r="U87" s="4">
        <v>25.4166666667006</v>
      </c>
      <c r="W87" s="4">
        <v>0.617361111109979</v>
      </c>
      <c r="X87" s="4">
        <v>0.847222222223354</v>
      </c>
      <c r="Y87" s="3">
        <v>2950000</v>
      </c>
      <c r="Z87">
        <v>-2206544.03302363</v>
      </c>
      <c r="AA87">
        <v>5156544.03302363</v>
      </c>
      <c r="AB87">
        <v>849532.372223252</v>
      </c>
      <c r="AC87">
        <v>423611.111111677</v>
      </c>
      <c r="AD87">
        <v>423611.111111677</v>
      </c>
      <c r="AE87">
        <v>0</v>
      </c>
      <c r="AF87">
        <v>75004.7</v>
      </c>
      <c r="AG87">
        <v>17105.03</v>
      </c>
      <c r="AH87">
        <v>57899.67</v>
      </c>
      <c r="AI87">
        <v>3555.45</v>
      </c>
      <c r="AJ87">
        <v>2182.74</v>
      </c>
      <c r="AK87">
        <v>1372.71</v>
      </c>
      <c r="AL87">
        <v>0</v>
      </c>
      <c r="AM87">
        <v>0</v>
      </c>
      <c r="AN87">
        <v>0</v>
      </c>
      <c r="AO87">
        <v>0</v>
      </c>
      <c r="AP87">
        <v>0</v>
      </c>
      <c r="AQ87">
        <v>0</v>
      </c>
      <c r="AR87">
        <v>0</v>
      </c>
      <c r="AS87">
        <v>0</v>
      </c>
      <c r="AT87">
        <v>0</v>
      </c>
      <c r="AU87">
        <v>0</v>
      </c>
      <c r="AV87">
        <v>0</v>
      </c>
      <c r="AW87">
        <v>0</v>
      </c>
      <c r="AX87">
        <v>0</v>
      </c>
      <c r="AY87">
        <v>347361.111111575</v>
      </c>
      <c r="AZ87">
        <v>4307011.66080038</v>
      </c>
      <c r="BA87">
        <v>1327272.10746672</v>
      </c>
      <c r="BB87">
        <v>21530.7</v>
      </c>
      <c r="BC87">
        <v>0</v>
      </c>
      <c r="BD87">
        <v>21530.7</v>
      </c>
      <c r="BE87">
        <v>0</v>
      </c>
      <c r="BF87">
        <v>392758</v>
      </c>
      <c r="BG87">
        <v>392758</v>
      </c>
      <c r="BH87">
        <v>0</v>
      </c>
      <c r="BI87">
        <v>8509.86</v>
      </c>
      <c r="BJ87">
        <v>509400</v>
      </c>
      <c r="BK87">
        <v>0</v>
      </c>
      <c r="BL87">
        <v>0</v>
      </c>
      <c r="BM87">
        <v>0</v>
      </c>
      <c r="BN87">
        <v>14133.3808</v>
      </c>
      <c r="BO87">
        <v>139599.016666721</v>
      </c>
      <c r="BP87">
        <v>40666.666666721</v>
      </c>
      <c r="BQ87">
        <v>0</v>
      </c>
      <c r="BR87">
        <v>0</v>
      </c>
      <c r="BS87">
        <v>98932.35</v>
      </c>
      <c r="BT87">
        <v>241341.15</v>
      </c>
      <c r="BU87">
        <v>210861</v>
      </c>
      <c r="BV87">
        <v>30480.15</v>
      </c>
      <c r="BW87">
        <v>0</v>
      </c>
      <c r="BX87">
        <v>0</v>
      </c>
      <c r="BY87">
        <v>197964.48</v>
      </c>
      <c r="BZ87">
        <v>41663.38</v>
      </c>
      <c r="CA87">
        <v>41663.38</v>
      </c>
      <c r="CB87">
        <v>0</v>
      </c>
      <c r="CC87">
        <v>0</v>
      </c>
      <c r="CD87">
        <v>156301.1</v>
      </c>
      <c r="CE87">
        <v>71139.6</v>
      </c>
      <c r="CF87">
        <v>0</v>
      </c>
      <c r="CG87">
        <v>85161.5</v>
      </c>
      <c r="CH87">
        <v>2781775.07333366</v>
      </c>
      <c r="CI87">
        <v>297172</v>
      </c>
      <c r="CJ87">
        <v>0</v>
      </c>
      <c r="CK87">
        <v>0</v>
      </c>
      <c r="CL87">
        <v>86323</v>
      </c>
      <c r="CM87">
        <v>89671</v>
      </c>
      <c r="CN87">
        <v>22330</v>
      </c>
      <c r="CO87">
        <v>98848</v>
      </c>
      <c r="CP87">
        <v>216041.666666955</v>
      </c>
      <c r="CQ87">
        <v>5853.32</v>
      </c>
      <c r="CR87">
        <v>2132.33</v>
      </c>
      <c r="CS87">
        <v>3720.99</v>
      </c>
      <c r="CT87">
        <v>0</v>
      </c>
      <c r="CU87">
        <v>0</v>
      </c>
      <c r="CV87">
        <v>0</v>
      </c>
      <c r="CW87">
        <v>0</v>
      </c>
      <c r="CX87">
        <v>0</v>
      </c>
      <c r="CY87">
        <v>16726.59</v>
      </c>
      <c r="CZ87">
        <v>3650</v>
      </c>
      <c r="DA87">
        <v>0</v>
      </c>
      <c r="DB87">
        <v>0</v>
      </c>
      <c r="DC87">
        <v>0</v>
      </c>
      <c r="DD87">
        <v>0</v>
      </c>
      <c r="DE87">
        <v>9000</v>
      </c>
      <c r="DF87">
        <v>4076.59</v>
      </c>
      <c r="DG87">
        <v>0</v>
      </c>
      <c r="DH87" s="3">
        <v>288182</v>
      </c>
      <c r="DI87">
        <v>34308.75</v>
      </c>
      <c r="DJ87">
        <v>0</v>
      </c>
      <c r="DK87">
        <v>0</v>
      </c>
      <c r="DL87">
        <v>0</v>
      </c>
      <c r="DM87">
        <v>0</v>
      </c>
      <c r="DN87">
        <v>0</v>
      </c>
      <c r="DO87">
        <v>0</v>
      </c>
      <c r="DP87">
        <v>34308.75</v>
      </c>
      <c r="DQ87">
        <v>0</v>
      </c>
      <c r="DR87">
        <v>0</v>
      </c>
      <c r="DS87">
        <v>0</v>
      </c>
      <c r="DT87">
        <v>0</v>
      </c>
      <c r="DU87">
        <v>0</v>
      </c>
      <c r="DV87">
        <v>0</v>
      </c>
      <c r="DW87">
        <v>0</v>
      </c>
      <c r="DX87">
        <v>0</v>
      </c>
      <c r="DY87">
        <v>0</v>
      </c>
      <c r="DZ87">
        <v>0</v>
      </c>
      <c r="EA87">
        <v>0</v>
      </c>
      <c r="EB87">
        <v>0</v>
      </c>
      <c r="EC87">
        <v>0</v>
      </c>
      <c r="ED87">
        <v>0</v>
      </c>
      <c r="EE87">
        <v>0</v>
      </c>
      <c r="EF87">
        <v>31555</v>
      </c>
      <c r="EG87">
        <v>0</v>
      </c>
      <c r="EH87">
        <v>0</v>
      </c>
      <c r="EI87">
        <v>624281.31</v>
      </c>
      <c r="EJ87">
        <v>0</v>
      </c>
      <c r="EK87">
        <v>0</v>
      </c>
      <c r="EL87">
        <v>63979</v>
      </c>
      <c r="EM87">
        <v>0</v>
      </c>
      <c r="EN87">
        <v>0</v>
      </c>
      <c r="EO87">
        <v>14891.5</v>
      </c>
      <c r="EP87">
        <v>0</v>
      </c>
      <c r="EQ87">
        <v>14891.5</v>
      </c>
      <c r="ER87">
        <v>25391.2500000339</v>
      </c>
      <c r="ES87">
        <v>0</v>
      </c>
      <c r="ET87">
        <v>0</v>
      </c>
      <c r="EU87">
        <v>1200</v>
      </c>
      <c r="EV87" s="4">
        <v>116.916666666823</v>
      </c>
      <c r="EW87">
        <v>0</v>
      </c>
      <c r="EX87">
        <v>0</v>
      </c>
      <c r="EY87" s="4">
        <v>116.916666666823</v>
      </c>
      <c r="EZ87">
        <v>0</v>
      </c>
      <c r="FA87">
        <v>0</v>
      </c>
      <c r="FB87">
        <v>0</v>
      </c>
      <c r="FC87">
        <v>0</v>
      </c>
      <c r="FD87">
        <v>0</v>
      </c>
      <c r="FE87">
        <v>0</v>
      </c>
      <c r="FF87">
        <v>0</v>
      </c>
      <c r="FG87">
        <v>0</v>
      </c>
      <c r="FH87">
        <v>0</v>
      </c>
      <c r="FI87" s="4">
        <v>1030394.34</v>
      </c>
      <c r="FJ87">
        <v>40231.43</v>
      </c>
      <c r="FK87">
        <v>40231.43</v>
      </c>
      <c r="FL87">
        <v>0</v>
      </c>
      <c r="FM87" s="4">
        <v>0</v>
      </c>
      <c r="FN87">
        <v>0</v>
      </c>
      <c r="FO87">
        <v>0</v>
      </c>
      <c r="FP87">
        <v>0</v>
      </c>
      <c r="FQ87">
        <v>0</v>
      </c>
      <c r="FR87">
        <v>0</v>
      </c>
      <c r="FS87">
        <v>0</v>
      </c>
      <c r="FT87">
        <v>23600</v>
      </c>
      <c r="FU87">
        <v>59000</v>
      </c>
      <c r="FV87">
        <v>8850</v>
      </c>
      <c r="FY87">
        <v>2950000</v>
      </c>
      <c r="FZ87">
        <v>5156544.03302363</v>
      </c>
      <c r="GA87">
        <v>849532.372223252</v>
      </c>
      <c r="GB87">
        <v>4307011.66080038</v>
      </c>
      <c r="GC87">
        <v>-1357011.66080038</v>
      </c>
      <c r="GD87">
        <v>-0.460003952813687</v>
      </c>
      <c r="GE87">
        <v>-2206544.03302363</v>
      </c>
      <c r="GF87">
        <v>-0.747981028143603</v>
      </c>
      <c r="GJ87">
        <v>45867.3333333333</v>
      </c>
      <c r="GL87">
        <v>45874.2291666667</v>
      </c>
      <c r="GO87">
        <v>45877.875</v>
      </c>
      <c r="GR87" t="s">
        <v>802</v>
      </c>
      <c r="GU87" t="s">
        <v>802</v>
      </c>
      <c r="HA87">
        <v>45886.7083333333</v>
      </c>
      <c r="HB87">
        <v>45892.75</v>
      </c>
      <c r="HE87">
        <v>37</v>
      </c>
      <c r="HF87">
        <v>8</v>
      </c>
      <c r="HG87">
        <v>12</v>
      </c>
      <c r="HH87">
        <v>17</v>
      </c>
      <c r="HK87">
        <v>146</v>
      </c>
      <c r="HL87">
        <v>38</v>
      </c>
      <c r="HM87">
        <v>25</v>
      </c>
      <c r="HN87">
        <v>8</v>
      </c>
      <c r="HO87">
        <v>0</v>
      </c>
      <c r="HP87">
        <v>7</v>
      </c>
      <c r="HQ87">
        <v>105</v>
      </c>
      <c r="HR87">
        <v>115</v>
      </c>
      <c r="HU87" s="10"/>
    </row>
    <row r="88" spans="1:229">
      <c r="A88" s="1">
        <f t="shared" si="1"/>
        <v>87</v>
      </c>
      <c r="B88" s="2">
        <v>2025</v>
      </c>
      <c r="C88" s="2" t="s">
        <v>741</v>
      </c>
      <c r="D88" s="2" t="s">
        <v>27</v>
      </c>
      <c r="E88" s="9">
        <v>70316</v>
      </c>
      <c r="F88" s="2" t="s">
        <v>706</v>
      </c>
      <c r="G88" s="2" t="s">
        <v>28</v>
      </c>
      <c r="H88" s="2" t="s">
        <v>692</v>
      </c>
      <c r="I88" s="2" t="s">
        <v>803</v>
      </c>
      <c r="J88" t="s">
        <v>30</v>
      </c>
      <c r="K88" t="s">
        <v>31</v>
      </c>
      <c r="L88" t="s">
        <v>32</v>
      </c>
      <c r="M88">
        <v>4</v>
      </c>
      <c r="N88">
        <v>4715</v>
      </c>
      <c r="O88" s="3">
        <v>4590</v>
      </c>
      <c r="P88" s="4">
        <v>10.6666666667006</v>
      </c>
      <c r="R88" s="4">
        <v>47.4375</v>
      </c>
      <c r="S88" s="4">
        <v>0.333333333401242</v>
      </c>
      <c r="T88" s="4">
        <v>47.7708333334012</v>
      </c>
      <c r="U88" s="4">
        <v>58.4375000001019</v>
      </c>
      <c r="W88" s="4">
        <v>1.59236111111337</v>
      </c>
      <c r="X88" s="4">
        <v>1.94791666667006</v>
      </c>
      <c r="Y88" s="3">
        <v>20966526</v>
      </c>
      <c r="Z88">
        <v>5186233.66149597</v>
      </c>
      <c r="AA88">
        <v>15780292.338504</v>
      </c>
      <c r="AB88">
        <v>1580372.25000249</v>
      </c>
      <c r="AC88">
        <v>633072.91666777</v>
      </c>
      <c r="AD88">
        <v>633072.91666777</v>
      </c>
      <c r="AE88">
        <v>0</v>
      </c>
      <c r="AF88">
        <v>133759.18</v>
      </c>
      <c r="AG88">
        <v>133759.18</v>
      </c>
      <c r="AH88">
        <v>0</v>
      </c>
      <c r="AI88">
        <v>14894.32</v>
      </c>
      <c r="AJ88">
        <v>14894.32</v>
      </c>
      <c r="AK88">
        <v>0</v>
      </c>
      <c r="AL88">
        <v>0</v>
      </c>
      <c r="AM88">
        <v>0</v>
      </c>
      <c r="AN88">
        <v>0</v>
      </c>
      <c r="AO88">
        <v>0</v>
      </c>
      <c r="AP88">
        <v>0</v>
      </c>
      <c r="AQ88">
        <v>0</v>
      </c>
      <c r="AR88">
        <v>0</v>
      </c>
      <c r="AS88">
        <v>0</v>
      </c>
      <c r="AT88">
        <v>0</v>
      </c>
      <c r="AU88">
        <v>0</v>
      </c>
      <c r="AV88">
        <v>0</v>
      </c>
      <c r="AW88">
        <v>0</v>
      </c>
      <c r="AX88">
        <v>0</v>
      </c>
      <c r="AY88">
        <v>798645.833334725</v>
      </c>
      <c r="AZ88">
        <v>14199920.0885015</v>
      </c>
      <c r="BA88">
        <v>3933553.75500016</v>
      </c>
      <c r="BB88">
        <v>80280.3084</v>
      </c>
      <c r="BC88">
        <v>38038.9284</v>
      </c>
      <c r="BD88">
        <v>42241.38</v>
      </c>
      <c r="BE88">
        <v>0</v>
      </c>
      <c r="BF88">
        <v>1466002</v>
      </c>
      <c r="BG88">
        <v>1466002</v>
      </c>
      <c r="BH88">
        <v>0</v>
      </c>
      <c r="BI88">
        <v>18707.868</v>
      </c>
      <c r="BJ88">
        <v>262301</v>
      </c>
      <c r="BK88">
        <v>769746.83</v>
      </c>
      <c r="BL88">
        <v>354746.83</v>
      </c>
      <c r="BM88">
        <v>415000</v>
      </c>
      <c r="BN88">
        <v>368559.3586</v>
      </c>
      <c r="BO88">
        <v>392395.040000163</v>
      </c>
      <c r="BP88">
        <v>93500.000000163</v>
      </c>
      <c r="BQ88">
        <v>0</v>
      </c>
      <c r="BR88">
        <v>0</v>
      </c>
      <c r="BS88">
        <v>298895.04</v>
      </c>
      <c r="BT88">
        <v>575561.35</v>
      </c>
      <c r="BU88">
        <v>477360</v>
      </c>
      <c r="BV88">
        <v>98201.35</v>
      </c>
      <c r="BW88">
        <v>0</v>
      </c>
      <c r="BX88">
        <v>0</v>
      </c>
      <c r="BY88">
        <v>276485.76</v>
      </c>
      <c r="BZ88">
        <v>236787.2</v>
      </c>
      <c r="CA88">
        <v>123222.2</v>
      </c>
      <c r="CB88">
        <v>0</v>
      </c>
      <c r="CC88">
        <v>113565</v>
      </c>
      <c r="CD88">
        <v>39698.56</v>
      </c>
      <c r="CE88">
        <v>0</v>
      </c>
      <c r="CF88">
        <v>39698.56</v>
      </c>
      <c r="CG88">
        <v>0</v>
      </c>
      <c r="CH88">
        <v>9989880.57350138</v>
      </c>
      <c r="CI88">
        <v>1027080</v>
      </c>
      <c r="CJ88">
        <v>0</v>
      </c>
      <c r="CK88">
        <v>0</v>
      </c>
      <c r="CL88">
        <v>474742</v>
      </c>
      <c r="CM88">
        <v>264231</v>
      </c>
      <c r="CN88">
        <v>54632</v>
      </c>
      <c r="CO88">
        <v>233475</v>
      </c>
      <c r="CP88">
        <v>730468.750001272</v>
      </c>
      <c r="CQ88">
        <v>18183.33</v>
      </c>
      <c r="CR88">
        <v>6752.37</v>
      </c>
      <c r="CS88">
        <v>11430.96</v>
      </c>
      <c r="CT88">
        <v>0</v>
      </c>
      <c r="CU88">
        <v>0</v>
      </c>
      <c r="CV88">
        <v>0</v>
      </c>
      <c r="CW88">
        <v>0</v>
      </c>
      <c r="CX88">
        <v>0</v>
      </c>
      <c r="CY88">
        <v>17977.3</v>
      </c>
      <c r="CZ88">
        <v>3650</v>
      </c>
      <c r="DA88">
        <v>0</v>
      </c>
      <c r="DB88">
        <v>0.01</v>
      </c>
      <c r="DC88">
        <v>0.02</v>
      </c>
      <c r="DD88">
        <v>0</v>
      </c>
      <c r="DE88">
        <v>9000</v>
      </c>
      <c r="DF88">
        <v>5327.27</v>
      </c>
      <c r="DG88">
        <v>0</v>
      </c>
      <c r="DH88" s="3">
        <v>1974405</v>
      </c>
      <c r="DI88">
        <v>110968.55</v>
      </c>
      <c r="DJ88">
        <v>0</v>
      </c>
      <c r="DK88">
        <v>110968.55</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167316</v>
      </c>
      <c r="EG88">
        <v>0</v>
      </c>
      <c r="EH88">
        <v>219281.92</v>
      </c>
      <c r="EI88">
        <v>1794554.39</v>
      </c>
      <c r="EJ88">
        <v>0</v>
      </c>
      <c r="EK88">
        <v>0</v>
      </c>
      <c r="EL88">
        <v>0</v>
      </c>
      <c r="EM88">
        <v>0</v>
      </c>
      <c r="EN88">
        <v>0</v>
      </c>
      <c r="EO88">
        <v>28005.5</v>
      </c>
      <c r="EP88">
        <v>0</v>
      </c>
      <c r="EQ88">
        <v>28005.5</v>
      </c>
      <c r="ER88">
        <v>59956.8750001045</v>
      </c>
      <c r="ES88">
        <v>0</v>
      </c>
      <c r="ET88">
        <v>0</v>
      </c>
      <c r="EU88">
        <v>0</v>
      </c>
      <c r="EV88" s="4">
        <v>268.812500000469</v>
      </c>
      <c r="EW88">
        <v>0</v>
      </c>
      <c r="EX88">
        <v>0</v>
      </c>
      <c r="EY88" s="4">
        <v>268.812500000469</v>
      </c>
      <c r="EZ88">
        <v>0</v>
      </c>
      <c r="FA88">
        <v>0</v>
      </c>
      <c r="FB88">
        <v>0</v>
      </c>
      <c r="FC88">
        <v>0</v>
      </c>
      <c r="FD88">
        <v>0</v>
      </c>
      <c r="FE88">
        <v>0</v>
      </c>
      <c r="FF88">
        <v>0</v>
      </c>
      <c r="FG88">
        <v>0</v>
      </c>
      <c r="FH88">
        <v>0</v>
      </c>
      <c r="FI88" s="4">
        <v>2923000.15</v>
      </c>
      <c r="FJ88">
        <v>268451.69</v>
      </c>
      <c r="FK88">
        <v>268451.69</v>
      </c>
      <c r="FL88">
        <v>0</v>
      </c>
      <c r="FM88" s="4">
        <v>0</v>
      </c>
      <c r="FN88">
        <v>0</v>
      </c>
      <c r="FO88">
        <v>0</v>
      </c>
      <c r="FP88">
        <v>0</v>
      </c>
      <c r="FQ88">
        <v>0</v>
      </c>
      <c r="FR88">
        <v>0</v>
      </c>
      <c r="FS88">
        <v>0</v>
      </c>
      <c r="FT88">
        <v>167732.208</v>
      </c>
      <c r="FU88">
        <v>419330.52</v>
      </c>
      <c r="FV88">
        <v>62899.578</v>
      </c>
      <c r="FY88">
        <v>20966526</v>
      </c>
      <c r="FZ88">
        <v>15780292.338504</v>
      </c>
      <c r="GA88">
        <v>1580372.25000249</v>
      </c>
      <c r="GB88">
        <v>14199920.0885015</v>
      </c>
      <c r="GC88">
        <v>6766605.91149846</v>
      </c>
      <c r="GD88">
        <v>0.322733766743163</v>
      </c>
      <c r="GE88">
        <v>5186233.66149597</v>
      </c>
      <c r="GF88">
        <v>0.247357796017136</v>
      </c>
      <c r="GJ88">
        <v>45799.3333333333</v>
      </c>
      <c r="GL88">
        <v>45810</v>
      </c>
      <c r="GO88">
        <v>45812.9375</v>
      </c>
      <c r="GR88">
        <v>45820.375</v>
      </c>
      <c r="GS88">
        <v>45846.625</v>
      </c>
      <c r="GT88">
        <v>45871.8333333333</v>
      </c>
      <c r="GU88">
        <v>45878.875</v>
      </c>
      <c r="HA88">
        <v>45882.6458333333</v>
      </c>
      <c r="HB88">
        <v>45882.9791666667</v>
      </c>
      <c r="HE88">
        <v>38</v>
      </c>
      <c r="HF88">
        <v>4</v>
      </c>
      <c r="HG88">
        <v>9</v>
      </c>
      <c r="HH88">
        <v>25</v>
      </c>
      <c r="HK88">
        <v>294</v>
      </c>
      <c r="HL88">
        <v>103</v>
      </c>
      <c r="HM88">
        <v>16</v>
      </c>
      <c r="HN88">
        <v>103</v>
      </c>
      <c r="HO88">
        <v>0</v>
      </c>
      <c r="HP88">
        <v>46</v>
      </c>
      <c r="HQ88">
        <v>473</v>
      </c>
      <c r="HR88">
        <v>111</v>
      </c>
      <c r="HU88" s="10"/>
    </row>
    <row r="89" spans="1:229">
      <c r="A89" s="1">
        <f t="shared" si="1"/>
        <v>88</v>
      </c>
      <c r="B89" s="2">
        <v>2025</v>
      </c>
      <c r="C89" s="2" t="s">
        <v>717</v>
      </c>
      <c r="D89" s="2" t="s">
        <v>27</v>
      </c>
      <c r="E89" s="9">
        <v>50537</v>
      </c>
      <c r="F89" s="2" t="s">
        <v>736</v>
      </c>
      <c r="G89" s="2" t="s">
        <v>36</v>
      </c>
      <c r="H89" s="2" t="s">
        <v>692</v>
      </c>
      <c r="I89" s="2" t="s">
        <v>804</v>
      </c>
      <c r="J89" t="s">
        <v>308</v>
      </c>
      <c r="K89" t="s">
        <v>31</v>
      </c>
      <c r="L89" t="s">
        <v>32</v>
      </c>
      <c r="M89">
        <v>2</v>
      </c>
      <c r="N89">
        <v>3299</v>
      </c>
      <c r="O89" s="3">
        <v>3310</v>
      </c>
      <c r="P89" s="4">
        <v>9.375</v>
      </c>
      <c r="Q89" s="4">
        <v>0</v>
      </c>
      <c r="R89" s="4">
        <v>17.6666666667006</v>
      </c>
      <c r="S89" s="4">
        <v>10.5416666667006</v>
      </c>
      <c r="T89" s="4">
        <v>28.2083333334012</v>
      </c>
      <c r="U89" s="4">
        <v>37.5833333334012</v>
      </c>
      <c r="V89" s="4">
        <v>0</v>
      </c>
      <c r="W89" s="4">
        <v>0.940277777780041</v>
      </c>
      <c r="X89" s="4">
        <v>1.25277777778004</v>
      </c>
      <c r="Y89" s="3">
        <v>2900000</v>
      </c>
      <c r="Z89">
        <v>-2880880.61544702</v>
      </c>
      <c r="AA89">
        <v>5780880.61544702</v>
      </c>
      <c r="AB89">
        <v>962219.786668329</v>
      </c>
      <c r="AC89">
        <v>407152.777778513</v>
      </c>
      <c r="AD89">
        <v>407152.777778513</v>
      </c>
      <c r="AE89">
        <v>0</v>
      </c>
      <c r="AF89">
        <v>33384.31</v>
      </c>
      <c r="AG89">
        <v>33384.31</v>
      </c>
      <c r="AH89">
        <v>0</v>
      </c>
      <c r="AI89">
        <v>8043.81</v>
      </c>
      <c r="AJ89">
        <v>3651.7</v>
      </c>
      <c r="AK89">
        <v>3920.59</v>
      </c>
      <c r="AL89">
        <v>471.52</v>
      </c>
      <c r="AM89">
        <v>0</v>
      </c>
      <c r="AN89">
        <v>0</v>
      </c>
      <c r="AO89">
        <v>0</v>
      </c>
      <c r="AP89">
        <v>0</v>
      </c>
      <c r="AQ89">
        <v>0</v>
      </c>
      <c r="AR89">
        <v>0</v>
      </c>
      <c r="AS89">
        <v>0</v>
      </c>
      <c r="AT89">
        <v>0</v>
      </c>
      <c r="AU89">
        <v>0</v>
      </c>
      <c r="AV89">
        <v>0</v>
      </c>
      <c r="AW89">
        <v>0</v>
      </c>
      <c r="AX89">
        <v>0</v>
      </c>
      <c r="AY89">
        <v>513638.888889816</v>
      </c>
      <c r="AZ89">
        <v>4818660.8287787</v>
      </c>
      <c r="BA89">
        <v>1772781.59433344</v>
      </c>
      <c r="BB89">
        <v>21200.76</v>
      </c>
      <c r="BC89">
        <v>0</v>
      </c>
      <c r="BD89">
        <v>21200.76</v>
      </c>
      <c r="BE89">
        <v>0</v>
      </c>
      <c r="BF89">
        <v>579358</v>
      </c>
      <c r="BG89">
        <v>579358</v>
      </c>
      <c r="BH89">
        <v>0</v>
      </c>
      <c r="BI89">
        <v>21248.028</v>
      </c>
      <c r="BJ89">
        <v>641810</v>
      </c>
      <c r="BK89">
        <v>0</v>
      </c>
      <c r="BL89">
        <v>0</v>
      </c>
      <c r="BM89">
        <v>0</v>
      </c>
      <c r="BN89">
        <v>174123.603</v>
      </c>
      <c r="BO89">
        <v>122069.753333442</v>
      </c>
      <c r="BP89">
        <v>45133.333333442</v>
      </c>
      <c r="BQ89">
        <v>0</v>
      </c>
      <c r="BR89">
        <v>0</v>
      </c>
      <c r="BS89">
        <v>76936.42</v>
      </c>
      <c r="BT89">
        <v>212971.45</v>
      </c>
      <c r="BU89">
        <v>208530</v>
      </c>
      <c r="BV89">
        <v>4441.45</v>
      </c>
      <c r="BW89">
        <v>0</v>
      </c>
      <c r="BX89">
        <v>0</v>
      </c>
      <c r="BY89">
        <v>26570.23</v>
      </c>
      <c r="BZ89">
        <v>26570.23</v>
      </c>
      <c r="CA89">
        <v>9676.23</v>
      </c>
      <c r="CB89">
        <v>0</v>
      </c>
      <c r="CC89">
        <v>16894</v>
      </c>
      <c r="CD89">
        <v>0</v>
      </c>
      <c r="CE89">
        <v>0</v>
      </c>
      <c r="CF89">
        <v>0</v>
      </c>
      <c r="CG89">
        <v>0</v>
      </c>
      <c r="CH89">
        <v>3019309.00444526</v>
      </c>
      <c r="CI89">
        <v>322826</v>
      </c>
      <c r="CJ89">
        <v>0</v>
      </c>
      <c r="CK89">
        <v>0</v>
      </c>
      <c r="CL89">
        <v>68237</v>
      </c>
      <c r="CM89">
        <v>83316</v>
      </c>
      <c r="CN89">
        <v>45684</v>
      </c>
      <c r="CO89">
        <v>125589</v>
      </c>
      <c r="CP89">
        <v>413416.666667413</v>
      </c>
      <c r="CQ89">
        <v>14160</v>
      </c>
      <c r="CR89">
        <v>5530</v>
      </c>
      <c r="CS89">
        <v>8630</v>
      </c>
      <c r="CT89">
        <v>0</v>
      </c>
      <c r="CU89">
        <v>0</v>
      </c>
      <c r="CV89">
        <v>0</v>
      </c>
      <c r="CW89">
        <v>0</v>
      </c>
      <c r="CX89">
        <v>0</v>
      </c>
      <c r="CY89">
        <v>20269.54</v>
      </c>
      <c r="CZ89">
        <v>3650</v>
      </c>
      <c r="DA89">
        <v>0</v>
      </c>
      <c r="DB89">
        <v>0</v>
      </c>
      <c r="DC89">
        <v>0</v>
      </c>
      <c r="DD89">
        <v>0</v>
      </c>
      <c r="DE89">
        <v>9000</v>
      </c>
      <c r="DF89">
        <v>7619.54</v>
      </c>
      <c r="DG89">
        <v>0</v>
      </c>
      <c r="DH89" s="3">
        <v>383204</v>
      </c>
      <c r="DI89">
        <v>39235</v>
      </c>
      <c r="DJ89">
        <v>0</v>
      </c>
      <c r="DK89">
        <v>39235</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31300</v>
      </c>
      <c r="EG89">
        <v>0</v>
      </c>
      <c r="EH89">
        <v>5700</v>
      </c>
      <c r="EI89">
        <v>623261.75</v>
      </c>
      <c r="EJ89">
        <v>0</v>
      </c>
      <c r="EK89">
        <v>0</v>
      </c>
      <c r="EL89">
        <v>0</v>
      </c>
      <c r="EM89">
        <v>0</v>
      </c>
      <c r="EN89">
        <v>0</v>
      </c>
      <c r="EO89">
        <v>16669</v>
      </c>
      <c r="EP89">
        <v>0</v>
      </c>
      <c r="EQ89">
        <v>16669</v>
      </c>
      <c r="ER89">
        <v>35516.2500000642</v>
      </c>
      <c r="ES89">
        <v>0</v>
      </c>
      <c r="ET89">
        <v>0</v>
      </c>
      <c r="EU89">
        <v>600</v>
      </c>
      <c r="EV89" s="4">
        <v>125.277777778004</v>
      </c>
      <c r="EW89">
        <v>0</v>
      </c>
      <c r="EX89">
        <v>0</v>
      </c>
      <c r="EY89" s="4">
        <v>125.277777778004</v>
      </c>
      <c r="EZ89">
        <v>0</v>
      </c>
      <c r="FA89">
        <v>0</v>
      </c>
      <c r="FB89">
        <v>0</v>
      </c>
      <c r="FC89">
        <v>0</v>
      </c>
      <c r="FD89">
        <v>0</v>
      </c>
      <c r="FE89">
        <v>0</v>
      </c>
      <c r="FF89">
        <v>0</v>
      </c>
      <c r="FG89">
        <v>0</v>
      </c>
      <c r="FH89">
        <v>0</v>
      </c>
      <c r="FI89" s="4">
        <v>982894.09</v>
      </c>
      <c r="FJ89">
        <v>40231.43</v>
      </c>
      <c r="FK89">
        <v>40231.43</v>
      </c>
      <c r="FL89">
        <v>0</v>
      </c>
      <c r="FM89" s="4">
        <v>0</v>
      </c>
      <c r="FN89">
        <v>0</v>
      </c>
      <c r="FO89">
        <v>0</v>
      </c>
      <c r="FP89">
        <v>0</v>
      </c>
      <c r="FQ89">
        <v>0</v>
      </c>
      <c r="FR89">
        <v>0</v>
      </c>
      <c r="FS89">
        <v>0</v>
      </c>
      <c r="FT89">
        <v>23200</v>
      </c>
      <c r="FU89">
        <v>58000</v>
      </c>
      <c r="FV89">
        <v>8700</v>
      </c>
      <c r="FY89">
        <v>2900000</v>
      </c>
      <c r="FZ89">
        <v>5780880.61544702</v>
      </c>
      <c r="GA89">
        <v>962219.786668329</v>
      </c>
      <c r="GB89">
        <v>4818660.8287787</v>
      </c>
      <c r="GC89">
        <v>-1918660.8287787</v>
      </c>
      <c r="GD89">
        <v>-0.661607182337481</v>
      </c>
      <c r="GE89">
        <v>-2880880.61544702</v>
      </c>
      <c r="GF89">
        <v>-0.993407108774836</v>
      </c>
      <c r="GJ89">
        <v>45872.3333333333</v>
      </c>
      <c r="GL89">
        <v>45881.7083333333</v>
      </c>
      <c r="GO89">
        <v>45885.875</v>
      </c>
      <c r="GR89" t="s">
        <v>694</v>
      </c>
      <c r="GU89" t="s">
        <v>694</v>
      </c>
      <c r="HA89">
        <v>45899.375</v>
      </c>
      <c r="HB89">
        <v>45909.9166666667</v>
      </c>
      <c r="HE89">
        <v>35</v>
      </c>
      <c r="HF89">
        <v>11</v>
      </c>
      <c r="HG89">
        <v>2</v>
      </c>
      <c r="HH89">
        <v>22</v>
      </c>
      <c r="HK89">
        <v>185</v>
      </c>
      <c r="HL89">
        <v>64</v>
      </c>
      <c r="HM89">
        <v>60</v>
      </c>
      <c r="HN89">
        <v>9</v>
      </c>
      <c r="HO89">
        <v>0</v>
      </c>
      <c r="HP89">
        <v>43</v>
      </c>
      <c r="HQ89">
        <v>181</v>
      </c>
      <c r="HR89">
        <v>132</v>
      </c>
      <c r="HU89" s="10"/>
    </row>
    <row r="90" spans="1:229">
      <c r="A90" s="1">
        <f t="shared" si="1"/>
        <v>89</v>
      </c>
      <c r="B90" s="2">
        <v>2025</v>
      </c>
      <c r="C90" s="2" t="s">
        <v>50</v>
      </c>
      <c r="D90" s="2" t="s">
        <v>27</v>
      </c>
      <c r="E90" s="9">
        <v>50998</v>
      </c>
      <c r="F90" s="2" t="s">
        <v>805</v>
      </c>
      <c r="G90" s="2" t="s">
        <v>36</v>
      </c>
      <c r="H90" s="2" t="s">
        <v>711</v>
      </c>
      <c r="I90" s="2" t="s">
        <v>806</v>
      </c>
      <c r="J90" t="s">
        <v>30</v>
      </c>
      <c r="K90" t="s">
        <v>730</v>
      </c>
      <c r="L90" t="s">
        <v>38</v>
      </c>
      <c r="M90">
        <v>2</v>
      </c>
      <c r="N90">
        <v>2422</v>
      </c>
      <c r="O90" s="3">
        <v>2422</v>
      </c>
      <c r="P90" s="4">
        <v>9.75</v>
      </c>
      <c r="R90" s="4">
        <v>12.875</v>
      </c>
      <c r="S90" s="4">
        <v>9.04166666670062</v>
      </c>
      <c r="T90" s="4">
        <v>21.9166666667006</v>
      </c>
      <c r="U90" s="4">
        <v>31.6666666667006</v>
      </c>
      <c r="W90" s="4">
        <v>0.730555555556687</v>
      </c>
      <c r="X90" s="4">
        <v>1.05555555555669</v>
      </c>
      <c r="Y90" s="3">
        <v>3975448</v>
      </c>
      <c r="Z90">
        <v>-610125.564801247</v>
      </c>
      <c r="AA90">
        <v>4585573.56480125</v>
      </c>
      <c r="AB90">
        <v>908741.638889835</v>
      </c>
      <c r="AC90">
        <v>448611.111111592</v>
      </c>
      <c r="AD90">
        <v>448611.111111592</v>
      </c>
      <c r="AE90">
        <v>0</v>
      </c>
      <c r="AF90">
        <v>27160.48</v>
      </c>
      <c r="AG90">
        <v>27160.48</v>
      </c>
      <c r="AH90">
        <v>0</v>
      </c>
      <c r="AI90">
        <v>192.27</v>
      </c>
      <c r="AJ90">
        <v>0</v>
      </c>
      <c r="AK90">
        <v>0</v>
      </c>
      <c r="AL90">
        <v>192.27</v>
      </c>
      <c r="AM90">
        <v>0</v>
      </c>
      <c r="AN90">
        <v>0</v>
      </c>
      <c r="AO90">
        <v>0</v>
      </c>
      <c r="AP90">
        <v>0</v>
      </c>
      <c r="AQ90">
        <v>0</v>
      </c>
      <c r="AR90">
        <v>0</v>
      </c>
      <c r="AS90">
        <v>0</v>
      </c>
      <c r="AT90">
        <v>0</v>
      </c>
      <c r="AU90">
        <v>0</v>
      </c>
      <c r="AV90">
        <v>0</v>
      </c>
      <c r="AW90">
        <v>0</v>
      </c>
      <c r="AX90">
        <v>0</v>
      </c>
      <c r="AY90">
        <v>432777.777778243</v>
      </c>
      <c r="AZ90">
        <v>3676831.92591141</v>
      </c>
      <c r="BA90">
        <v>1336246.84102222</v>
      </c>
      <c r="BB90">
        <v>6251.66</v>
      </c>
      <c r="BC90">
        <v>0</v>
      </c>
      <c r="BD90">
        <v>6251.66</v>
      </c>
      <c r="BE90">
        <v>0</v>
      </c>
      <c r="BF90">
        <v>536382</v>
      </c>
      <c r="BG90">
        <v>536382</v>
      </c>
      <c r="BH90">
        <v>0</v>
      </c>
      <c r="BI90">
        <v>16891.2</v>
      </c>
      <c r="BJ90">
        <v>359840</v>
      </c>
      <c r="BK90">
        <v>0</v>
      </c>
      <c r="BL90">
        <v>0</v>
      </c>
      <c r="BM90">
        <v>0</v>
      </c>
      <c r="BN90">
        <v>124209.0643555</v>
      </c>
      <c r="BO90">
        <v>118014.116666721</v>
      </c>
      <c r="BP90">
        <v>35066.666666721</v>
      </c>
      <c r="BQ90">
        <v>0</v>
      </c>
      <c r="BR90">
        <v>0</v>
      </c>
      <c r="BS90">
        <v>82947.45</v>
      </c>
      <c r="BT90">
        <v>174658.8</v>
      </c>
      <c r="BU90">
        <v>152586</v>
      </c>
      <c r="BV90">
        <v>22072.8</v>
      </c>
      <c r="BW90">
        <v>0</v>
      </c>
      <c r="BX90">
        <v>0</v>
      </c>
      <c r="BY90">
        <v>39556.768</v>
      </c>
      <c r="BZ90">
        <v>39556.768</v>
      </c>
      <c r="CA90">
        <v>0</v>
      </c>
      <c r="CB90">
        <v>0</v>
      </c>
      <c r="CC90">
        <v>39556.768</v>
      </c>
      <c r="CD90">
        <v>0</v>
      </c>
      <c r="CE90">
        <v>0</v>
      </c>
      <c r="CF90">
        <v>0</v>
      </c>
      <c r="CG90">
        <v>0</v>
      </c>
      <c r="CH90">
        <v>2301028.31688919</v>
      </c>
      <c r="CI90">
        <v>270661</v>
      </c>
      <c r="CJ90">
        <v>0</v>
      </c>
      <c r="CK90">
        <v>0</v>
      </c>
      <c r="CL90">
        <v>54586</v>
      </c>
      <c r="CM90">
        <v>117304</v>
      </c>
      <c r="CN90">
        <v>10456</v>
      </c>
      <c r="CO90">
        <v>88315</v>
      </c>
      <c r="CP90">
        <v>253333.333333606</v>
      </c>
      <c r="CQ90">
        <v>12805</v>
      </c>
      <c r="CR90">
        <v>1066</v>
      </c>
      <c r="CS90">
        <v>6239</v>
      </c>
      <c r="CT90">
        <v>0</v>
      </c>
      <c r="CU90">
        <v>0</v>
      </c>
      <c r="CV90">
        <v>0</v>
      </c>
      <c r="CW90">
        <v>0</v>
      </c>
      <c r="CX90">
        <v>5500</v>
      </c>
      <c r="CY90">
        <v>24127.7</v>
      </c>
      <c r="CZ90">
        <v>3650</v>
      </c>
      <c r="DA90">
        <v>0</v>
      </c>
      <c r="DB90">
        <v>0</v>
      </c>
      <c r="DC90">
        <v>440</v>
      </c>
      <c r="DD90">
        <v>0</v>
      </c>
      <c r="DE90">
        <v>9000</v>
      </c>
      <c r="DF90">
        <v>11037.7</v>
      </c>
      <c r="DG90">
        <v>0</v>
      </c>
      <c r="DH90" s="3">
        <v>421302</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21490</v>
      </c>
      <c r="EG90">
        <v>0</v>
      </c>
      <c r="EH90">
        <v>4200</v>
      </c>
      <c r="EI90">
        <v>347058.63</v>
      </c>
      <c r="EJ90">
        <v>0</v>
      </c>
      <c r="EK90">
        <v>0</v>
      </c>
      <c r="EL90">
        <v>0</v>
      </c>
      <c r="EM90">
        <v>47650</v>
      </c>
      <c r="EN90">
        <v>0</v>
      </c>
      <c r="EO90">
        <v>13943.5</v>
      </c>
      <c r="EP90">
        <v>0</v>
      </c>
      <c r="EQ90">
        <v>13943.5</v>
      </c>
      <c r="ER90">
        <v>28215.0000000303</v>
      </c>
      <c r="ES90">
        <v>0</v>
      </c>
      <c r="ET90">
        <v>0</v>
      </c>
      <c r="EU90">
        <v>1500</v>
      </c>
      <c r="EV90" s="4">
        <v>105.555555555669</v>
      </c>
      <c r="EW90">
        <v>0</v>
      </c>
      <c r="EX90">
        <v>0</v>
      </c>
      <c r="EY90" s="4">
        <v>105.555555555669</v>
      </c>
      <c r="EZ90">
        <v>0</v>
      </c>
      <c r="FA90">
        <v>0</v>
      </c>
      <c r="FB90">
        <v>0</v>
      </c>
      <c r="FC90">
        <v>0</v>
      </c>
      <c r="FD90">
        <v>0</v>
      </c>
      <c r="FE90">
        <v>0</v>
      </c>
      <c r="FF90">
        <v>0</v>
      </c>
      <c r="FG90">
        <v>0</v>
      </c>
      <c r="FH90">
        <v>0</v>
      </c>
      <c r="FI90" s="4">
        <v>691166.28</v>
      </c>
      <c r="FJ90">
        <v>40231.43</v>
      </c>
      <c r="FK90">
        <v>40231.43</v>
      </c>
      <c r="FL90">
        <v>0</v>
      </c>
      <c r="FM90" s="4">
        <v>0</v>
      </c>
      <c r="FN90">
        <v>0</v>
      </c>
      <c r="FO90">
        <v>0</v>
      </c>
      <c r="FP90">
        <v>0</v>
      </c>
      <c r="FQ90">
        <v>0</v>
      </c>
      <c r="FR90">
        <v>0</v>
      </c>
      <c r="FS90">
        <v>0</v>
      </c>
      <c r="FT90">
        <v>31803.584</v>
      </c>
      <c r="FU90">
        <v>79508.96</v>
      </c>
      <c r="FV90">
        <v>11926.344</v>
      </c>
      <c r="FY90">
        <v>3975448</v>
      </c>
      <c r="FZ90">
        <v>4585573.56480125</v>
      </c>
      <c r="GA90">
        <v>908741.638889835</v>
      </c>
      <c r="GB90">
        <v>3676831.92591141</v>
      </c>
      <c r="GC90">
        <v>298616.074088588</v>
      </c>
      <c r="GD90">
        <v>0.0751150748515861</v>
      </c>
      <c r="GE90">
        <v>-610125.564801247</v>
      </c>
      <c r="GF90">
        <v>-0.153473410997011</v>
      </c>
      <c r="GJ90">
        <v>45919.3333333333</v>
      </c>
      <c r="GL90">
        <v>45929.0833333333</v>
      </c>
      <c r="GO90">
        <v>45932</v>
      </c>
      <c r="GR90" t="s">
        <v>694</v>
      </c>
      <c r="GU90" t="s">
        <v>694</v>
      </c>
      <c r="HA90">
        <v>45941.9583333333</v>
      </c>
      <c r="HB90">
        <v>45951</v>
      </c>
      <c r="HE90">
        <v>33</v>
      </c>
      <c r="HF90">
        <v>13</v>
      </c>
      <c r="HG90">
        <v>4</v>
      </c>
      <c r="HH90">
        <v>16</v>
      </c>
      <c r="HK90">
        <v>89</v>
      </c>
      <c r="HL90">
        <v>66</v>
      </c>
      <c r="HM90">
        <v>30</v>
      </c>
      <c r="HN90">
        <v>3</v>
      </c>
      <c r="HO90">
        <v>0</v>
      </c>
      <c r="HP90">
        <v>29</v>
      </c>
      <c r="HQ90">
        <v>207</v>
      </c>
      <c r="HR90">
        <v>102</v>
      </c>
      <c r="HU90" s="10"/>
    </row>
    <row r="91" spans="1:229">
      <c r="A91" s="1">
        <f t="shared" si="1"/>
        <v>90</v>
      </c>
      <c r="B91" s="2">
        <v>2025</v>
      </c>
      <c r="C91" s="2" t="s">
        <v>50</v>
      </c>
      <c r="D91" s="2" t="s">
        <v>27</v>
      </c>
      <c r="E91" s="9">
        <v>70520</v>
      </c>
      <c r="F91" s="2" t="s">
        <v>699</v>
      </c>
      <c r="G91" s="2" t="s">
        <v>28</v>
      </c>
      <c r="H91" s="2" t="s">
        <v>711</v>
      </c>
      <c r="I91" s="2" t="s">
        <v>51</v>
      </c>
      <c r="J91" t="s">
        <v>328</v>
      </c>
      <c r="K91" t="s">
        <v>41</v>
      </c>
      <c r="L91" t="s">
        <v>32</v>
      </c>
      <c r="M91">
        <v>3</v>
      </c>
      <c r="N91">
        <v>5441</v>
      </c>
      <c r="O91" s="3">
        <v>5580</v>
      </c>
      <c r="P91" s="4">
        <v>16.3333333332994</v>
      </c>
      <c r="R91" s="4">
        <v>42.3125</v>
      </c>
      <c r="S91" s="4">
        <v>8.3125</v>
      </c>
      <c r="T91" s="4">
        <v>50.625</v>
      </c>
      <c r="U91" s="4">
        <v>66.9583333332994</v>
      </c>
      <c r="W91" s="4">
        <v>1.6875</v>
      </c>
      <c r="X91" s="4">
        <v>2.23194444444331</v>
      </c>
      <c r="Y91" s="3">
        <v>16318761</v>
      </c>
      <c r="Z91">
        <v>-428910.949816637</v>
      </c>
      <c r="AA91">
        <v>16747671.9498166</v>
      </c>
      <c r="AB91">
        <v>1928298.38999908</v>
      </c>
      <c r="AC91">
        <v>892777.777777325</v>
      </c>
      <c r="AD91">
        <v>892777.777777325</v>
      </c>
      <c r="AE91">
        <v>0</v>
      </c>
      <c r="AF91">
        <v>100450.74</v>
      </c>
      <c r="AG91">
        <v>100450.74</v>
      </c>
      <c r="AH91">
        <v>0</v>
      </c>
      <c r="AI91">
        <v>19972.65</v>
      </c>
      <c r="AJ91">
        <v>11001.33</v>
      </c>
      <c r="AK91">
        <v>6996.11</v>
      </c>
      <c r="AL91">
        <v>1975.21</v>
      </c>
      <c r="AM91">
        <v>0</v>
      </c>
      <c r="AN91">
        <v>0</v>
      </c>
      <c r="AO91">
        <v>0</v>
      </c>
      <c r="AP91">
        <v>0</v>
      </c>
      <c r="AQ91">
        <v>0</v>
      </c>
      <c r="AR91">
        <v>0</v>
      </c>
      <c r="AS91">
        <v>0</v>
      </c>
      <c r="AT91">
        <v>0</v>
      </c>
      <c r="AU91">
        <v>0</v>
      </c>
      <c r="AV91">
        <v>0</v>
      </c>
      <c r="AW91">
        <v>0</v>
      </c>
      <c r="AX91">
        <v>0</v>
      </c>
      <c r="AY91">
        <v>915097.222221757</v>
      </c>
      <c r="AZ91">
        <v>14819373.5598176</v>
      </c>
      <c r="BA91">
        <v>4732902.27687345</v>
      </c>
      <c r="BB91">
        <v>467984.0664</v>
      </c>
      <c r="BC91">
        <v>467984.0664</v>
      </c>
      <c r="BD91">
        <v>0</v>
      </c>
      <c r="BE91">
        <v>0</v>
      </c>
      <c r="BF91">
        <v>1876792</v>
      </c>
      <c r="BG91">
        <v>1876792</v>
      </c>
      <c r="BH91">
        <v>0</v>
      </c>
      <c r="BI91">
        <v>19263.312</v>
      </c>
      <c r="BJ91">
        <v>183950</v>
      </c>
      <c r="BK91">
        <v>1030000</v>
      </c>
      <c r="BL91">
        <v>1030000</v>
      </c>
      <c r="BM91">
        <v>0</v>
      </c>
      <c r="BN91">
        <v>268056.098473451</v>
      </c>
      <c r="BO91">
        <v>226982.38</v>
      </c>
      <c r="BP91">
        <v>81000</v>
      </c>
      <c r="BQ91">
        <v>0</v>
      </c>
      <c r="BR91">
        <v>0</v>
      </c>
      <c r="BS91">
        <v>145982.38</v>
      </c>
      <c r="BT91">
        <v>659874.42</v>
      </c>
      <c r="BU91">
        <v>580320</v>
      </c>
      <c r="BV91">
        <v>79554.42</v>
      </c>
      <c r="BW91">
        <v>0</v>
      </c>
      <c r="BX91">
        <v>0</v>
      </c>
      <c r="BY91">
        <v>224332.0575</v>
      </c>
      <c r="BZ91">
        <v>91486.32</v>
      </c>
      <c r="CA91">
        <v>44343.39</v>
      </c>
      <c r="CB91">
        <v>0</v>
      </c>
      <c r="CC91">
        <v>47142.93</v>
      </c>
      <c r="CD91">
        <v>132845.7375</v>
      </c>
      <c r="CE91">
        <v>0</v>
      </c>
      <c r="CF91">
        <v>132845.7375</v>
      </c>
      <c r="CG91">
        <v>0</v>
      </c>
      <c r="CH91">
        <v>9862139.22544411</v>
      </c>
      <c r="CI91">
        <v>487605</v>
      </c>
      <c r="CJ91">
        <v>0</v>
      </c>
      <c r="CK91">
        <v>0</v>
      </c>
      <c r="CL91">
        <v>155342</v>
      </c>
      <c r="CM91">
        <v>98592</v>
      </c>
      <c r="CN91">
        <v>69357</v>
      </c>
      <c r="CO91">
        <v>164314</v>
      </c>
      <c r="CP91">
        <v>602624.999999694</v>
      </c>
      <c r="CQ91">
        <v>11963</v>
      </c>
      <c r="CR91">
        <v>2132</v>
      </c>
      <c r="CS91">
        <v>9831</v>
      </c>
      <c r="CT91">
        <v>0</v>
      </c>
      <c r="CU91">
        <v>0</v>
      </c>
      <c r="CV91">
        <v>0</v>
      </c>
      <c r="CW91">
        <v>0</v>
      </c>
      <c r="CX91">
        <v>0</v>
      </c>
      <c r="CY91">
        <v>21688.54</v>
      </c>
      <c r="CZ91">
        <v>3650</v>
      </c>
      <c r="DA91">
        <v>0</v>
      </c>
      <c r="DB91">
        <v>991</v>
      </c>
      <c r="DC91">
        <v>0</v>
      </c>
      <c r="DD91">
        <v>0</v>
      </c>
      <c r="DE91">
        <v>9000</v>
      </c>
      <c r="DF91">
        <v>8047.54</v>
      </c>
      <c r="DG91">
        <v>0</v>
      </c>
      <c r="DH91" s="3">
        <v>514806</v>
      </c>
      <c r="DI91">
        <v>31477.68</v>
      </c>
      <c r="DJ91">
        <v>0</v>
      </c>
      <c r="DK91">
        <v>0</v>
      </c>
      <c r="DL91">
        <v>0</v>
      </c>
      <c r="DM91">
        <v>0</v>
      </c>
      <c r="DN91">
        <v>0</v>
      </c>
      <c r="DO91">
        <v>0</v>
      </c>
      <c r="DP91">
        <v>31477.68</v>
      </c>
      <c r="DQ91">
        <v>84755</v>
      </c>
      <c r="DR91">
        <v>0</v>
      </c>
      <c r="DS91">
        <v>0</v>
      </c>
      <c r="DT91">
        <v>0</v>
      </c>
      <c r="DU91">
        <v>0</v>
      </c>
      <c r="DV91">
        <v>0</v>
      </c>
      <c r="DW91">
        <v>0</v>
      </c>
      <c r="DX91">
        <v>0</v>
      </c>
      <c r="DY91">
        <v>84755</v>
      </c>
      <c r="DZ91">
        <v>86190</v>
      </c>
      <c r="EA91">
        <v>0</v>
      </c>
      <c r="EB91">
        <v>0</v>
      </c>
      <c r="EC91">
        <v>0</v>
      </c>
      <c r="ED91">
        <v>86190</v>
      </c>
      <c r="EE91">
        <v>0</v>
      </c>
      <c r="EF91">
        <v>66776</v>
      </c>
      <c r="EG91">
        <v>0</v>
      </c>
      <c r="EH91">
        <v>562192.99</v>
      </c>
      <c r="EI91">
        <v>1919806.74</v>
      </c>
      <c r="EJ91">
        <v>0</v>
      </c>
      <c r="EK91">
        <v>550000</v>
      </c>
      <c r="EL91">
        <v>749639</v>
      </c>
      <c r="EM91">
        <v>797761</v>
      </c>
      <c r="EN91">
        <v>0</v>
      </c>
      <c r="EO91">
        <v>28953.5</v>
      </c>
      <c r="EP91">
        <v>0</v>
      </c>
      <c r="EQ91">
        <v>28953.5</v>
      </c>
      <c r="ER91">
        <v>61467.7499999688</v>
      </c>
      <c r="ES91">
        <v>0</v>
      </c>
      <c r="ET91">
        <v>0</v>
      </c>
      <c r="EU91">
        <v>1200</v>
      </c>
      <c r="EV91" s="4">
        <v>223.194444444331</v>
      </c>
      <c r="EW91">
        <v>0</v>
      </c>
      <c r="EX91">
        <v>0</v>
      </c>
      <c r="EY91" s="4">
        <v>223.194444444331</v>
      </c>
      <c r="EZ91">
        <v>0</v>
      </c>
      <c r="FA91">
        <v>0</v>
      </c>
      <c r="FB91">
        <v>0</v>
      </c>
      <c r="FC91">
        <v>0</v>
      </c>
      <c r="FD91">
        <v>0</v>
      </c>
      <c r="FE91">
        <v>0</v>
      </c>
      <c r="FF91">
        <v>0</v>
      </c>
      <c r="FG91">
        <v>0</v>
      </c>
      <c r="FH91">
        <v>0</v>
      </c>
      <c r="FI91" s="4">
        <v>2692349.16</v>
      </c>
      <c r="FJ91">
        <v>84778.08</v>
      </c>
      <c r="FK91">
        <v>84778.08</v>
      </c>
      <c r="FL91">
        <v>0</v>
      </c>
      <c r="FM91" s="4">
        <v>0</v>
      </c>
      <c r="FN91">
        <v>0</v>
      </c>
      <c r="FO91">
        <v>0</v>
      </c>
      <c r="FP91">
        <v>0</v>
      </c>
      <c r="FQ91">
        <v>0</v>
      </c>
      <c r="FR91">
        <v>0</v>
      </c>
      <c r="FS91">
        <v>0</v>
      </c>
      <c r="FT91">
        <v>130550.088</v>
      </c>
      <c r="FU91">
        <v>326375.22</v>
      </c>
      <c r="FV91">
        <v>48956.283</v>
      </c>
      <c r="FY91">
        <v>16318761</v>
      </c>
      <c r="FZ91">
        <v>16747671.9498166</v>
      </c>
      <c r="GA91">
        <v>1928298.38999908</v>
      </c>
      <c r="GB91">
        <v>14819373.5598176</v>
      </c>
      <c r="GC91">
        <v>1499387.44018244</v>
      </c>
      <c r="GD91">
        <v>0.0918812059434196</v>
      </c>
      <c r="GE91">
        <v>-428910.949816637</v>
      </c>
      <c r="GF91">
        <v>-0.0262833036047673</v>
      </c>
      <c r="GJ91">
        <v>45889.375</v>
      </c>
      <c r="GL91">
        <v>45905.7083333333</v>
      </c>
      <c r="GO91">
        <v>45909.8333333333</v>
      </c>
      <c r="GR91">
        <v>45922.4583333333</v>
      </c>
      <c r="GU91" t="s">
        <v>694</v>
      </c>
      <c r="HA91">
        <v>45948.0208333333</v>
      </c>
      <c r="HB91">
        <v>45956.3333333333</v>
      </c>
      <c r="HE91">
        <v>34</v>
      </c>
      <c r="HF91">
        <v>15</v>
      </c>
      <c r="HG91">
        <v>1</v>
      </c>
      <c r="HH91">
        <v>18</v>
      </c>
      <c r="HK91">
        <v>342</v>
      </c>
      <c r="HL91">
        <v>151</v>
      </c>
      <c r="HM91">
        <v>32</v>
      </c>
      <c r="HN91">
        <v>74</v>
      </c>
      <c r="HO91">
        <v>0</v>
      </c>
      <c r="HP91">
        <v>100</v>
      </c>
      <c r="HQ91">
        <v>258</v>
      </c>
      <c r="HR91">
        <v>258</v>
      </c>
      <c r="HU91" s="10">
        <v>974335</v>
      </c>
    </row>
    <row r="92" spans="1:229">
      <c r="A92" s="1">
        <f t="shared" si="1"/>
        <v>91</v>
      </c>
      <c r="B92" s="2">
        <v>2025</v>
      </c>
      <c r="C92" s="2" t="s">
        <v>50</v>
      </c>
      <c r="D92" s="2" t="s">
        <v>27</v>
      </c>
      <c r="E92" s="9" t="s">
        <v>468</v>
      </c>
      <c r="F92" s="2" t="s">
        <v>746</v>
      </c>
      <c r="G92" s="2" t="s">
        <v>28</v>
      </c>
      <c r="H92" s="2" t="s">
        <v>711</v>
      </c>
      <c r="I92" s="2" t="s">
        <v>807</v>
      </c>
      <c r="J92" t="s">
        <v>323</v>
      </c>
      <c r="K92" t="s">
        <v>730</v>
      </c>
      <c r="L92" t="s">
        <v>32</v>
      </c>
      <c r="M92">
        <v>2</v>
      </c>
      <c r="N92">
        <v>4943</v>
      </c>
      <c r="O92" s="3">
        <v>4996</v>
      </c>
      <c r="P92" s="4">
        <v>12.875</v>
      </c>
      <c r="R92" s="4">
        <v>46.0416666667006</v>
      </c>
      <c r="S92" s="4">
        <v>23.0416666667006</v>
      </c>
      <c r="T92" s="4">
        <v>69.0833333334012</v>
      </c>
      <c r="U92" s="4">
        <v>81.9583333334012</v>
      </c>
      <c r="W92" s="4">
        <v>2.30277777778004</v>
      </c>
      <c r="X92" s="4">
        <v>2.73194444444671</v>
      </c>
      <c r="Y92" s="3">
        <v>11000000</v>
      </c>
      <c r="Z92">
        <v>-4014610.9420783</v>
      </c>
      <c r="AA92">
        <v>15014610.9420783</v>
      </c>
      <c r="AB92">
        <v>3568051.44555767</v>
      </c>
      <c r="AC92">
        <v>1434270.83333452</v>
      </c>
      <c r="AD92">
        <v>1434270.83333452</v>
      </c>
      <c r="AE92">
        <v>0</v>
      </c>
      <c r="AF92">
        <v>978434.17</v>
      </c>
      <c r="AG92">
        <v>258516.57</v>
      </c>
      <c r="AH92">
        <v>719917.6</v>
      </c>
      <c r="AI92">
        <v>35249.22</v>
      </c>
      <c r="AJ92">
        <v>8927.51</v>
      </c>
      <c r="AK92">
        <v>8578.93</v>
      </c>
      <c r="AL92">
        <v>17742.78</v>
      </c>
      <c r="AM92">
        <v>0</v>
      </c>
      <c r="AN92">
        <v>0</v>
      </c>
      <c r="AO92">
        <v>0</v>
      </c>
      <c r="AP92">
        <v>0</v>
      </c>
      <c r="AQ92">
        <v>0</v>
      </c>
      <c r="AR92">
        <v>0</v>
      </c>
      <c r="AS92">
        <v>0</v>
      </c>
      <c r="AT92">
        <v>0</v>
      </c>
      <c r="AU92">
        <v>0</v>
      </c>
      <c r="AV92">
        <v>0</v>
      </c>
      <c r="AW92">
        <v>0</v>
      </c>
      <c r="AX92">
        <v>0</v>
      </c>
      <c r="AY92">
        <v>1120097.22222315</v>
      </c>
      <c r="AZ92">
        <v>11446559.4965206</v>
      </c>
      <c r="BA92">
        <v>4642495.93040891</v>
      </c>
      <c r="BB92">
        <v>418678.5132</v>
      </c>
      <c r="BC92">
        <v>418678.5132</v>
      </c>
      <c r="BD92">
        <v>0</v>
      </c>
      <c r="BE92">
        <v>0</v>
      </c>
      <c r="BF92">
        <v>1699203</v>
      </c>
      <c r="BG92">
        <v>1699203</v>
      </c>
      <c r="BH92">
        <v>0</v>
      </c>
      <c r="BI92">
        <v>25942.68</v>
      </c>
      <c r="BJ92">
        <v>183950</v>
      </c>
      <c r="BK92">
        <v>1094707.5</v>
      </c>
      <c r="BL92">
        <v>608404.8</v>
      </c>
      <c r="BM92">
        <v>486302.7</v>
      </c>
      <c r="BN92">
        <v>337599.073875473</v>
      </c>
      <c r="BO92">
        <v>240945.363333442</v>
      </c>
      <c r="BP92">
        <v>110533.333333442</v>
      </c>
      <c r="BQ92">
        <v>0</v>
      </c>
      <c r="BR92">
        <v>0</v>
      </c>
      <c r="BS92">
        <v>130412.03</v>
      </c>
      <c r="BT92">
        <v>641469.8</v>
      </c>
      <c r="BU92">
        <v>519584</v>
      </c>
      <c r="BV92">
        <v>121885.8</v>
      </c>
      <c r="BW92">
        <v>0</v>
      </c>
      <c r="BX92">
        <v>0</v>
      </c>
      <c r="BY92">
        <v>107384.27</v>
      </c>
      <c r="BZ92">
        <v>29723.39</v>
      </c>
      <c r="CA92">
        <v>1070.71</v>
      </c>
      <c r="CB92">
        <v>0</v>
      </c>
      <c r="CC92">
        <v>28652.68</v>
      </c>
      <c r="CD92">
        <v>77660.88</v>
      </c>
      <c r="CE92">
        <v>0</v>
      </c>
      <c r="CF92">
        <v>77660.88</v>
      </c>
      <c r="CG92">
        <v>0</v>
      </c>
      <c r="CH92">
        <v>6696679.29611172</v>
      </c>
      <c r="CI92">
        <v>545092</v>
      </c>
      <c r="CJ92">
        <v>0</v>
      </c>
      <c r="CK92">
        <v>0</v>
      </c>
      <c r="CL92">
        <v>254807</v>
      </c>
      <c r="CM92">
        <v>112142</v>
      </c>
      <c r="CN92">
        <v>12906</v>
      </c>
      <c r="CO92">
        <v>165237</v>
      </c>
      <c r="CP92">
        <v>655666.66666721</v>
      </c>
      <c r="CQ92">
        <v>31704</v>
      </c>
      <c r="CR92">
        <v>9187</v>
      </c>
      <c r="CS92">
        <v>22517</v>
      </c>
      <c r="CT92">
        <v>0</v>
      </c>
      <c r="CU92">
        <v>0</v>
      </c>
      <c r="CV92">
        <v>0</v>
      </c>
      <c r="CW92">
        <v>0</v>
      </c>
      <c r="CX92">
        <v>0</v>
      </c>
      <c r="CY92">
        <v>17503.74</v>
      </c>
      <c r="CZ92">
        <v>3650</v>
      </c>
      <c r="DA92">
        <v>0</v>
      </c>
      <c r="DB92">
        <v>0</v>
      </c>
      <c r="DC92">
        <v>100</v>
      </c>
      <c r="DD92">
        <v>0</v>
      </c>
      <c r="DE92">
        <v>9000</v>
      </c>
      <c r="DF92">
        <v>4753.74</v>
      </c>
      <c r="DG92">
        <v>0</v>
      </c>
      <c r="DH92" s="3">
        <v>548725</v>
      </c>
      <c r="DI92">
        <v>0</v>
      </c>
      <c r="DJ92">
        <v>0</v>
      </c>
      <c r="DK92">
        <v>0</v>
      </c>
      <c r="DL92">
        <v>0</v>
      </c>
      <c r="DM92">
        <v>0</v>
      </c>
      <c r="DN92">
        <v>0</v>
      </c>
      <c r="DO92">
        <v>0</v>
      </c>
      <c r="DP92">
        <v>0</v>
      </c>
      <c r="DQ92">
        <v>222471.84</v>
      </c>
      <c r="DR92">
        <v>0</v>
      </c>
      <c r="DS92">
        <v>222471.84</v>
      </c>
      <c r="DT92">
        <v>0</v>
      </c>
      <c r="DU92">
        <v>0</v>
      </c>
      <c r="DV92">
        <v>0</v>
      </c>
      <c r="DW92">
        <v>0</v>
      </c>
      <c r="DX92">
        <v>0</v>
      </c>
      <c r="DY92">
        <v>0</v>
      </c>
      <c r="DZ92">
        <v>0</v>
      </c>
      <c r="EA92">
        <v>0</v>
      </c>
      <c r="EB92">
        <v>0</v>
      </c>
      <c r="EC92">
        <v>0</v>
      </c>
      <c r="ED92">
        <v>0</v>
      </c>
      <c r="EE92">
        <v>0</v>
      </c>
      <c r="EF92">
        <v>128266</v>
      </c>
      <c r="EG92">
        <v>0</v>
      </c>
      <c r="EH92">
        <v>0</v>
      </c>
      <c r="EI92">
        <v>1739740.05</v>
      </c>
      <c r="EJ92">
        <v>0</v>
      </c>
      <c r="EK92">
        <v>500000</v>
      </c>
      <c r="EL92">
        <v>0</v>
      </c>
      <c r="EM92">
        <v>516889</v>
      </c>
      <c r="EN92">
        <v>100000</v>
      </c>
      <c r="EO92">
        <v>150000</v>
      </c>
      <c r="EP92">
        <v>150000</v>
      </c>
      <c r="EQ92">
        <v>0</v>
      </c>
      <c r="ER92">
        <v>81876.3750000678</v>
      </c>
      <c r="ES92">
        <v>0</v>
      </c>
      <c r="ET92">
        <v>0</v>
      </c>
      <c r="EU92">
        <v>12540</v>
      </c>
      <c r="EV92" s="4">
        <v>273.194444444671</v>
      </c>
      <c r="EW92">
        <v>0</v>
      </c>
      <c r="EX92">
        <v>0</v>
      </c>
      <c r="EY92" s="4">
        <v>273.194444444671</v>
      </c>
      <c r="EZ92">
        <v>0</v>
      </c>
      <c r="FA92">
        <v>0</v>
      </c>
      <c r="FB92">
        <v>0</v>
      </c>
      <c r="FC92">
        <v>0</v>
      </c>
      <c r="FD92">
        <v>0</v>
      </c>
      <c r="FE92">
        <v>0</v>
      </c>
      <c r="FF92">
        <v>0</v>
      </c>
      <c r="FG92">
        <v>0</v>
      </c>
      <c r="FH92">
        <v>0</v>
      </c>
      <c r="FI92" s="4">
        <v>1064700</v>
      </c>
      <c r="FJ92">
        <v>40231.43</v>
      </c>
      <c r="FK92">
        <v>40231.43</v>
      </c>
      <c r="FL92">
        <v>0</v>
      </c>
      <c r="FM92" s="4">
        <v>0</v>
      </c>
      <c r="FN92">
        <v>0</v>
      </c>
      <c r="FO92">
        <v>0</v>
      </c>
      <c r="FP92">
        <v>0</v>
      </c>
      <c r="FQ92">
        <v>0</v>
      </c>
      <c r="FR92">
        <v>0</v>
      </c>
      <c r="FS92">
        <v>0</v>
      </c>
      <c r="FT92">
        <v>88000</v>
      </c>
      <c r="FU92">
        <v>220000</v>
      </c>
      <c r="FV92">
        <v>33000</v>
      </c>
      <c r="FY92">
        <v>11000000</v>
      </c>
      <c r="FZ92">
        <v>15014610.9420783</v>
      </c>
      <c r="GA92">
        <v>3568051.44555767</v>
      </c>
      <c r="GB92">
        <v>11446559.4965206</v>
      </c>
      <c r="GC92">
        <v>-446559.496520631</v>
      </c>
      <c r="GD92">
        <v>-0.0405963178655119</v>
      </c>
      <c r="GE92">
        <v>-4014610.9420783</v>
      </c>
      <c r="GF92">
        <v>-0.364964631098027</v>
      </c>
      <c r="GJ92">
        <v>45868.3333333333</v>
      </c>
      <c r="GL92">
        <v>45881.2083333333</v>
      </c>
      <c r="GO92">
        <v>45889.25</v>
      </c>
      <c r="GR92" t="s">
        <v>694</v>
      </c>
      <c r="GU92" t="s">
        <v>694</v>
      </c>
      <c r="HA92">
        <v>45927.25</v>
      </c>
      <c r="HB92">
        <v>45950.2916666667</v>
      </c>
      <c r="HE92">
        <v>37</v>
      </c>
      <c r="HF92">
        <v>15</v>
      </c>
      <c r="HG92">
        <v>6</v>
      </c>
      <c r="HH92">
        <v>16</v>
      </c>
      <c r="HK92">
        <v>295</v>
      </c>
      <c r="HL92">
        <v>512</v>
      </c>
      <c r="HM92">
        <v>26</v>
      </c>
      <c r="HN92">
        <v>41</v>
      </c>
      <c r="HO92">
        <v>0</v>
      </c>
      <c r="HP92">
        <v>107</v>
      </c>
      <c r="HQ92">
        <v>322</v>
      </c>
      <c r="HR92">
        <v>355</v>
      </c>
      <c r="HU92" s="10"/>
    </row>
    <row r="93" spans="1:229">
      <c r="A93" s="1">
        <f t="shared" si="1"/>
        <v>92</v>
      </c>
      <c r="B93" s="2">
        <v>2025</v>
      </c>
      <c r="C93" s="2" t="s">
        <v>695</v>
      </c>
      <c r="D93" s="2" t="s">
        <v>27</v>
      </c>
      <c r="E93" s="11">
        <v>50537</v>
      </c>
      <c r="F93" s="2" t="s">
        <v>736</v>
      </c>
      <c r="G93" s="2" t="s">
        <v>36</v>
      </c>
      <c r="H93" s="2" t="s">
        <v>808</v>
      </c>
      <c r="I93" s="2" t="s">
        <v>809</v>
      </c>
      <c r="J93" t="s">
        <v>810</v>
      </c>
      <c r="K93" t="s">
        <v>31</v>
      </c>
      <c r="L93" t="s">
        <v>32</v>
      </c>
      <c r="M93">
        <v>2</v>
      </c>
      <c r="N93">
        <v>3752</v>
      </c>
      <c r="O93" s="3">
        <v>3757</v>
      </c>
      <c r="P93" s="4">
        <v>3.70833333340124</v>
      </c>
      <c r="R93" s="4">
        <v>18.3333333332994</v>
      </c>
      <c r="S93" s="4">
        <v>19.375</v>
      </c>
      <c r="T93" s="4">
        <v>37.7083333332994</v>
      </c>
      <c r="U93" s="4">
        <v>41.4166666667006</v>
      </c>
      <c r="W93" s="4">
        <v>1.25694444444331</v>
      </c>
      <c r="X93" s="4">
        <v>1.38055555555669</v>
      </c>
      <c r="Y93" s="3">
        <v>2687496.65245203</v>
      </c>
      <c r="Z93">
        <v>-3043834.00355517</v>
      </c>
      <c r="AA93">
        <v>5731330.6560072</v>
      </c>
      <c r="AB93">
        <v>1167960.08333417</v>
      </c>
      <c r="AC93">
        <v>448680.555555923</v>
      </c>
      <c r="AD93">
        <v>448680.555555923</v>
      </c>
      <c r="AE93">
        <v>0</v>
      </c>
      <c r="AF93">
        <v>143462.37</v>
      </c>
      <c r="AG93">
        <v>45974.4</v>
      </c>
      <c r="AH93">
        <v>97487.97</v>
      </c>
      <c r="AI93">
        <v>9789.38</v>
      </c>
      <c r="AJ93">
        <v>4024.83</v>
      </c>
      <c r="AK93">
        <v>4321.18</v>
      </c>
      <c r="AL93">
        <v>1443.37</v>
      </c>
      <c r="AM93">
        <v>0</v>
      </c>
      <c r="AN93">
        <v>0</v>
      </c>
      <c r="AO93">
        <v>0</v>
      </c>
      <c r="AP93">
        <v>0</v>
      </c>
      <c r="AQ93">
        <v>0</v>
      </c>
      <c r="AR93">
        <v>0</v>
      </c>
      <c r="AS93">
        <v>0</v>
      </c>
      <c r="AT93">
        <v>0</v>
      </c>
      <c r="AU93">
        <v>0</v>
      </c>
      <c r="AV93">
        <v>0</v>
      </c>
      <c r="AW93">
        <v>0</v>
      </c>
      <c r="AX93">
        <v>0</v>
      </c>
      <c r="AY93">
        <v>566027.777778243</v>
      </c>
      <c r="AZ93">
        <v>4563370.57267303</v>
      </c>
      <c r="BA93">
        <v>1886084.96089107</v>
      </c>
      <c r="BB93">
        <v>39272.8176</v>
      </c>
      <c r="BC93">
        <v>39272.8176</v>
      </c>
      <c r="BD93">
        <v>0</v>
      </c>
      <c r="BE93">
        <v>0</v>
      </c>
      <c r="BF93">
        <v>621587.371666639</v>
      </c>
      <c r="BG93">
        <v>32166.6666666395</v>
      </c>
      <c r="BH93">
        <v>589420.705</v>
      </c>
      <c r="BI93">
        <v>0</v>
      </c>
      <c r="BJ93">
        <v>146300</v>
      </c>
      <c r="BK93">
        <v>483641.7</v>
      </c>
      <c r="BL93">
        <v>303241.9</v>
      </c>
      <c r="BM93">
        <v>180399.8</v>
      </c>
      <c r="BN93">
        <v>135209.88829115</v>
      </c>
      <c r="BO93">
        <v>166440.723333279</v>
      </c>
      <c r="BP93">
        <v>60333.333333279</v>
      </c>
      <c r="BQ93">
        <v>0</v>
      </c>
      <c r="BR93">
        <v>0</v>
      </c>
      <c r="BS93">
        <v>106107.39</v>
      </c>
      <c r="BT93">
        <v>293632.46</v>
      </c>
      <c r="BU93">
        <v>236691</v>
      </c>
      <c r="BV93">
        <v>56941.46</v>
      </c>
      <c r="BW93">
        <v>0</v>
      </c>
      <c r="BX93">
        <v>0</v>
      </c>
      <c r="BY93">
        <v>260091.12</v>
      </c>
      <c r="BZ93">
        <v>178143.96</v>
      </c>
      <c r="CA93">
        <v>178143.96</v>
      </c>
      <c r="CB93">
        <v>0</v>
      </c>
      <c r="CC93">
        <v>0</v>
      </c>
      <c r="CD93">
        <v>81947.16</v>
      </c>
      <c r="CE93">
        <v>0</v>
      </c>
      <c r="CF93">
        <v>81947.16</v>
      </c>
      <c r="CG93">
        <v>0</v>
      </c>
      <c r="CH93">
        <v>2417194.49178196</v>
      </c>
      <c r="CI93">
        <v>490575</v>
      </c>
      <c r="CJ93">
        <v>0</v>
      </c>
      <c r="CK93">
        <v>0</v>
      </c>
      <c r="CL93">
        <v>272536</v>
      </c>
      <c r="CM93">
        <v>93220</v>
      </c>
      <c r="CN93">
        <v>5209</v>
      </c>
      <c r="CO93">
        <v>119610</v>
      </c>
      <c r="CP93">
        <v>434875.000000357</v>
      </c>
      <c r="CQ93">
        <v>13317</v>
      </c>
      <c r="CR93">
        <v>4290</v>
      </c>
      <c r="CS93">
        <v>9027</v>
      </c>
      <c r="CT93">
        <v>0</v>
      </c>
      <c r="CU93">
        <v>0</v>
      </c>
      <c r="CV93">
        <v>0</v>
      </c>
      <c r="CW93">
        <v>0</v>
      </c>
      <c r="CX93">
        <v>0</v>
      </c>
      <c r="CY93">
        <v>20438.54</v>
      </c>
      <c r="CZ93">
        <v>3650</v>
      </c>
      <c r="DA93">
        <v>0</v>
      </c>
      <c r="DB93">
        <v>0</v>
      </c>
      <c r="DC93">
        <v>660</v>
      </c>
      <c r="DD93">
        <v>0</v>
      </c>
      <c r="DE93">
        <v>9000</v>
      </c>
      <c r="DF93">
        <v>7128.54</v>
      </c>
      <c r="DG93">
        <v>0</v>
      </c>
      <c r="DH93" s="3">
        <v>431945</v>
      </c>
      <c r="DI93">
        <v>61596</v>
      </c>
      <c r="DJ93">
        <v>0</v>
      </c>
      <c r="DK93">
        <v>61596</v>
      </c>
      <c r="DL93">
        <v>0</v>
      </c>
      <c r="DM93">
        <v>0</v>
      </c>
      <c r="DN93">
        <v>0</v>
      </c>
      <c r="DO93">
        <v>0</v>
      </c>
      <c r="DP93">
        <v>0</v>
      </c>
      <c r="DQ93">
        <v>148154</v>
      </c>
      <c r="DR93">
        <v>40754</v>
      </c>
      <c r="DS93">
        <v>0</v>
      </c>
      <c r="DT93">
        <v>45000</v>
      </c>
      <c r="DU93">
        <v>0</v>
      </c>
      <c r="DV93">
        <v>0</v>
      </c>
      <c r="DW93">
        <v>0</v>
      </c>
      <c r="DX93">
        <v>0</v>
      </c>
      <c r="DY93">
        <v>62400</v>
      </c>
      <c r="DZ93">
        <v>0</v>
      </c>
      <c r="EA93">
        <v>0</v>
      </c>
      <c r="EB93">
        <v>0</v>
      </c>
      <c r="EC93">
        <v>0</v>
      </c>
      <c r="ED93">
        <v>0</v>
      </c>
      <c r="EE93">
        <v>0</v>
      </c>
      <c r="EF93">
        <v>33573</v>
      </c>
      <c r="EG93">
        <v>0</v>
      </c>
      <c r="EH93">
        <v>0</v>
      </c>
      <c r="EI93">
        <v>635950</v>
      </c>
      <c r="EJ93">
        <v>0</v>
      </c>
      <c r="EK93">
        <v>0</v>
      </c>
      <c r="EL93">
        <v>0</v>
      </c>
      <c r="EM93">
        <v>0</v>
      </c>
      <c r="EN93">
        <v>0</v>
      </c>
      <c r="EO93">
        <v>25000</v>
      </c>
      <c r="EP93">
        <v>25000</v>
      </c>
      <c r="EQ93">
        <v>0</v>
      </c>
      <c r="ER93">
        <v>38020.5000000312</v>
      </c>
      <c r="ES93">
        <v>0</v>
      </c>
      <c r="ET93">
        <v>0</v>
      </c>
      <c r="EU93">
        <v>300</v>
      </c>
      <c r="EV93" s="4">
        <v>138.055555555669</v>
      </c>
      <c r="EW93">
        <v>0</v>
      </c>
      <c r="EX93">
        <v>0</v>
      </c>
      <c r="EY93" s="4">
        <v>138.055555555669</v>
      </c>
      <c r="EZ93">
        <v>0</v>
      </c>
      <c r="FA93">
        <v>0</v>
      </c>
      <c r="FB93">
        <v>0</v>
      </c>
      <c r="FC93">
        <v>0</v>
      </c>
      <c r="FD93">
        <v>0</v>
      </c>
      <c r="FE93">
        <v>0</v>
      </c>
      <c r="FF93">
        <v>0</v>
      </c>
      <c r="FG93">
        <v>0</v>
      </c>
      <c r="FH93">
        <v>0</v>
      </c>
      <c r="FI93" s="4">
        <v>0</v>
      </c>
      <c r="FJ93">
        <v>0</v>
      </c>
      <c r="FK93">
        <v>0</v>
      </c>
      <c r="FL93">
        <v>0</v>
      </c>
      <c r="FM93" s="4">
        <v>0</v>
      </c>
      <c r="FN93">
        <v>0</v>
      </c>
      <c r="FO93">
        <v>0</v>
      </c>
      <c r="FP93">
        <v>0</v>
      </c>
      <c r="FQ93">
        <v>0</v>
      </c>
      <c r="FR93">
        <v>0</v>
      </c>
      <c r="FS93">
        <v>0</v>
      </c>
      <c r="FT93">
        <v>21499.9732196162</v>
      </c>
      <c r="FU93">
        <v>53749.9330490406</v>
      </c>
      <c r="FV93">
        <v>8062.48995735609</v>
      </c>
      <c r="FY93">
        <v>2687496.65245203</v>
      </c>
      <c r="FZ93">
        <v>5731330.6560072</v>
      </c>
      <c r="GA93">
        <v>1167960.08333417</v>
      </c>
      <c r="GB93">
        <v>4563370.57267303</v>
      </c>
      <c r="GC93">
        <v>-1875873.920221</v>
      </c>
      <c r="GD93">
        <v>-0.698000467650621</v>
      </c>
      <c r="GE93">
        <v>-3043834.00355517</v>
      </c>
      <c r="GF93">
        <v>-1.13259080742594</v>
      </c>
      <c r="GJ93">
        <v>45938.3333333333</v>
      </c>
      <c r="GL93">
        <v>45942.0416666667</v>
      </c>
      <c r="GO93">
        <v>45952.3333333333</v>
      </c>
      <c r="GR93" t="s">
        <v>802</v>
      </c>
      <c r="GU93" t="s">
        <v>802</v>
      </c>
      <c r="HA93">
        <v>45960.375</v>
      </c>
      <c r="HB93">
        <v>45979.75</v>
      </c>
      <c r="HE93">
        <v>34</v>
      </c>
      <c r="HF93">
        <v>11</v>
      </c>
      <c r="HG93">
        <v>2</v>
      </c>
      <c r="HH93">
        <v>21</v>
      </c>
      <c r="HK93">
        <v>161</v>
      </c>
      <c r="HL93">
        <v>36</v>
      </c>
      <c r="HM93">
        <v>62</v>
      </c>
      <c r="HN93">
        <v>0</v>
      </c>
      <c r="HO93">
        <v>0</v>
      </c>
      <c r="HP93">
        <v>16</v>
      </c>
      <c r="HQ93">
        <v>387</v>
      </c>
      <c r="HR93">
        <v>239</v>
      </c>
      <c r="HU93" s="10"/>
    </row>
    <row r="94" spans="1:229">
      <c r="A94" s="1">
        <f t="shared" si="1"/>
        <v>93</v>
      </c>
      <c r="B94" s="2">
        <v>2025</v>
      </c>
      <c r="C94" s="2" t="s">
        <v>695</v>
      </c>
      <c r="D94" s="2" t="s">
        <v>27</v>
      </c>
      <c r="E94" s="11">
        <v>70152</v>
      </c>
      <c r="F94" s="2" t="s">
        <v>811</v>
      </c>
      <c r="G94" s="2" t="s">
        <v>28</v>
      </c>
      <c r="H94" s="2" t="s">
        <v>692</v>
      </c>
      <c r="I94" s="2" t="s">
        <v>812</v>
      </c>
      <c r="J94" t="s">
        <v>325</v>
      </c>
      <c r="K94" t="s">
        <v>31</v>
      </c>
      <c r="L94" t="s">
        <v>32</v>
      </c>
      <c r="M94">
        <v>3</v>
      </c>
      <c r="N94">
        <v>4525</v>
      </c>
      <c r="O94" s="3">
        <v>4533</v>
      </c>
      <c r="P94" s="4">
        <v>4.3125</v>
      </c>
      <c r="R94" s="4">
        <v>22.1875</v>
      </c>
      <c r="S94" s="4">
        <v>4.5</v>
      </c>
      <c r="T94" s="4">
        <v>26.6875</v>
      </c>
      <c r="U94" s="4">
        <v>31</v>
      </c>
      <c r="W94" s="4">
        <v>0.889583333333333</v>
      </c>
      <c r="X94" s="4">
        <v>1.03333333333333</v>
      </c>
      <c r="Y94" s="3">
        <v>14522326</v>
      </c>
      <c r="Z94">
        <v>5229300.46444373</v>
      </c>
      <c r="AA94">
        <v>9293025.53555627</v>
      </c>
      <c r="AB94">
        <v>879680.643333332</v>
      </c>
      <c r="AC94">
        <v>361666.666666667</v>
      </c>
      <c r="AD94">
        <v>361666.666666667</v>
      </c>
      <c r="AE94">
        <v>0</v>
      </c>
      <c r="AF94">
        <v>46315.22</v>
      </c>
      <c r="AG94">
        <v>46315.22</v>
      </c>
      <c r="AH94">
        <v>0</v>
      </c>
      <c r="AI94">
        <v>48032.09</v>
      </c>
      <c r="AJ94">
        <v>43530.74</v>
      </c>
      <c r="AK94">
        <v>3353</v>
      </c>
      <c r="AL94">
        <v>1148.35</v>
      </c>
      <c r="AM94">
        <v>0</v>
      </c>
      <c r="AN94">
        <v>0</v>
      </c>
      <c r="AO94">
        <v>0</v>
      </c>
      <c r="AP94">
        <v>0</v>
      </c>
      <c r="AQ94">
        <v>0</v>
      </c>
      <c r="AR94">
        <v>0</v>
      </c>
      <c r="AS94">
        <v>0</v>
      </c>
      <c r="AT94">
        <v>0</v>
      </c>
      <c r="AU94">
        <v>0</v>
      </c>
      <c r="AV94">
        <v>0</v>
      </c>
      <c r="AW94">
        <v>0</v>
      </c>
      <c r="AX94">
        <v>0</v>
      </c>
      <c r="AY94">
        <v>423666.666666665</v>
      </c>
      <c r="AZ94">
        <v>8413344.89222293</v>
      </c>
      <c r="BA94">
        <v>2648710.6128896</v>
      </c>
      <c r="BB94">
        <v>180254.862</v>
      </c>
      <c r="BC94">
        <v>180254.862</v>
      </c>
      <c r="BD94">
        <v>0</v>
      </c>
      <c r="BE94">
        <v>0</v>
      </c>
      <c r="BF94">
        <v>1497955</v>
      </c>
      <c r="BG94">
        <v>1497955</v>
      </c>
      <c r="BH94">
        <v>0</v>
      </c>
      <c r="BI94">
        <v>9051.48</v>
      </c>
      <c r="BJ94">
        <v>0</v>
      </c>
      <c r="BK94">
        <v>0</v>
      </c>
      <c r="BL94">
        <v>0</v>
      </c>
      <c r="BM94">
        <v>0</v>
      </c>
      <c r="BN94">
        <v>169527.5208896</v>
      </c>
      <c r="BO94">
        <v>251336.15</v>
      </c>
      <c r="BP94">
        <v>42700</v>
      </c>
      <c r="BQ94">
        <v>0</v>
      </c>
      <c r="BR94">
        <v>0</v>
      </c>
      <c r="BS94">
        <v>208636.15</v>
      </c>
      <c r="BT94">
        <v>540585.6</v>
      </c>
      <c r="BU94">
        <v>471432</v>
      </c>
      <c r="BV94">
        <v>69153.6</v>
      </c>
      <c r="BW94">
        <v>0</v>
      </c>
      <c r="BX94">
        <v>0</v>
      </c>
      <c r="BY94">
        <v>255152.69</v>
      </c>
      <c r="BZ94">
        <v>12952.19</v>
      </c>
      <c r="CA94">
        <v>12952.19</v>
      </c>
      <c r="CB94">
        <v>0</v>
      </c>
      <c r="CC94">
        <v>0</v>
      </c>
      <c r="CD94">
        <v>242200.5</v>
      </c>
      <c r="CE94">
        <v>242200.5</v>
      </c>
      <c r="CF94">
        <v>0</v>
      </c>
      <c r="CG94">
        <v>0</v>
      </c>
      <c r="CH94">
        <v>5509481.58933333</v>
      </c>
      <c r="CI94">
        <v>159993</v>
      </c>
      <c r="CJ94">
        <v>0</v>
      </c>
      <c r="CK94">
        <v>28850</v>
      </c>
      <c r="CL94">
        <v>0</v>
      </c>
      <c r="CM94">
        <v>37446</v>
      </c>
      <c r="CN94">
        <v>29689</v>
      </c>
      <c r="CO94">
        <v>64008</v>
      </c>
      <c r="CP94">
        <v>387499.999999999</v>
      </c>
      <c r="CQ94">
        <v>8815</v>
      </c>
      <c r="CR94">
        <v>3181</v>
      </c>
      <c r="CS94">
        <v>5634</v>
      </c>
      <c r="CT94">
        <v>0</v>
      </c>
      <c r="CU94">
        <v>0</v>
      </c>
      <c r="CV94">
        <v>0</v>
      </c>
      <c r="CW94">
        <v>0</v>
      </c>
      <c r="CX94">
        <v>0</v>
      </c>
      <c r="CY94">
        <v>19239.14</v>
      </c>
      <c r="CZ94">
        <v>3650</v>
      </c>
      <c r="DA94">
        <v>0</v>
      </c>
      <c r="DB94">
        <v>0</v>
      </c>
      <c r="DC94">
        <v>0</v>
      </c>
      <c r="DD94">
        <v>0</v>
      </c>
      <c r="DE94">
        <v>9000</v>
      </c>
      <c r="DF94">
        <v>6589.14</v>
      </c>
      <c r="DG94">
        <v>0</v>
      </c>
      <c r="DH94" s="3">
        <v>635109</v>
      </c>
      <c r="DI94">
        <v>72485</v>
      </c>
      <c r="DJ94">
        <v>0</v>
      </c>
      <c r="DK94">
        <v>72485</v>
      </c>
      <c r="DL94">
        <v>0</v>
      </c>
      <c r="DM94">
        <v>0</v>
      </c>
      <c r="DN94">
        <v>0</v>
      </c>
      <c r="DO94">
        <v>0</v>
      </c>
      <c r="DP94">
        <v>0</v>
      </c>
      <c r="DQ94">
        <v>68167</v>
      </c>
      <c r="DR94">
        <v>68167</v>
      </c>
      <c r="DS94">
        <v>0</v>
      </c>
      <c r="DT94">
        <v>0</v>
      </c>
      <c r="DU94">
        <v>0</v>
      </c>
      <c r="DV94">
        <v>0</v>
      </c>
      <c r="DW94">
        <v>0</v>
      </c>
      <c r="DX94">
        <v>0</v>
      </c>
      <c r="DY94">
        <v>0</v>
      </c>
      <c r="DZ94">
        <v>0</v>
      </c>
      <c r="EA94">
        <v>0</v>
      </c>
      <c r="EB94">
        <v>0</v>
      </c>
      <c r="EC94">
        <v>0</v>
      </c>
      <c r="ED94">
        <v>0</v>
      </c>
      <c r="EE94">
        <v>0</v>
      </c>
      <c r="EF94">
        <v>65431</v>
      </c>
      <c r="EG94">
        <v>0</v>
      </c>
      <c r="EH94">
        <v>0</v>
      </c>
      <c r="EI94">
        <v>1333371.38</v>
      </c>
      <c r="EJ94">
        <v>0</v>
      </c>
      <c r="EK94">
        <v>0</v>
      </c>
      <c r="EL94">
        <v>0</v>
      </c>
      <c r="EM94">
        <v>0</v>
      </c>
      <c r="EN94">
        <v>0</v>
      </c>
      <c r="EO94">
        <v>0</v>
      </c>
      <c r="EP94">
        <v>0</v>
      </c>
      <c r="EQ94">
        <v>0</v>
      </c>
      <c r="ER94">
        <v>32643</v>
      </c>
      <c r="ES94">
        <v>0</v>
      </c>
      <c r="ET94">
        <v>0</v>
      </c>
      <c r="EU94">
        <v>3360</v>
      </c>
      <c r="EV94" s="4">
        <v>103.333333333333</v>
      </c>
      <c r="EW94">
        <v>0</v>
      </c>
      <c r="EX94">
        <v>0</v>
      </c>
      <c r="EY94" s="4">
        <v>103.333333333333</v>
      </c>
      <c r="EZ94">
        <v>0</v>
      </c>
      <c r="FA94">
        <v>0</v>
      </c>
      <c r="FB94">
        <v>0</v>
      </c>
      <c r="FC94">
        <v>0</v>
      </c>
      <c r="FD94">
        <v>0</v>
      </c>
      <c r="FE94">
        <v>0</v>
      </c>
      <c r="FF94">
        <v>0</v>
      </c>
      <c r="FG94">
        <v>0</v>
      </c>
      <c r="FH94">
        <v>0</v>
      </c>
      <c r="FI94" s="4">
        <v>2253860.1</v>
      </c>
      <c r="FJ94">
        <v>19212.53</v>
      </c>
      <c r="FK94">
        <v>19212.53</v>
      </c>
      <c r="FL94">
        <v>0</v>
      </c>
      <c r="FM94" s="4">
        <v>0</v>
      </c>
      <c r="FN94">
        <v>0</v>
      </c>
      <c r="FO94">
        <v>0</v>
      </c>
      <c r="FP94">
        <v>0</v>
      </c>
      <c r="FQ94">
        <v>0</v>
      </c>
      <c r="FR94">
        <v>0</v>
      </c>
      <c r="FS94">
        <v>0</v>
      </c>
      <c r="FT94">
        <v>116178.608</v>
      </c>
      <c r="FU94">
        <v>290446.52</v>
      </c>
      <c r="FV94">
        <v>43566.978</v>
      </c>
      <c r="FY94">
        <v>14522326</v>
      </c>
      <c r="FZ94">
        <v>9293025.53555627</v>
      </c>
      <c r="GA94">
        <v>879680.643333332</v>
      </c>
      <c r="GB94">
        <v>8413344.89222293</v>
      </c>
      <c r="GC94">
        <v>6108981.10777707</v>
      </c>
      <c r="GD94">
        <v>0.420661339497341</v>
      </c>
      <c r="GE94">
        <v>5229300.46444373</v>
      </c>
      <c r="GF94">
        <v>0.36008697673112</v>
      </c>
      <c r="GJ94">
        <v>45956.5833333333</v>
      </c>
      <c r="GL94">
        <v>45960.8958333333</v>
      </c>
      <c r="GO94">
        <v>45964.2291666667</v>
      </c>
      <c r="GR94">
        <v>45974.5</v>
      </c>
      <c r="GU94" t="s">
        <v>802</v>
      </c>
      <c r="HA94">
        <v>45983.0833333333</v>
      </c>
      <c r="HB94">
        <v>45987.5833333333</v>
      </c>
      <c r="HE94">
        <v>39</v>
      </c>
      <c r="HF94">
        <v>11</v>
      </c>
      <c r="HG94">
        <v>3</v>
      </c>
      <c r="HH94">
        <v>25</v>
      </c>
      <c r="HK94">
        <v>134</v>
      </c>
      <c r="HL94">
        <v>49</v>
      </c>
      <c r="HM94">
        <v>42</v>
      </c>
      <c r="HN94">
        <v>28</v>
      </c>
      <c r="HO94">
        <v>0</v>
      </c>
      <c r="HP94">
        <v>39</v>
      </c>
      <c r="HQ94">
        <v>182</v>
      </c>
      <c r="HR94">
        <v>160</v>
      </c>
      <c r="HU94" s="10"/>
    </row>
    <row r="95" spans="1:229">
      <c r="A95" s="1">
        <f t="shared" si="1"/>
        <v>94</v>
      </c>
      <c r="B95" s="2">
        <v>2025</v>
      </c>
      <c r="C95" s="2" t="s">
        <v>708</v>
      </c>
      <c r="D95" s="2" t="s">
        <v>27</v>
      </c>
      <c r="E95" s="9">
        <v>50537</v>
      </c>
      <c r="F95" s="2" t="s">
        <v>736</v>
      </c>
      <c r="G95" s="2" t="s">
        <v>36</v>
      </c>
      <c r="H95" s="2" t="s">
        <v>808</v>
      </c>
      <c r="I95" s="2" t="s">
        <v>813</v>
      </c>
      <c r="J95" t="s">
        <v>810</v>
      </c>
      <c r="K95" t="s">
        <v>31</v>
      </c>
      <c r="L95" t="s">
        <v>32</v>
      </c>
      <c r="M95">
        <v>2</v>
      </c>
      <c r="N95">
        <v>3671</v>
      </c>
      <c r="O95" s="3">
        <v>3699</v>
      </c>
      <c r="P95" s="4">
        <v>8.83333333340124</v>
      </c>
      <c r="R95" s="4">
        <v>16.7083333332994</v>
      </c>
      <c r="S95" s="4">
        <v>13.1041666667006</v>
      </c>
      <c r="T95" s="4">
        <v>29.8125</v>
      </c>
      <c r="U95" s="4">
        <v>38.6458333334012</v>
      </c>
      <c r="W95" s="4">
        <v>0.99375</v>
      </c>
      <c r="X95" s="4">
        <v>1.28819444444671</v>
      </c>
      <c r="Y95" s="3">
        <v>2626290</v>
      </c>
      <c r="Z95">
        <v>-1076396.30097384</v>
      </c>
      <c r="AA95">
        <v>3702686.30097384</v>
      </c>
      <c r="AB95">
        <v>1098246.47666833</v>
      </c>
      <c r="AC95">
        <v>418663.19444518</v>
      </c>
      <c r="AD95">
        <v>418663.19444518</v>
      </c>
      <c r="AE95">
        <v>0</v>
      </c>
      <c r="AF95">
        <v>133868.22</v>
      </c>
      <c r="AG95">
        <v>42899.83</v>
      </c>
      <c r="AH95">
        <v>90968.39</v>
      </c>
      <c r="AI95">
        <v>17555.34</v>
      </c>
      <c r="AJ95">
        <v>3369.17</v>
      </c>
      <c r="AK95">
        <v>4028.36</v>
      </c>
      <c r="AL95">
        <v>10157.81</v>
      </c>
      <c r="AM95">
        <v>0</v>
      </c>
      <c r="AN95">
        <v>0</v>
      </c>
      <c r="AO95">
        <v>0</v>
      </c>
      <c r="AP95">
        <v>0</v>
      </c>
      <c r="AQ95">
        <v>0</v>
      </c>
      <c r="AR95">
        <v>0</v>
      </c>
      <c r="AS95">
        <v>0</v>
      </c>
      <c r="AT95">
        <v>0</v>
      </c>
      <c r="AU95">
        <v>0</v>
      </c>
      <c r="AV95">
        <v>0</v>
      </c>
      <c r="AW95">
        <v>0</v>
      </c>
      <c r="AX95">
        <v>0</v>
      </c>
      <c r="AY95">
        <v>528159.722223151</v>
      </c>
      <c r="AZ95">
        <v>2604439.82430551</v>
      </c>
      <c r="BA95">
        <v>783715.364026991</v>
      </c>
      <c r="BB95">
        <v>34817.64</v>
      </c>
      <c r="BC95">
        <v>0</v>
      </c>
      <c r="BD95">
        <v>34817.64</v>
      </c>
      <c r="BE95">
        <v>0</v>
      </c>
      <c r="BF95">
        <v>115886.45805</v>
      </c>
      <c r="BG95">
        <v>25850</v>
      </c>
      <c r="BH95">
        <v>90036.45805</v>
      </c>
      <c r="BI95">
        <v>3378.24</v>
      </c>
      <c r="BJ95">
        <v>36575</v>
      </c>
      <c r="BK95">
        <v>170188.48</v>
      </c>
      <c r="BL95">
        <v>0</v>
      </c>
      <c r="BM95">
        <v>170188.48</v>
      </c>
      <c r="BN95">
        <v>42461.8259769912</v>
      </c>
      <c r="BO95">
        <v>100357.99</v>
      </c>
      <c r="BP95">
        <v>47700</v>
      </c>
      <c r="BQ95">
        <v>0</v>
      </c>
      <c r="BR95">
        <v>0</v>
      </c>
      <c r="BS95">
        <v>52657.99</v>
      </c>
      <c r="BT95">
        <v>280049.73</v>
      </c>
      <c r="BU95">
        <v>233037</v>
      </c>
      <c r="BV95">
        <v>47012.73</v>
      </c>
      <c r="BW95">
        <v>0</v>
      </c>
      <c r="BX95">
        <v>0</v>
      </c>
      <c r="BY95">
        <v>1638.34</v>
      </c>
      <c r="BZ95">
        <v>1638.34</v>
      </c>
      <c r="CA95">
        <v>0</v>
      </c>
      <c r="CB95">
        <v>1638.34</v>
      </c>
      <c r="CC95">
        <v>0</v>
      </c>
      <c r="CD95">
        <v>0</v>
      </c>
      <c r="CE95">
        <v>0</v>
      </c>
      <c r="CF95">
        <v>0</v>
      </c>
      <c r="CG95">
        <v>0</v>
      </c>
      <c r="CH95">
        <v>1819086.12027852</v>
      </c>
      <c r="CI95">
        <v>90714</v>
      </c>
      <c r="CJ95">
        <v>0</v>
      </c>
      <c r="CK95">
        <v>5577</v>
      </c>
      <c r="CL95">
        <v>0</v>
      </c>
      <c r="CM95">
        <v>33604</v>
      </c>
      <c r="CN95">
        <v>1253</v>
      </c>
      <c r="CO95">
        <v>50280</v>
      </c>
      <c r="CP95">
        <v>386458.333334013</v>
      </c>
      <c r="CQ95">
        <v>18037.6</v>
      </c>
      <c r="CR95">
        <v>5940</v>
      </c>
      <c r="CS95">
        <v>12097.6</v>
      </c>
      <c r="CT95">
        <v>0</v>
      </c>
      <c r="CU95">
        <v>0</v>
      </c>
      <c r="CV95">
        <v>0</v>
      </c>
      <c r="CW95">
        <v>0</v>
      </c>
      <c r="CX95">
        <v>0</v>
      </c>
      <c r="CY95">
        <v>19778.54</v>
      </c>
      <c r="CZ95">
        <v>3650</v>
      </c>
      <c r="DA95">
        <v>0</v>
      </c>
      <c r="DB95">
        <v>0</v>
      </c>
      <c r="DC95">
        <v>0</v>
      </c>
      <c r="DD95">
        <v>0</v>
      </c>
      <c r="DE95">
        <v>9000</v>
      </c>
      <c r="DF95">
        <v>7128.54</v>
      </c>
      <c r="DG95">
        <v>0</v>
      </c>
      <c r="DH95" s="3">
        <v>422726</v>
      </c>
      <c r="DI95">
        <v>84842.4</v>
      </c>
      <c r="DJ95">
        <v>0</v>
      </c>
      <c r="DK95">
        <v>84842.4</v>
      </c>
      <c r="DL95">
        <v>0</v>
      </c>
      <c r="DM95">
        <v>0</v>
      </c>
      <c r="DN95">
        <v>0</v>
      </c>
      <c r="DO95">
        <v>0</v>
      </c>
      <c r="DP95">
        <v>0</v>
      </c>
      <c r="DQ95">
        <v>68167</v>
      </c>
      <c r="DR95">
        <v>68167</v>
      </c>
      <c r="DS95">
        <v>0</v>
      </c>
      <c r="DT95">
        <v>0</v>
      </c>
      <c r="DU95">
        <v>0</v>
      </c>
      <c r="DV95">
        <v>0</v>
      </c>
      <c r="DW95">
        <v>0</v>
      </c>
      <c r="DX95">
        <v>0</v>
      </c>
      <c r="DY95">
        <v>0</v>
      </c>
      <c r="DZ95">
        <v>0</v>
      </c>
      <c r="EA95">
        <v>0</v>
      </c>
      <c r="EB95">
        <v>0</v>
      </c>
      <c r="EC95">
        <v>0</v>
      </c>
      <c r="ED95">
        <v>0</v>
      </c>
      <c r="EE95">
        <v>0</v>
      </c>
      <c r="EF95">
        <v>28061</v>
      </c>
      <c r="EG95">
        <v>0</v>
      </c>
      <c r="EH95">
        <v>0</v>
      </c>
      <c r="EI95">
        <v>549024</v>
      </c>
      <c r="EJ95">
        <v>0</v>
      </c>
      <c r="EK95">
        <v>0</v>
      </c>
      <c r="EL95">
        <v>0</v>
      </c>
      <c r="EM95">
        <v>0</v>
      </c>
      <c r="EN95">
        <v>35000</v>
      </c>
      <c r="EO95">
        <v>0</v>
      </c>
      <c r="EP95">
        <v>0</v>
      </c>
      <c r="EQ95">
        <v>0</v>
      </c>
      <c r="ER95">
        <v>34433.4375000605</v>
      </c>
      <c r="ES95">
        <v>0</v>
      </c>
      <c r="ET95">
        <v>0</v>
      </c>
      <c r="EU95">
        <v>300</v>
      </c>
      <c r="EV95" s="4">
        <v>128.819444444671</v>
      </c>
      <c r="EW95">
        <v>0</v>
      </c>
      <c r="EX95">
        <v>0</v>
      </c>
      <c r="EY95" s="4">
        <v>128.819444444671</v>
      </c>
      <c r="EZ95">
        <v>0</v>
      </c>
      <c r="FA95">
        <v>0</v>
      </c>
      <c r="FB95">
        <v>0</v>
      </c>
      <c r="FC95">
        <v>0</v>
      </c>
      <c r="FD95">
        <v>0</v>
      </c>
      <c r="FE95">
        <v>0</v>
      </c>
      <c r="FF95">
        <v>0</v>
      </c>
      <c r="FG95">
        <v>0</v>
      </c>
      <c r="FH95">
        <v>0</v>
      </c>
      <c r="FI95" s="4">
        <v>0</v>
      </c>
      <c r="FJ95">
        <v>0</v>
      </c>
      <c r="FK95">
        <v>0</v>
      </c>
      <c r="FL95">
        <v>0</v>
      </c>
      <c r="FM95" s="4">
        <v>0</v>
      </c>
      <c r="FN95">
        <v>0</v>
      </c>
      <c r="FO95">
        <v>0</v>
      </c>
      <c r="FP95">
        <v>0</v>
      </c>
      <c r="FQ95">
        <v>0</v>
      </c>
      <c r="FR95">
        <v>0</v>
      </c>
      <c r="FS95">
        <v>0</v>
      </c>
      <c r="FT95">
        <v>21010.32</v>
      </c>
      <c r="FU95">
        <v>52525.8</v>
      </c>
      <c r="FV95">
        <v>7878.87</v>
      </c>
      <c r="FY95">
        <v>2626290</v>
      </c>
      <c r="FZ95">
        <v>3702686.30097384</v>
      </c>
      <c r="GA95">
        <v>1098246.47666833</v>
      </c>
      <c r="GB95">
        <v>2604439.82430551</v>
      </c>
      <c r="GC95">
        <v>21850.1756944908</v>
      </c>
      <c r="GD95">
        <v>0.00831978787357481</v>
      </c>
      <c r="GE95">
        <v>-1076396.30097384</v>
      </c>
      <c r="GF95">
        <v>-0.409854319581554</v>
      </c>
      <c r="GJ95">
        <v>45980.3333333333</v>
      </c>
      <c r="GL95">
        <v>45989.1666666667</v>
      </c>
      <c r="GO95">
        <v>45993.6666666667</v>
      </c>
      <c r="GR95" t="s">
        <v>802</v>
      </c>
      <c r="GU95" t="s">
        <v>802</v>
      </c>
      <c r="HA95">
        <v>46005.875</v>
      </c>
      <c r="HB95">
        <v>46018.9791666667</v>
      </c>
      <c r="HE95">
        <v>33</v>
      </c>
      <c r="HF95">
        <v>12</v>
      </c>
      <c r="HG95">
        <v>1</v>
      </c>
      <c r="HH95">
        <v>20</v>
      </c>
      <c r="HK95">
        <v>190</v>
      </c>
      <c r="HL95">
        <v>48</v>
      </c>
      <c r="HM95">
        <v>70</v>
      </c>
      <c r="HN95">
        <v>7</v>
      </c>
      <c r="HO95">
        <v>0</v>
      </c>
      <c r="HP95">
        <v>14</v>
      </c>
      <c r="HQ95">
        <v>197</v>
      </c>
      <c r="HR95">
        <v>189</v>
      </c>
      <c r="HU95" s="10"/>
    </row>
    <row r="96" spans="1:229">
      <c r="A96" s="1">
        <f t="shared" si="1"/>
        <v>95</v>
      </c>
      <c r="B96" s="2">
        <v>2025</v>
      </c>
      <c r="C96" s="2" t="s">
        <v>708</v>
      </c>
      <c r="D96" s="2" t="s">
        <v>27</v>
      </c>
      <c r="E96" s="9">
        <v>50639</v>
      </c>
      <c r="F96" s="2" t="s">
        <v>723</v>
      </c>
      <c r="G96" s="2" t="s">
        <v>36</v>
      </c>
      <c r="H96" s="2" t="s">
        <v>808</v>
      </c>
      <c r="I96" s="2" t="s">
        <v>814</v>
      </c>
      <c r="J96" t="s">
        <v>810</v>
      </c>
      <c r="K96" t="s">
        <v>31</v>
      </c>
      <c r="L96" t="s">
        <v>38</v>
      </c>
      <c r="M96">
        <v>2</v>
      </c>
      <c r="N96">
        <v>3998</v>
      </c>
      <c r="O96" s="3">
        <v>3998</v>
      </c>
      <c r="P96" s="4">
        <v>31.375</v>
      </c>
      <c r="R96" s="4">
        <v>29.9583333334012</v>
      </c>
      <c r="S96" s="4">
        <v>8.25</v>
      </c>
      <c r="T96" s="4">
        <v>38.2083333334012</v>
      </c>
      <c r="U96" s="4">
        <v>69.5833333334012</v>
      </c>
      <c r="W96" s="4">
        <v>1.27361111111337</v>
      </c>
      <c r="X96" s="4">
        <v>2.31944444444671</v>
      </c>
      <c r="Y96" s="3">
        <v>4500000</v>
      </c>
      <c r="Z96">
        <v>-4931536.52795638</v>
      </c>
      <c r="AA96">
        <v>9431536.52795638</v>
      </c>
      <c r="AB96">
        <v>2230310.0444465</v>
      </c>
      <c r="AC96">
        <v>1159722.22222335</v>
      </c>
      <c r="AD96">
        <v>1159722.22222335</v>
      </c>
      <c r="AE96">
        <v>0</v>
      </c>
      <c r="AF96">
        <v>110629.6</v>
      </c>
      <c r="AG96">
        <v>110629.6</v>
      </c>
      <c r="AH96">
        <v>0</v>
      </c>
      <c r="AI96">
        <v>8986</v>
      </c>
      <c r="AJ96">
        <v>5103.35</v>
      </c>
      <c r="AK96">
        <v>3882.65</v>
      </c>
      <c r="AL96">
        <v>0</v>
      </c>
      <c r="AM96">
        <v>0</v>
      </c>
      <c r="AN96">
        <v>0</v>
      </c>
      <c r="AO96">
        <v>0</v>
      </c>
      <c r="AP96">
        <v>0</v>
      </c>
      <c r="AQ96">
        <v>0</v>
      </c>
      <c r="AR96">
        <v>0</v>
      </c>
      <c r="AS96">
        <v>0</v>
      </c>
      <c r="AT96">
        <v>0</v>
      </c>
      <c r="AU96">
        <v>0</v>
      </c>
      <c r="AV96">
        <v>0</v>
      </c>
      <c r="AW96">
        <v>0</v>
      </c>
      <c r="AX96">
        <v>0</v>
      </c>
      <c r="AY96">
        <v>950972.222223151</v>
      </c>
      <c r="AZ96">
        <v>7201226.48350988</v>
      </c>
      <c r="BA96">
        <v>2891273.54239816</v>
      </c>
      <c r="BB96">
        <v>72727.44</v>
      </c>
      <c r="BC96">
        <v>72727.44</v>
      </c>
      <c r="BD96">
        <v>0</v>
      </c>
      <c r="BE96">
        <v>0</v>
      </c>
      <c r="BF96">
        <v>862504.676842721</v>
      </c>
      <c r="BG96">
        <v>32566.666666721</v>
      </c>
      <c r="BH96">
        <v>829938.010176</v>
      </c>
      <c r="BI96">
        <v>18993.6954</v>
      </c>
      <c r="BJ96">
        <v>585200</v>
      </c>
      <c r="BK96">
        <v>468324.73</v>
      </c>
      <c r="BL96">
        <v>303241.9</v>
      </c>
      <c r="BM96">
        <v>165082.83</v>
      </c>
      <c r="BN96">
        <v>408603.576822</v>
      </c>
      <c r="BO96">
        <v>161047.983333442</v>
      </c>
      <c r="BP96">
        <v>61133.333333442</v>
      </c>
      <c r="BQ96">
        <v>0</v>
      </c>
      <c r="BR96">
        <v>0</v>
      </c>
      <c r="BS96">
        <v>99914.65</v>
      </c>
      <c r="BT96">
        <v>313871.44</v>
      </c>
      <c r="BU96">
        <v>251874</v>
      </c>
      <c r="BV96">
        <v>61997.44</v>
      </c>
      <c r="BW96">
        <v>0</v>
      </c>
      <c r="BX96">
        <v>0</v>
      </c>
      <c r="BY96">
        <v>754103.79</v>
      </c>
      <c r="BZ96">
        <v>214991</v>
      </c>
      <c r="CA96">
        <v>214991</v>
      </c>
      <c r="CB96">
        <v>0</v>
      </c>
      <c r="CC96">
        <v>0</v>
      </c>
      <c r="CD96">
        <v>539112.79</v>
      </c>
      <c r="CE96">
        <v>539112.79</v>
      </c>
      <c r="CF96">
        <v>0</v>
      </c>
      <c r="CG96">
        <v>0</v>
      </c>
      <c r="CH96">
        <v>3555849.15111172</v>
      </c>
      <c r="CI96">
        <v>839336</v>
      </c>
      <c r="CJ96">
        <v>0</v>
      </c>
      <c r="CK96">
        <v>0</v>
      </c>
      <c r="CL96">
        <v>474532</v>
      </c>
      <c r="CM96">
        <v>151121</v>
      </c>
      <c r="CN96">
        <v>10442</v>
      </c>
      <c r="CO96">
        <v>203241</v>
      </c>
      <c r="CP96">
        <v>556666.66666721</v>
      </c>
      <c r="CQ96">
        <v>26342.4</v>
      </c>
      <c r="CR96">
        <v>7920</v>
      </c>
      <c r="CS96">
        <v>18422.4</v>
      </c>
      <c r="CT96">
        <v>0</v>
      </c>
      <c r="CU96">
        <v>0</v>
      </c>
      <c r="CV96">
        <v>0</v>
      </c>
      <c r="CW96">
        <v>0</v>
      </c>
      <c r="CX96">
        <v>0</v>
      </c>
      <c r="CY96">
        <v>18895.54</v>
      </c>
      <c r="CZ96">
        <v>3650</v>
      </c>
      <c r="DA96">
        <v>0</v>
      </c>
      <c r="DB96">
        <v>1415</v>
      </c>
      <c r="DC96">
        <v>0</v>
      </c>
      <c r="DD96">
        <v>0</v>
      </c>
      <c r="DE96">
        <v>9000</v>
      </c>
      <c r="DF96">
        <v>4830.54</v>
      </c>
      <c r="DG96">
        <v>0</v>
      </c>
      <c r="DH96" s="3">
        <v>766333</v>
      </c>
      <c r="DI96">
        <v>176735.6</v>
      </c>
      <c r="DJ96">
        <v>0</v>
      </c>
      <c r="DK96">
        <v>176735.6</v>
      </c>
      <c r="DL96">
        <v>0</v>
      </c>
      <c r="DM96">
        <v>0</v>
      </c>
      <c r="DN96">
        <v>0</v>
      </c>
      <c r="DO96">
        <v>0</v>
      </c>
      <c r="DP96">
        <v>0</v>
      </c>
      <c r="DQ96">
        <v>31200</v>
      </c>
      <c r="DR96">
        <v>0</v>
      </c>
      <c r="DS96">
        <v>0</v>
      </c>
      <c r="DT96">
        <v>0</v>
      </c>
      <c r="DU96">
        <v>0</v>
      </c>
      <c r="DV96">
        <v>0</v>
      </c>
      <c r="DW96">
        <v>0</v>
      </c>
      <c r="DX96">
        <v>0</v>
      </c>
      <c r="DY96">
        <v>31200</v>
      </c>
      <c r="DZ96">
        <v>0</v>
      </c>
      <c r="EA96">
        <v>0</v>
      </c>
      <c r="EB96">
        <v>0</v>
      </c>
      <c r="EC96">
        <v>0</v>
      </c>
      <c r="ED96">
        <v>0</v>
      </c>
      <c r="EE96">
        <v>0</v>
      </c>
      <c r="EF96">
        <v>35071</v>
      </c>
      <c r="EG96">
        <v>0</v>
      </c>
      <c r="EH96">
        <v>0</v>
      </c>
      <c r="EI96">
        <v>850802</v>
      </c>
      <c r="EJ96">
        <v>0</v>
      </c>
      <c r="EK96">
        <v>0</v>
      </c>
      <c r="EL96">
        <v>0</v>
      </c>
      <c r="EM96">
        <v>0</v>
      </c>
      <c r="EN96">
        <v>45300</v>
      </c>
      <c r="EO96">
        <v>0</v>
      </c>
      <c r="EP96">
        <v>0</v>
      </c>
      <c r="EQ96">
        <v>0</v>
      </c>
      <c r="ER96">
        <v>67635.000000066</v>
      </c>
      <c r="ES96">
        <v>0</v>
      </c>
      <c r="ET96">
        <v>0</v>
      </c>
      <c r="EU96">
        <v>1800</v>
      </c>
      <c r="EV96" s="4">
        <v>231.944444444671</v>
      </c>
      <c r="EW96">
        <v>0</v>
      </c>
      <c r="EX96">
        <v>0</v>
      </c>
      <c r="EY96" s="4">
        <v>231.944444444671</v>
      </c>
      <c r="EZ96">
        <v>0</v>
      </c>
      <c r="FA96">
        <v>0</v>
      </c>
      <c r="FB96">
        <v>0</v>
      </c>
      <c r="FC96">
        <v>0</v>
      </c>
      <c r="FD96">
        <v>0</v>
      </c>
      <c r="FE96">
        <v>0</v>
      </c>
      <c r="FF96">
        <v>0</v>
      </c>
      <c r="FG96">
        <v>0</v>
      </c>
      <c r="FH96">
        <v>0</v>
      </c>
      <c r="FI96" s="4">
        <v>0</v>
      </c>
      <c r="FJ96">
        <v>0</v>
      </c>
      <c r="FK96">
        <v>0</v>
      </c>
      <c r="FL96">
        <v>0</v>
      </c>
      <c r="FM96" s="4">
        <v>0</v>
      </c>
      <c r="FN96">
        <v>0</v>
      </c>
      <c r="FO96">
        <v>0</v>
      </c>
      <c r="FP96">
        <v>0</v>
      </c>
      <c r="FQ96">
        <v>0</v>
      </c>
      <c r="FR96">
        <v>0</v>
      </c>
      <c r="FS96">
        <v>0</v>
      </c>
      <c r="FT96">
        <v>36000</v>
      </c>
      <c r="FU96">
        <v>90000</v>
      </c>
      <c r="FV96">
        <v>13500</v>
      </c>
      <c r="FY96">
        <v>4500000</v>
      </c>
      <c r="FZ96">
        <v>9431536.52795638</v>
      </c>
      <c r="GA96">
        <v>2230310.0444465</v>
      </c>
      <c r="GB96">
        <v>7201226.48350988</v>
      </c>
      <c r="GC96">
        <v>-2701226.48350988</v>
      </c>
      <c r="GD96">
        <v>-0.600272551891085</v>
      </c>
      <c r="GE96">
        <v>-4931536.52795638</v>
      </c>
      <c r="GF96">
        <v>-1.09589700621253</v>
      </c>
      <c r="GJ96">
        <v>45924.3333333333</v>
      </c>
      <c r="GL96">
        <v>45955.7083333333</v>
      </c>
      <c r="GO96">
        <v>45963.0416666667</v>
      </c>
      <c r="GR96" t="s">
        <v>802</v>
      </c>
      <c r="GU96" t="s">
        <v>802</v>
      </c>
      <c r="HA96">
        <v>45985.6666666667</v>
      </c>
      <c r="HB96">
        <v>45993.9166666667</v>
      </c>
      <c r="HE96">
        <v>36</v>
      </c>
      <c r="HF96">
        <v>17</v>
      </c>
      <c r="HG96">
        <v>3</v>
      </c>
      <c r="HH96">
        <v>16</v>
      </c>
      <c r="HK96">
        <v>384</v>
      </c>
      <c r="HL96">
        <v>102</v>
      </c>
      <c r="HM96">
        <v>40</v>
      </c>
      <c r="HN96">
        <v>20</v>
      </c>
      <c r="HO96">
        <v>0</v>
      </c>
      <c r="HP96">
        <v>32</v>
      </c>
      <c r="HQ96">
        <v>246</v>
      </c>
      <c r="HR96">
        <v>93</v>
      </c>
      <c r="HU96" s="10"/>
    </row>
    <row r="97" spans="1:229">
      <c r="A97" s="1">
        <f t="shared" si="1"/>
        <v>96</v>
      </c>
      <c r="B97" s="2">
        <v>2025</v>
      </c>
      <c r="C97" s="2" t="s">
        <v>708</v>
      </c>
      <c r="D97" s="2" t="s">
        <v>27</v>
      </c>
      <c r="E97" s="9">
        <v>50998</v>
      </c>
      <c r="F97" s="2" t="s">
        <v>805</v>
      </c>
      <c r="G97" s="2" t="s">
        <v>36</v>
      </c>
      <c r="H97" s="2" t="s">
        <v>692</v>
      </c>
      <c r="I97" s="2" t="s">
        <v>815</v>
      </c>
      <c r="J97" t="s">
        <v>30</v>
      </c>
      <c r="K97" t="s">
        <v>31</v>
      </c>
      <c r="L97" t="s">
        <v>38</v>
      </c>
      <c r="M97">
        <v>2</v>
      </c>
      <c r="N97">
        <v>2528</v>
      </c>
      <c r="O97" s="3">
        <v>2513</v>
      </c>
      <c r="P97" s="4">
        <v>7.10416666670062</v>
      </c>
      <c r="R97" s="4">
        <v>9.14583333329938</v>
      </c>
      <c r="S97" s="4">
        <v>4.79166666670062</v>
      </c>
      <c r="T97" s="4">
        <v>13.9375</v>
      </c>
      <c r="U97" s="4">
        <v>21.0416666667006</v>
      </c>
      <c r="W97" s="4">
        <v>0.464583333333333</v>
      </c>
      <c r="X97" s="4">
        <v>0.701388888890021</v>
      </c>
      <c r="Y97" s="3">
        <v>4020572.65451642</v>
      </c>
      <c r="Z97">
        <v>36542.0534636457</v>
      </c>
      <c r="AA97">
        <v>3984030.60105277</v>
      </c>
      <c r="AB97">
        <v>760714.086667669</v>
      </c>
      <c r="AC97">
        <v>333159.72222276</v>
      </c>
      <c r="AD97">
        <v>333159.72222276</v>
      </c>
      <c r="AE97">
        <v>0</v>
      </c>
      <c r="AF97">
        <v>135056.58</v>
      </c>
      <c r="AG97">
        <v>18645.58</v>
      </c>
      <c r="AH97">
        <v>116411</v>
      </c>
      <c r="AI97">
        <v>4928.34</v>
      </c>
      <c r="AJ97">
        <v>0</v>
      </c>
      <c r="AK97">
        <v>0</v>
      </c>
      <c r="AL97">
        <v>4928.34</v>
      </c>
      <c r="AM97">
        <v>0</v>
      </c>
      <c r="AN97">
        <v>0</v>
      </c>
      <c r="AO97">
        <v>0</v>
      </c>
      <c r="AP97">
        <v>0</v>
      </c>
      <c r="AQ97">
        <v>0</v>
      </c>
      <c r="AR97">
        <v>0</v>
      </c>
      <c r="AS97">
        <v>0</v>
      </c>
      <c r="AT97">
        <v>0</v>
      </c>
      <c r="AU97">
        <v>0</v>
      </c>
      <c r="AV97">
        <v>0</v>
      </c>
      <c r="AW97">
        <v>0</v>
      </c>
      <c r="AX97">
        <v>0</v>
      </c>
      <c r="AY97">
        <v>287569.444444909</v>
      </c>
      <c r="AZ97">
        <v>3223316.51438511</v>
      </c>
      <c r="BA97">
        <v>1297943.74187257</v>
      </c>
      <c r="BB97">
        <v>31318.02</v>
      </c>
      <c r="BC97">
        <v>16200</v>
      </c>
      <c r="BD97">
        <v>15118.02</v>
      </c>
      <c r="BE97">
        <v>0</v>
      </c>
      <c r="BF97">
        <v>608334</v>
      </c>
      <c r="BG97">
        <v>608334</v>
      </c>
      <c r="BH97">
        <v>0</v>
      </c>
      <c r="BI97">
        <v>12429.72</v>
      </c>
      <c r="BJ97">
        <v>92066</v>
      </c>
      <c r="BK97">
        <v>229299.78</v>
      </c>
      <c r="BL97">
        <v>229299.78</v>
      </c>
      <c r="BM97">
        <v>0</v>
      </c>
      <c r="BN97">
        <v>46710.3218725664</v>
      </c>
      <c r="BO97">
        <v>104674.35</v>
      </c>
      <c r="BP97">
        <v>22300</v>
      </c>
      <c r="BQ97">
        <v>0</v>
      </c>
      <c r="BR97">
        <v>0</v>
      </c>
      <c r="BS97">
        <v>82374.35</v>
      </c>
      <c r="BT97">
        <v>173111.55</v>
      </c>
      <c r="BU97">
        <v>158319</v>
      </c>
      <c r="BV97">
        <v>14792.55</v>
      </c>
      <c r="BW97">
        <v>0</v>
      </c>
      <c r="BX97">
        <v>0</v>
      </c>
      <c r="BY97">
        <v>103846.33</v>
      </c>
      <c r="BZ97">
        <v>103846.33</v>
      </c>
      <c r="CA97">
        <v>103846.33</v>
      </c>
      <c r="CB97">
        <v>0</v>
      </c>
      <c r="CC97">
        <v>0</v>
      </c>
      <c r="CD97">
        <v>0</v>
      </c>
      <c r="CE97">
        <v>0</v>
      </c>
      <c r="CF97">
        <v>0</v>
      </c>
      <c r="CG97">
        <v>0</v>
      </c>
      <c r="CH97">
        <v>1821526.44251254</v>
      </c>
      <c r="CI97">
        <v>118458</v>
      </c>
      <c r="CJ97">
        <v>0</v>
      </c>
      <c r="CK97">
        <v>0</v>
      </c>
      <c r="CL97">
        <v>52147</v>
      </c>
      <c r="CM97">
        <v>26311</v>
      </c>
      <c r="CN97">
        <v>15677</v>
      </c>
      <c r="CO97">
        <v>24323</v>
      </c>
      <c r="CP97">
        <v>168333.333333605</v>
      </c>
      <c r="CQ97">
        <v>2316.25</v>
      </c>
      <c r="CR97">
        <v>1506.8</v>
      </c>
      <c r="CS97">
        <v>809.45</v>
      </c>
      <c r="CT97">
        <v>0</v>
      </c>
      <c r="CU97">
        <v>0</v>
      </c>
      <c r="CV97">
        <v>0</v>
      </c>
      <c r="CW97">
        <v>0</v>
      </c>
      <c r="CX97">
        <v>0</v>
      </c>
      <c r="CY97">
        <v>14556.34</v>
      </c>
      <c r="CZ97">
        <v>3650</v>
      </c>
      <c r="DA97">
        <v>0</v>
      </c>
      <c r="DB97">
        <v>0</v>
      </c>
      <c r="DC97">
        <v>220</v>
      </c>
      <c r="DD97">
        <v>0</v>
      </c>
      <c r="DE97">
        <v>9000</v>
      </c>
      <c r="DF97">
        <v>1686.34</v>
      </c>
      <c r="DG97">
        <v>0</v>
      </c>
      <c r="DH97" s="3">
        <v>298024</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23512</v>
      </c>
      <c r="EG97">
        <v>0</v>
      </c>
      <c r="EH97">
        <v>0</v>
      </c>
      <c r="EI97">
        <v>312180.113</v>
      </c>
      <c r="EJ97">
        <v>0</v>
      </c>
      <c r="EK97">
        <v>0</v>
      </c>
      <c r="EL97">
        <v>0</v>
      </c>
      <c r="EM97">
        <v>49650</v>
      </c>
      <c r="EN97">
        <v>0</v>
      </c>
      <c r="EO97">
        <v>10033</v>
      </c>
      <c r="EP97">
        <v>0</v>
      </c>
      <c r="EQ97">
        <v>10033</v>
      </c>
      <c r="ER97">
        <v>19884.3750000321</v>
      </c>
      <c r="ES97">
        <v>0</v>
      </c>
      <c r="ET97">
        <v>0</v>
      </c>
      <c r="EU97">
        <v>4380</v>
      </c>
      <c r="EV97" s="4">
        <v>70.1388888890021</v>
      </c>
      <c r="EW97">
        <v>0</v>
      </c>
      <c r="EX97">
        <v>0</v>
      </c>
      <c r="EY97" s="4">
        <v>70.1388888890021</v>
      </c>
      <c r="EZ97">
        <v>0</v>
      </c>
      <c r="FA97">
        <v>0</v>
      </c>
      <c r="FB97">
        <v>0</v>
      </c>
      <c r="FC97">
        <v>0</v>
      </c>
      <c r="FD97">
        <v>0</v>
      </c>
      <c r="FE97">
        <v>0</v>
      </c>
      <c r="FF97">
        <v>0</v>
      </c>
      <c r="FG97">
        <v>0</v>
      </c>
      <c r="FH97">
        <v>0</v>
      </c>
      <c r="FI97" s="4">
        <v>675491.14</v>
      </c>
      <c r="FJ97">
        <v>0</v>
      </c>
      <c r="FK97">
        <v>0</v>
      </c>
      <c r="FL97">
        <v>0</v>
      </c>
      <c r="FM97" s="4">
        <v>0</v>
      </c>
      <c r="FN97">
        <v>0</v>
      </c>
      <c r="FO97">
        <v>0</v>
      </c>
      <c r="FP97">
        <v>0</v>
      </c>
      <c r="FQ97">
        <v>0</v>
      </c>
      <c r="FR97">
        <v>0</v>
      </c>
      <c r="FS97">
        <v>0</v>
      </c>
      <c r="FT97">
        <v>32164.5812361314</v>
      </c>
      <c r="FU97">
        <v>80411.4530903284</v>
      </c>
      <c r="FV97">
        <v>12061.7179635493</v>
      </c>
      <c r="FY97">
        <v>4020572.65451642</v>
      </c>
      <c r="FZ97">
        <v>3984030.60105277</v>
      </c>
      <c r="GA97">
        <v>760714.086667669</v>
      </c>
      <c r="GB97">
        <v>3223316.51438511</v>
      </c>
      <c r="GC97">
        <v>797256.140131315</v>
      </c>
      <c r="GD97">
        <v>0.19829417564081</v>
      </c>
      <c r="GE97">
        <v>36542.0534636457</v>
      </c>
      <c r="GF97">
        <v>0.00908876834313566</v>
      </c>
      <c r="GJ97">
        <v>45994.3333333333</v>
      </c>
      <c r="GL97">
        <v>46001.4375</v>
      </c>
      <c r="GO97">
        <v>46004.9375</v>
      </c>
      <c r="GR97" t="s">
        <v>802</v>
      </c>
      <c r="GU97" t="s">
        <v>802</v>
      </c>
      <c r="HA97">
        <v>46010.5833333333</v>
      </c>
      <c r="HB97">
        <v>46015.375</v>
      </c>
      <c r="HE97">
        <v>35</v>
      </c>
      <c r="HF97">
        <v>16</v>
      </c>
      <c r="HG97">
        <v>3</v>
      </c>
      <c r="HH97">
        <v>16</v>
      </c>
      <c r="HK97">
        <v>84</v>
      </c>
      <c r="HL97">
        <v>35</v>
      </c>
      <c r="HM97">
        <v>23</v>
      </c>
      <c r="HN97">
        <v>8</v>
      </c>
      <c r="HO97">
        <v>0</v>
      </c>
      <c r="HP97">
        <v>11</v>
      </c>
      <c r="HQ97">
        <v>153</v>
      </c>
      <c r="HR97">
        <v>20</v>
      </c>
      <c r="HU97" s="10"/>
    </row>
    <row r="98" spans="1:229">
      <c r="A98" s="1">
        <f t="shared" si="1"/>
        <v>97</v>
      </c>
      <c r="B98" s="2">
        <v>2025</v>
      </c>
      <c r="C98" s="2" t="s">
        <v>708</v>
      </c>
      <c r="D98" s="2" t="s">
        <v>27</v>
      </c>
      <c r="E98" s="9">
        <v>70520</v>
      </c>
      <c r="F98" s="2" t="s">
        <v>699</v>
      </c>
      <c r="G98" s="2" t="s">
        <v>28</v>
      </c>
      <c r="H98" s="2" t="s">
        <v>711</v>
      </c>
      <c r="I98" s="2" t="s">
        <v>816</v>
      </c>
      <c r="J98" t="s">
        <v>327</v>
      </c>
      <c r="K98" t="s">
        <v>31</v>
      </c>
      <c r="L98" t="s">
        <v>32</v>
      </c>
      <c r="M98">
        <v>3</v>
      </c>
      <c r="N98">
        <v>4299</v>
      </c>
      <c r="O98" s="3">
        <v>4381</v>
      </c>
      <c r="P98" s="4">
        <v>9.625</v>
      </c>
      <c r="R98" s="4">
        <v>18.9583333332994</v>
      </c>
      <c r="S98" s="4">
        <v>3.875</v>
      </c>
      <c r="T98" s="4">
        <v>22.8333333332994</v>
      </c>
      <c r="U98" s="4">
        <v>32.4583333332994</v>
      </c>
      <c r="W98" s="4">
        <v>0.761111111109979</v>
      </c>
      <c r="X98" s="4">
        <v>1.08194444444331</v>
      </c>
      <c r="Y98" s="3">
        <v>10000000</v>
      </c>
      <c r="Z98">
        <v>-42113.0887775421</v>
      </c>
      <c r="AA98">
        <v>10042113.0887775</v>
      </c>
      <c r="AB98">
        <v>966385.421110165</v>
      </c>
      <c r="AC98">
        <v>459826.388888408</v>
      </c>
      <c r="AD98">
        <v>459826.388888408</v>
      </c>
      <c r="AE98">
        <v>0</v>
      </c>
      <c r="AF98">
        <v>56820.6</v>
      </c>
      <c r="AG98">
        <v>56820.6</v>
      </c>
      <c r="AH98">
        <v>0</v>
      </c>
      <c r="AI98">
        <v>6141.21</v>
      </c>
      <c r="AJ98">
        <v>3458.57</v>
      </c>
      <c r="AK98">
        <v>1693.21</v>
      </c>
      <c r="AL98">
        <v>989.43</v>
      </c>
      <c r="AM98">
        <v>0</v>
      </c>
      <c r="AN98">
        <v>0</v>
      </c>
      <c r="AO98">
        <v>0</v>
      </c>
      <c r="AP98">
        <v>0</v>
      </c>
      <c r="AQ98">
        <v>0</v>
      </c>
      <c r="AR98">
        <v>0</v>
      </c>
      <c r="AS98">
        <v>0</v>
      </c>
      <c r="AT98">
        <v>0</v>
      </c>
      <c r="AU98">
        <v>0</v>
      </c>
      <c r="AV98">
        <v>0</v>
      </c>
      <c r="AW98">
        <v>0</v>
      </c>
      <c r="AX98">
        <v>0</v>
      </c>
      <c r="AY98">
        <v>443597.222221757</v>
      </c>
      <c r="AZ98">
        <v>9075727.66766738</v>
      </c>
      <c r="BA98">
        <v>2624157.45753328</v>
      </c>
      <c r="BB98">
        <v>282052.0332</v>
      </c>
      <c r="BC98">
        <v>282052.0332</v>
      </c>
      <c r="BD98">
        <v>0</v>
      </c>
      <c r="BE98">
        <v>0</v>
      </c>
      <c r="BF98">
        <v>1328772</v>
      </c>
      <c r="BG98">
        <v>1328772</v>
      </c>
      <c r="BH98">
        <v>0</v>
      </c>
      <c r="BI98">
        <v>5673.24</v>
      </c>
      <c r="BJ98">
        <v>0</v>
      </c>
      <c r="BK98">
        <v>333028.2</v>
      </c>
      <c r="BL98">
        <v>333028.2</v>
      </c>
      <c r="BM98">
        <v>0</v>
      </c>
      <c r="BN98">
        <v>154922.611</v>
      </c>
      <c r="BO98">
        <v>198681.023333279</v>
      </c>
      <c r="BP98">
        <v>36533.333333279</v>
      </c>
      <c r="BQ98">
        <v>0</v>
      </c>
      <c r="BR98">
        <v>0</v>
      </c>
      <c r="BS98">
        <v>162147.69</v>
      </c>
      <c r="BT98">
        <v>321028.35</v>
      </c>
      <c r="BU98">
        <v>276003</v>
      </c>
      <c r="BV98">
        <v>45025.35</v>
      </c>
      <c r="BW98">
        <v>0</v>
      </c>
      <c r="BX98">
        <v>0</v>
      </c>
      <c r="BY98">
        <v>41114.9</v>
      </c>
      <c r="BZ98">
        <v>41114.9</v>
      </c>
      <c r="CA98">
        <v>41114.9</v>
      </c>
      <c r="CB98">
        <v>0</v>
      </c>
      <c r="CC98">
        <v>0</v>
      </c>
      <c r="CD98">
        <v>0</v>
      </c>
      <c r="CE98">
        <v>0</v>
      </c>
      <c r="CF98">
        <v>0</v>
      </c>
      <c r="CG98">
        <v>0</v>
      </c>
      <c r="CH98">
        <v>6410455.3101341</v>
      </c>
      <c r="CI98">
        <v>344997</v>
      </c>
      <c r="CJ98">
        <v>0</v>
      </c>
      <c r="CK98">
        <v>0</v>
      </c>
      <c r="CL98">
        <v>156972</v>
      </c>
      <c r="CM98">
        <v>69239</v>
      </c>
      <c r="CN98">
        <v>20136</v>
      </c>
      <c r="CO98">
        <v>98650</v>
      </c>
      <c r="CP98">
        <v>275895.833333044</v>
      </c>
      <c r="CQ98">
        <v>18543.24</v>
      </c>
      <c r="CR98">
        <v>4520.54</v>
      </c>
      <c r="CS98">
        <v>14022.7</v>
      </c>
      <c r="CT98">
        <v>0</v>
      </c>
      <c r="CU98">
        <v>0</v>
      </c>
      <c r="CV98">
        <v>0</v>
      </c>
      <c r="CW98">
        <v>0</v>
      </c>
      <c r="CX98">
        <v>0</v>
      </c>
      <c r="CY98">
        <v>19467.34</v>
      </c>
      <c r="CZ98">
        <v>3650</v>
      </c>
      <c r="DA98">
        <v>0</v>
      </c>
      <c r="DB98">
        <v>0</v>
      </c>
      <c r="DC98">
        <v>660</v>
      </c>
      <c r="DD98">
        <v>0</v>
      </c>
      <c r="DE98">
        <v>9000</v>
      </c>
      <c r="DF98">
        <v>6157.34</v>
      </c>
      <c r="DG98">
        <v>0</v>
      </c>
      <c r="DH98" s="3">
        <v>802085</v>
      </c>
      <c r="DI98">
        <v>81106.25</v>
      </c>
      <c r="DJ98">
        <v>0</v>
      </c>
      <c r="DK98">
        <v>81106.25</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139569</v>
      </c>
      <c r="EG98">
        <v>0</v>
      </c>
      <c r="EH98">
        <v>227077.98</v>
      </c>
      <c r="EI98">
        <v>1413487.02235664</v>
      </c>
      <c r="EJ98">
        <v>0</v>
      </c>
      <c r="EK98">
        <v>0</v>
      </c>
      <c r="EL98">
        <v>0</v>
      </c>
      <c r="EM98">
        <v>1009555</v>
      </c>
      <c r="EN98">
        <v>0</v>
      </c>
      <c r="EO98">
        <v>25122</v>
      </c>
      <c r="EP98">
        <v>0</v>
      </c>
      <c r="EQ98">
        <v>25122</v>
      </c>
      <c r="ER98">
        <v>29796.7499999688</v>
      </c>
      <c r="ES98">
        <v>0</v>
      </c>
      <c r="ET98">
        <v>0</v>
      </c>
      <c r="EU98">
        <v>1380</v>
      </c>
      <c r="EV98" s="4">
        <v>108.194444444331</v>
      </c>
      <c r="EW98">
        <v>0</v>
      </c>
      <c r="EX98">
        <v>0</v>
      </c>
      <c r="EY98" s="4">
        <v>108.194444444331</v>
      </c>
      <c r="EZ98">
        <v>0</v>
      </c>
      <c r="FA98">
        <v>0</v>
      </c>
      <c r="FB98">
        <v>0</v>
      </c>
      <c r="FC98">
        <v>0</v>
      </c>
      <c r="FD98">
        <v>0</v>
      </c>
      <c r="FE98">
        <v>0</v>
      </c>
      <c r="FF98">
        <v>0</v>
      </c>
      <c r="FG98">
        <v>0</v>
      </c>
      <c r="FH98">
        <v>0</v>
      </c>
      <c r="FI98" s="4">
        <v>1712264.7</v>
      </c>
      <c r="FJ98">
        <v>0</v>
      </c>
      <c r="FK98">
        <v>0</v>
      </c>
      <c r="FL98">
        <v>0</v>
      </c>
      <c r="FM98" s="4">
        <v>0</v>
      </c>
      <c r="FN98">
        <v>0</v>
      </c>
      <c r="FO98">
        <v>0</v>
      </c>
      <c r="FP98">
        <v>0</v>
      </c>
      <c r="FQ98">
        <v>0</v>
      </c>
      <c r="FR98">
        <v>0</v>
      </c>
      <c r="FS98">
        <v>0</v>
      </c>
      <c r="FT98">
        <v>80000</v>
      </c>
      <c r="FU98">
        <v>200000</v>
      </c>
      <c r="FV98">
        <v>30000</v>
      </c>
      <c r="FY98">
        <v>10000000</v>
      </c>
      <c r="FZ98">
        <v>10042113.0887775</v>
      </c>
      <c r="GA98">
        <v>966385.421110165</v>
      </c>
      <c r="GB98">
        <v>9075727.66766738</v>
      </c>
      <c r="GC98">
        <v>924272.332332622</v>
      </c>
      <c r="GD98">
        <v>0.0924272332332622</v>
      </c>
      <c r="GE98">
        <v>-42113.0887775421</v>
      </c>
      <c r="GF98">
        <v>-0.00421130887775421</v>
      </c>
      <c r="GJ98">
        <v>45962.375</v>
      </c>
      <c r="GL98">
        <v>45972</v>
      </c>
      <c r="GO98">
        <v>45974.4166666667</v>
      </c>
      <c r="GR98">
        <v>45982.7708333333</v>
      </c>
      <c r="GU98" t="s">
        <v>802</v>
      </c>
      <c r="HA98">
        <v>45990.9583333333</v>
      </c>
      <c r="HB98">
        <v>45994.8333333333</v>
      </c>
      <c r="HE98">
        <v>34</v>
      </c>
      <c r="HF98">
        <v>16</v>
      </c>
      <c r="HG98">
        <v>1</v>
      </c>
      <c r="HH98">
        <v>17</v>
      </c>
      <c r="HK98">
        <v>189</v>
      </c>
      <c r="HL98">
        <v>42</v>
      </c>
      <c r="HM98">
        <v>18</v>
      </c>
      <c r="HN98">
        <v>32</v>
      </c>
      <c r="HO98">
        <v>0</v>
      </c>
      <c r="HP98">
        <v>24</v>
      </c>
      <c r="HQ98">
        <v>197</v>
      </c>
      <c r="HR98">
        <v>46</v>
      </c>
      <c r="HU98" s="10">
        <v>289316</v>
      </c>
    </row>
    <row r="99" spans="1:229">
      <c r="A99" s="1">
        <f t="shared" si="1"/>
        <v>98</v>
      </c>
      <c r="B99" s="2">
        <v>2026</v>
      </c>
      <c r="C99" s="2" t="s">
        <v>26</v>
      </c>
      <c r="D99" s="2" t="s">
        <v>27</v>
      </c>
      <c r="E99" s="9">
        <v>50537</v>
      </c>
      <c r="F99" s="2" t="s">
        <v>736</v>
      </c>
      <c r="G99" s="2" t="s">
        <v>36</v>
      </c>
      <c r="H99" s="2" t="s">
        <v>692</v>
      </c>
      <c r="I99" s="2" t="s">
        <v>817</v>
      </c>
      <c r="J99" s="5" t="s">
        <v>308</v>
      </c>
      <c r="K99" t="s">
        <v>31</v>
      </c>
      <c r="L99" t="s">
        <v>32</v>
      </c>
      <c r="M99">
        <v>2</v>
      </c>
      <c r="N99">
        <v>3029</v>
      </c>
      <c r="O99" s="3">
        <v>3060</v>
      </c>
      <c r="P99" s="4">
        <v>9.04166666670062</v>
      </c>
      <c r="Q99"/>
      <c r="R99" s="4">
        <v>10.3333333332994</v>
      </c>
      <c r="S99" s="4">
        <v>7.125</v>
      </c>
      <c r="T99" s="4">
        <v>17.4583333332994</v>
      </c>
      <c r="U99" s="4">
        <v>26.5</v>
      </c>
      <c r="W99" s="4">
        <v>0.581944444443313</v>
      </c>
      <c r="X99" s="4">
        <v>0.883333333333333</v>
      </c>
      <c r="Y99" s="3">
        <v>4994053.57470782</v>
      </c>
      <c r="Z99">
        <v>46469.1600884488</v>
      </c>
      <c r="AA99">
        <v>4947584.41461937</v>
      </c>
      <c r="AB99">
        <v>741308.58</v>
      </c>
      <c r="AC99">
        <v>287083.333333333</v>
      </c>
      <c r="AD99">
        <v>287083.333333333</v>
      </c>
      <c r="AE99">
        <v>0</v>
      </c>
      <c r="AF99">
        <v>79754.36</v>
      </c>
      <c r="AG99">
        <v>17382.76</v>
      </c>
      <c r="AH99">
        <v>62371.6</v>
      </c>
      <c r="AI99">
        <v>12304.22</v>
      </c>
      <c r="AJ99">
        <v>2575.04</v>
      </c>
      <c r="AK99">
        <v>2764.66</v>
      </c>
      <c r="AL99">
        <v>6964.52</v>
      </c>
      <c r="AM99">
        <v>0</v>
      </c>
      <c r="AN99">
        <v>0</v>
      </c>
      <c r="AO99">
        <v>0</v>
      </c>
      <c r="AP99">
        <v>0</v>
      </c>
      <c r="AQ99">
        <v>0</v>
      </c>
      <c r="AR99">
        <v>0</v>
      </c>
      <c r="AS99">
        <v>0</v>
      </c>
      <c r="AT99">
        <v>0</v>
      </c>
      <c r="AU99">
        <v>0</v>
      </c>
      <c r="AV99">
        <v>0</v>
      </c>
      <c r="AW99">
        <v>0</v>
      </c>
      <c r="AX99">
        <v>0</v>
      </c>
      <c r="AY99">
        <v>362166.666666667</v>
      </c>
      <c r="AZ99">
        <v>4206275.83461937</v>
      </c>
      <c r="BA99">
        <v>1030334.99134495</v>
      </c>
      <c r="BB99">
        <v>41048.67</v>
      </c>
      <c r="BC99">
        <v>41048.67</v>
      </c>
      <c r="BD99">
        <v>0</v>
      </c>
      <c r="BE99">
        <v>0</v>
      </c>
      <c r="BF99">
        <v>325389.040666668</v>
      </c>
      <c r="BG99">
        <v>325389.040666668</v>
      </c>
      <c r="BH99">
        <v>0</v>
      </c>
      <c r="BI99">
        <v>0</v>
      </c>
      <c r="BJ99">
        <v>327257.097345</v>
      </c>
      <c r="BK99">
        <v>0</v>
      </c>
      <c r="BL99">
        <v>0</v>
      </c>
      <c r="BM99">
        <v>0</v>
      </c>
      <c r="BN99">
        <v>7342.45</v>
      </c>
      <c r="BO99">
        <v>109348.133333279</v>
      </c>
      <c r="BP99">
        <v>27933.333333279</v>
      </c>
      <c r="BQ99">
        <v>0</v>
      </c>
      <c r="BR99">
        <v>0</v>
      </c>
      <c r="BS99">
        <v>81414.8</v>
      </c>
      <c r="BT99">
        <v>219949.6</v>
      </c>
      <c r="BU99">
        <v>192780</v>
      </c>
      <c r="BV99">
        <v>27169.6</v>
      </c>
      <c r="BW99">
        <v>0</v>
      </c>
      <c r="BX99">
        <v>0</v>
      </c>
      <c r="BY99">
        <v>0</v>
      </c>
      <c r="BZ99">
        <v>0</v>
      </c>
      <c r="CA99">
        <v>0</v>
      </c>
      <c r="CB99">
        <v>0</v>
      </c>
      <c r="CC99">
        <v>0</v>
      </c>
      <c r="CD99">
        <v>0</v>
      </c>
      <c r="CE99">
        <v>0</v>
      </c>
      <c r="CF99">
        <v>0</v>
      </c>
      <c r="CG99">
        <v>0</v>
      </c>
      <c r="CH99">
        <v>3175940.84327442</v>
      </c>
      <c r="CI99">
        <v>457094</v>
      </c>
      <c r="CJ99">
        <v>0</v>
      </c>
      <c r="CK99">
        <v>0</v>
      </c>
      <c r="CL99">
        <v>336007</v>
      </c>
      <c r="CM99">
        <v>69187</v>
      </c>
      <c r="CN99">
        <v>6427</v>
      </c>
      <c r="CO99">
        <v>45473</v>
      </c>
      <c r="CP99">
        <v>304750</v>
      </c>
      <c r="CQ99">
        <v>7891.5</v>
      </c>
      <c r="CR99">
        <v>1507</v>
      </c>
      <c r="CS99">
        <v>6384.5</v>
      </c>
      <c r="CT99">
        <v>0</v>
      </c>
      <c r="CU99">
        <v>0</v>
      </c>
      <c r="CV99">
        <v>0</v>
      </c>
      <c r="CW99">
        <v>0</v>
      </c>
      <c r="CX99">
        <v>0</v>
      </c>
      <c r="CY99">
        <v>0</v>
      </c>
      <c r="CZ99">
        <v>0</v>
      </c>
      <c r="DA99">
        <v>0</v>
      </c>
      <c r="DB99">
        <v>0</v>
      </c>
      <c r="DC99">
        <v>0</v>
      </c>
      <c r="DD99">
        <v>0</v>
      </c>
      <c r="DE99">
        <v>0</v>
      </c>
      <c r="DF99">
        <v>0</v>
      </c>
      <c r="DG99">
        <v>0</v>
      </c>
      <c r="DH99" s="3">
        <v>443241.92139</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28035</v>
      </c>
      <c r="EG99">
        <v>0</v>
      </c>
      <c r="EH99">
        <v>4200</v>
      </c>
      <c r="EI99">
        <v>658683.85</v>
      </c>
      <c r="EJ99">
        <v>0</v>
      </c>
      <c r="EK99">
        <v>0</v>
      </c>
      <c r="EL99">
        <v>0</v>
      </c>
      <c r="EM99">
        <v>178610</v>
      </c>
      <c r="EN99">
        <v>0</v>
      </c>
      <c r="EO99">
        <v>11771</v>
      </c>
      <c r="EP99">
        <v>0</v>
      </c>
      <c r="EQ99">
        <v>11771</v>
      </c>
      <c r="ER99">
        <v>25758</v>
      </c>
      <c r="ES99">
        <v>0</v>
      </c>
      <c r="ET99">
        <v>0</v>
      </c>
      <c r="EU99">
        <v>1140</v>
      </c>
      <c r="EV99" s="4">
        <v>88.3333333333333</v>
      </c>
      <c r="EW99">
        <v>0</v>
      </c>
      <c r="EX99">
        <v>0</v>
      </c>
      <c r="EY99" s="4">
        <v>88.3333333333333</v>
      </c>
      <c r="EZ99">
        <v>0</v>
      </c>
      <c r="FA99">
        <v>0</v>
      </c>
      <c r="FB99">
        <v>0</v>
      </c>
      <c r="FC99">
        <v>0</v>
      </c>
      <c r="FD99">
        <v>0</v>
      </c>
      <c r="FE99">
        <v>0</v>
      </c>
      <c r="FF99">
        <v>0</v>
      </c>
      <c r="FG99">
        <v>0</v>
      </c>
      <c r="FH99">
        <v>0</v>
      </c>
      <c r="FI99" s="4">
        <v>858821.06255</v>
      </c>
      <c r="FJ99">
        <v>36525.6637</v>
      </c>
      <c r="FK99">
        <v>0</v>
      </c>
      <c r="FL99">
        <v>36525.6637</v>
      </c>
      <c r="FM99" s="4">
        <v>4514.85148514852</v>
      </c>
      <c r="FN99">
        <v>0</v>
      </c>
      <c r="FO99">
        <v>0</v>
      </c>
      <c r="FP99">
        <v>0</v>
      </c>
      <c r="FQ99">
        <v>0</v>
      </c>
      <c r="FR99">
        <v>4514.85148514852</v>
      </c>
      <c r="FS99">
        <v>0</v>
      </c>
      <c r="FT99">
        <v>39952.4285976626</v>
      </c>
      <c r="FU99">
        <v>99881.0714941564</v>
      </c>
      <c r="FV99">
        <v>14982.1607241235</v>
      </c>
      <c r="FY99">
        <v>4994053.57470782</v>
      </c>
      <c r="FZ99">
        <v>4947584.41461937</v>
      </c>
      <c r="GA99">
        <v>741308.58</v>
      </c>
      <c r="GB99">
        <v>4206275.83461937</v>
      </c>
      <c r="GC99">
        <v>787777.740088449</v>
      </c>
      <c r="GD99">
        <v>0.157743149588566</v>
      </c>
      <c r="GE99">
        <v>46469.1600884488</v>
      </c>
      <c r="GF99">
        <v>0.00930489819408225</v>
      </c>
      <c r="GJ99">
        <v>46026.3333333333</v>
      </c>
      <c r="GL99">
        <v>46035.375</v>
      </c>
      <c r="GO99">
        <v>46038.9166666667</v>
      </c>
      <c r="GR99" t="s">
        <v>694</v>
      </c>
      <c r="GU99" t="s">
        <v>802</v>
      </c>
      <c r="HA99">
        <v>46045.7083333333</v>
      </c>
      <c r="HB99">
        <v>46052.8333333333</v>
      </c>
      <c r="HE99">
        <v>36</v>
      </c>
      <c r="HF99">
        <v>12</v>
      </c>
      <c r="HG99">
        <v>1</v>
      </c>
      <c r="HH99">
        <v>23</v>
      </c>
      <c r="HK99">
        <v>115</v>
      </c>
      <c r="HL99">
        <v>16</v>
      </c>
      <c r="HM99">
        <v>44.5</v>
      </c>
      <c r="HN99">
        <v>3</v>
      </c>
      <c r="HO99">
        <v>0</v>
      </c>
      <c r="HP99">
        <v>10.5</v>
      </c>
      <c r="HQ99">
        <v>169</v>
      </c>
      <c r="HR99">
        <v>61</v>
      </c>
    </row>
    <row r="100" spans="1:229">
      <c r="A100" s="1">
        <f t="shared" si="1"/>
        <v>99</v>
      </c>
      <c r="B100" s="2">
        <v>2026</v>
      </c>
      <c r="C100" s="2" t="s">
        <v>26</v>
      </c>
      <c r="D100" s="2" t="s">
        <v>27</v>
      </c>
      <c r="E100" s="9">
        <v>50998</v>
      </c>
      <c r="F100" s="2" t="s">
        <v>805</v>
      </c>
      <c r="G100" s="2" t="s">
        <v>818</v>
      </c>
      <c r="H100" s="2" t="s">
        <v>692</v>
      </c>
      <c r="I100" s="2" t="s">
        <v>819</v>
      </c>
      <c r="J100" s="5" t="s">
        <v>308</v>
      </c>
      <c r="K100" t="s">
        <v>31</v>
      </c>
      <c r="L100" t="s">
        <v>32</v>
      </c>
      <c r="M100">
        <v>2</v>
      </c>
      <c r="N100">
        <v>2956</v>
      </c>
      <c r="O100" s="3">
        <v>3000</v>
      </c>
      <c r="P100" s="4">
        <v>5.8125</v>
      </c>
      <c r="Q100"/>
      <c r="R100" s="4">
        <v>11.1875</v>
      </c>
      <c r="S100" s="4">
        <v>5.41666666670062</v>
      </c>
      <c r="T100" s="4">
        <v>16.6041666667006</v>
      </c>
      <c r="U100" s="4">
        <v>22.4166666667006</v>
      </c>
      <c r="W100" s="4">
        <v>0.553472222223354</v>
      </c>
      <c r="X100" s="4">
        <v>0.747222222223354</v>
      </c>
      <c r="Y100" s="3">
        <v>4536365.97412044</v>
      </c>
      <c r="Z100">
        <v>392201.754822339</v>
      </c>
      <c r="AA100">
        <v>4144164.2192981</v>
      </c>
      <c r="AB100">
        <v>800274.736667668</v>
      </c>
      <c r="AC100">
        <v>354930.555556093</v>
      </c>
      <c r="AD100">
        <v>354930.555556093</v>
      </c>
      <c r="AE100">
        <v>0</v>
      </c>
      <c r="AF100">
        <v>133736.13</v>
      </c>
      <c r="AG100">
        <v>9689.8</v>
      </c>
      <c r="AH100">
        <v>124046.33</v>
      </c>
      <c r="AI100">
        <v>5246.94</v>
      </c>
      <c r="AJ100">
        <v>0</v>
      </c>
      <c r="AK100">
        <v>0</v>
      </c>
      <c r="AL100">
        <v>5246.94</v>
      </c>
      <c r="AM100">
        <v>0</v>
      </c>
      <c r="AN100">
        <v>0</v>
      </c>
      <c r="AO100">
        <v>0</v>
      </c>
      <c r="AP100">
        <v>0</v>
      </c>
      <c r="AQ100">
        <v>0</v>
      </c>
      <c r="AR100">
        <v>0</v>
      </c>
      <c r="AS100">
        <v>0</v>
      </c>
      <c r="AT100">
        <v>0</v>
      </c>
      <c r="AU100">
        <v>0</v>
      </c>
      <c r="AV100">
        <v>0</v>
      </c>
      <c r="AW100">
        <v>0</v>
      </c>
      <c r="AX100">
        <v>0</v>
      </c>
      <c r="AY100">
        <v>306361.111111575</v>
      </c>
      <c r="AZ100">
        <v>3343889.48263043</v>
      </c>
      <c r="BA100">
        <v>1099354.58162005</v>
      </c>
      <c r="BB100">
        <v>82097.34</v>
      </c>
      <c r="BC100">
        <v>82097.34</v>
      </c>
      <c r="BD100">
        <v>0</v>
      </c>
      <c r="BE100">
        <v>0</v>
      </c>
      <c r="BF100">
        <v>325090.082333332</v>
      </c>
      <c r="BG100">
        <v>325090.082333332</v>
      </c>
      <c r="BH100">
        <v>0</v>
      </c>
      <c r="BI100">
        <v>0</v>
      </c>
      <c r="BK100">
        <v>274769.88</v>
      </c>
      <c r="BL100">
        <v>274769.88</v>
      </c>
      <c r="BM100">
        <v>0</v>
      </c>
      <c r="BN100">
        <v>115277.01262</v>
      </c>
      <c r="BO100">
        <v>93503.466666721</v>
      </c>
      <c r="BP100">
        <v>26566.666666721</v>
      </c>
      <c r="BQ100">
        <v>0</v>
      </c>
      <c r="BR100">
        <v>0</v>
      </c>
      <c r="BS100">
        <v>66936.8</v>
      </c>
      <c r="BT100">
        <v>208616.8</v>
      </c>
      <c r="BU100">
        <v>189000</v>
      </c>
      <c r="BV100">
        <v>19616.8</v>
      </c>
      <c r="BW100">
        <v>0</v>
      </c>
      <c r="BX100">
        <v>0</v>
      </c>
      <c r="BY100">
        <v>4770.33</v>
      </c>
      <c r="BZ100">
        <v>4770.33</v>
      </c>
      <c r="CA100">
        <v>4770.33</v>
      </c>
      <c r="CB100">
        <v>0</v>
      </c>
      <c r="CC100">
        <v>0</v>
      </c>
      <c r="CD100">
        <v>0</v>
      </c>
      <c r="CE100">
        <v>0</v>
      </c>
      <c r="CF100">
        <v>0</v>
      </c>
      <c r="CG100">
        <v>0</v>
      </c>
      <c r="CH100">
        <v>2239764.57101038</v>
      </c>
      <c r="CI100">
        <v>162267</v>
      </c>
      <c r="CJ100">
        <v>0</v>
      </c>
      <c r="CK100">
        <v>0</v>
      </c>
      <c r="CL100">
        <v>60078</v>
      </c>
      <c r="CM100">
        <v>34731</v>
      </c>
      <c r="CN100">
        <v>4740</v>
      </c>
      <c r="CO100">
        <v>62718</v>
      </c>
      <c r="CP100">
        <v>212958.333333656</v>
      </c>
      <c r="CQ100">
        <v>3572</v>
      </c>
      <c r="CR100">
        <v>1130</v>
      </c>
      <c r="CS100">
        <v>2442</v>
      </c>
      <c r="CT100">
        <v>0</v>
      </c>
      <c r="CU100">
        <v>0</v>
      </c>
      <c r="CV100">
        <v>0</v>
      </c>
      <c r="CW100">
        <v>0</v>
      </c>
      <c r="CX100">
        <v>0</v>
      </c>
      <c r="CY100">
        <v>0</v>
      </c>
      <c r="CZ100">
        <v>0</v>
      </c>
      <c r="DA100">
        <v>0</v>
      </c>
      <c r="DB100">
        <v>0</v>
      </c>
      <c r="DC100">
        <v>0</v>
      </c>
      <c r="DD100">
        <v>0</v>
      </c>
      <c r="DE100">
        <v>0</v>
      </c>
      <c r="DF100">
        <v>0</v>
      </c>
      <c r="DG100">
        <v>0</v>
      </c>
      <c r="DH100" s="3">
        <v>113480.29932</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27531</v>
      </c>
      <c r="EG100">
        <v>0</v>
      </c>
      <c r="EH100">
        <v>3900</v>
      </c>
      <c r="EI100">
        <v>647610.21</v>
      </c>
      <c r="EJ100">
        <v>0</v>
      </c>
      <c r="EK100">
        <v>0</v>
      </c>
      <c r="EL100">
        <v>0</v>
      </c>
      <c r="EM100">
        <v>11294</v>
      </c>
      <c r="EN100">
        <v>0</v>
      </c>
      <c r="EO100">
        <v>9954</v>
      </c>
      <c r="EP100">
        <v>0</v>
      </c>
      <c r="EQ100">
        <v>9954</v>
      </c>
      <c r="ER100">
        <v>22999.5000000348</v>
      </c>
      <c r="ES100">
        <v>0</v>
      </c>
      <c r="ET100">
        <v>0</v>
      </c>
      <c r="EU100">
        <v>600</v>
      </c>
      <c r="EV100" s="4">
        <v>74.7222222223354</v>
      </c>
      <c r="EW100">
        <v>0</v>
      </c>
      <c r="EX100">
        <v>0</v>
      </c>
      <c r="EY100" s="4">
        <v>74.7222222223354</v>
      </c>
      <c r="EZ100">
        <v>0</v>
      </c>
      <c r="FA100">
        <v>0</v>
      </c>
      <c r="FB100">
        <v>0</v>
      </c>
      <c r="FC100">
        <v>0</v>
      </c>
      <c r="FD100">
        <v>0</v>
      </c>
      <c r="FE100">
        <v>0</v>
      </c>
      <c r="FF100">
        <v>0</v>
      </c>
      <c r="FG100">
        <v>0</v>
      </c>
      <c r="FH100">
        <v>0</v>
      </c>
      <c r="FI100" s="4">
        <v>841501.22991</v>
      </c>
      <c r="FJ100">
        <v>36525.6637</v>
      </c>
      <c r="FK100">
        <v>0</v>
      </c>
      <c r="FL100">
        <v>36525.6637</v>
      </c>
      <c r="FM100" s="4">
        <v>4869.26732673267</v>
      </c>
      <c r="FN100">
        <v>0</v>
      </c>
      <c r="FO100">
        <v>0</v>
      </c>
      <c r="FP100">
        <v>4196</v>
      </c>
      <c r="FQ100">
        <v>0</v>
      </c>
      <c r="FR100">
        <v>673.267326732673</v>
      </c>
      <c r="FS100">
        <v>0</v>
      </c>
      <c r="FT100">
        <v>36290.9277929635</v>
      </c>
      <c r="FU100">
        <v>90727.3194824088</v>
      </c>
      <c r="FV100">
        <v>13609.0979223613</v>
      </c>
      <c r="FY100">
        <v>4536365.97412044</v>
      </c>
      <c r="FZ100">
        <v>4144164.2192981</v>
      </c>
      <c r="GA100" s="12">
        <v>800274.736667668</v>
      </c>
      <c r="GB100">
        <v>3343889.48263043</v>
      </c>
      <c r="GC100">
        <v>1192476.49149001</v>
      </c>
      <c r="GD100">
        <v>0.262870433799429</v>
      </c>
      <c r="GE100">
        <v>392201.754822339</v>
      </c>
      <c r="GF100">
        <v>0.0864572561076013</v>
      </c>
      <c r="GJ100">
        <v>46018.3333333333</v>
      </c>
      <c r="GL100">
        <v>46024.1458333333</v>
      </c>
      <c r="GO100">
        <v>46027.4375</v>
      </c>
      <c r="GR100" t="s">
        <v>694</v>
      </c>
      <c r="GU100" t="s">
        <v>802</v>
      </c>
      <c r="HA100">
        <v>46035.3333333333</v>
      </c>
      <c r="HB100">
        <v>46040.75</v>
      </c>
      <c r="HE100">
        <v>38</v>
      </c>
      <c r="HF100">
        <v>16</v>
      </c>
      <c r="HG100">
        <v>3</v>
      </c>
      <c r="HH100">
        <v>19</v>
      </c>
      <c r="HK100">
        <v>117</v>
      </c>
      <c r="HL100">
        <v>36</v>
      </c>
      <c r="HM100">
        <v>30.5</v>
      </c>
      <c r="HN100">
        <v>8.5</v>
      </c>
      <c r="HO100">
        <v>0</v>
      </c>
      <c r="HP100">
        <v>8</v>
      </c>
      <c r="HQ100">
        <v>131.5</v>
      </c>
      <c r="HR100">
        <v>67</v>
      </c>
    </row>
    <row r="101" spans="1:229">
      <c r="A101" s="1">
        <f t="shared" si="1"/>
        <v>100</v>
      </c>
      <c r="B101" s="2">
        <v>2026</v>
      </c>
      <c r="C101" s="2" t="s">
        <v>26</v>
      </c>
      <c r="D101" s="2" t="s">
        <v>27</v>
      </c>
      <c r="E101" s="9">
        <v>70152</v>
      </c>
      <c r="F101" s="2" t="s">
        <v>811</v>
      </c>
      <c r="G101" s="2" t="s">
        <v>28</v>
      </c>
      <c r="H101" s="2" t="s">
        <v>692</v>
      </c>
      <c r="I101" s="2" t="s">
        <v>65</v>
      </c>
      <c r="J101" t="s">
        <v>325</v>
      </c>
      <c r="K101" t="s">
        <v>31</v>
      </c>
      <c r="L101" t="s">
        <v>32</v>
      </c>
      <c r="M101">
        <v>3</v>
      </c>
      <c r="N101">
        <v>4318</v>
      </c>
      <c r="O101" s="3">
        <v>4400</v>
      </c>
      <c r="P101" s="4">
        <v>4.33333333340124</v>
      </c>
      <c r="Q101"/>
      <c r="R101" s="4">
        <v>17.375</v>
      </c>
      <c r="S101" s="4">
        <v>5.29166666659876</v>
      </c>
      <c r="T101" s="4">
        <v>22.6666666665988</v>
      </c>
      <c r="U101" s="4">
        <v>27</v>
      </c>
      <c r="W101" s="4">
        <v>0.755555555553292</v>
      </c>
      <c r="X101" s="4">
        <v>0.9</v>
      </c>
      <c r="Y101" s="3">
        <v>13061334.5726725</v>
      </c>
      <c r="Z101">
        <v>4147412.48247797</v>
      </c>
      <c r="AA101">
        <v>8913922.09019453</v>
      </c>
      <c r="AB101">
        <v>885633.95</v>
      </c>
      <c r="AC101">
        <v>337500</v>
      </c>
      <c r="AD101">
        <v>337500</v>
      </c>
      <c r="AE101">
        <v>0</v>
      </c>
      <c r="AF101">
        <v>1762.3</v>
      </c>
      <c r="AG101">
        <v>1762.3</v>
      </c>
      <c r="AH101">
        <v>0</v>
      </c>
      <c r="AI101">
        <v>9022.45</v>
      </c>
      <c r="AJ101">
        <v>7988.94</v>
      </c>
      <c r="AK101">
        <v>0</v>
      </c>
      <c r="AL101">
        <v>1033.51</v>
      </c>
      <c r="AM101">
        <v>168349.2</v>
      </c>
      <c r="AN101">
        <v>168349.2</v>
      </c>
      <c r="AO101">
        <v>0</v>
      </c>
      <c r="AP101">
        <v>0</v>
      </c>
      <c r="AQ101">
        <v>0</v>
      </c>
      <c r="AR101">
        <v>0</v>
      </c>
      <c r="AS101">
        <v>0</v>
      </c>
      <c r="AT101">
        <v>0</v>
      </c>
      <c r="AU101">
        <v>0</v>
      </c>
      <c r="AV101">
        <v>0</v>
      </c>
      <c r="AW101">
        <v>0</v>
      </c>
      <c r="AX101">
        <v>0</v>
      </c>
      <c r="AY101">
        <v>369000</v>
      </c>
      <c r="AZ101">
        <v>8028288.14019453</v>
      </c>
      <c r="BA101">
        <v>3028004.9950999</v>
      </c>
      <c r="BB101">
        <v>108067.52</v>
      </c>
      <c r="BC101">
        <v>108067.52</v>
      </c>
      <c r="BD101">
        <v>0</v>
      </c>
      <c r="BE101">
        <v>0</v>
      </c>
      <c r="BF101">
        <v>1594625.47783334</v>
      </c>
      <c r="BG101">
        <v>1594625.47783334</v>
      </c>
      <c r="BH101">
        <v>0</v>
      </c>
      <c r="BI101">
        <v>0</v>
      </c>
      <c r="BK101">
        <v>754455.2</v>
      </c>
      <c r="BL101">
        <v>754455.2</v>
      </c>
      <c r="BM101">
        <v>0</v>
      </c>
      <c r="BN101">
        <v>49442.9306</v>
      </c>
      <c r="BO101">
        <v>186050.666666558</v>
      </c>
      <c r="BP101">
        <v>36266.666666558</v>
      </c>
      <c r="BQ101">
        <v>0</v>
      </c>
      <c r="BR101">
        <v>0</v>
      </c>
      <c r="BS101">
        <v>149784</v>
      </c>
      <c r="BT101">
        <v>335363.2</v>
      </c>
      <c r="BU101">
        <v>277200</v>
      </c>
      <c r="BV101">
        <v>58163.2</v>
      </c>
      <c r="BW101">
        <v>0</v>
      </c>
      <c r="BX101">
        <v>0</v>
      </c>
      <c r="BY101">
        <v>37537.48</v>
      </c>
      <c r="BZ101">
        <v>37537.48</v>
      </c>
      <c r="CA101">
        <v>37537.48</v>
      </c>
      <c r="CB101">
        <v>0</v>
      </c>
      <c r="CC101">
        <v>0</v>
      </c>
      <c r="CD101">
        <v>0</v>
      </c>
      <c r="CF101">
        <v>0</v>
      </c>
      <c r="CG101">
        <v>0</v>
      </c>
      <c r="CH101">
        <v>4962745.66509463</v>
      </c>
      <c r="CI101">
        <v>114328</v>
      </c>
      <c r="CJ101">
        <v>0</v>
      </c>
      <c r="CK101">
        <v>15545</v>
      </c>
      <c r="CL101">
        <v>0</v>
      </c>
      <c r="CM101">
        <v>34752</v>
      </c>
      <c r="CN101">
        <v>40128</v>
      </c>
      <c r="CO101">
        <v>23903</v>
      </c>
      <c r="CP101">
        <v>324000</v>
      </c>
      <c r="CQ101">
        <v>8257</v>
      </c>
      <c r="CR101">
        <v>1856</v>
      </c>
      <c r="CS101">
        <v>6401</v>
      </c>
      <c r="CT101">
        <v>0</v>
      </c>
      <c r="CU101">
        <v>0</v>
      </c>
      <c r="CV101">
        <v>0</v>
      </c>
      <c r="CW101">
        <v>0</v>
      </c>
      <c r="CX101">
        <v>0</v>
      </c>
      <c r="CY101">
        <v>0</v>
      </c>
      <c r="CZ101">
        <v>0</v>
      </c>
      <c r="DA101">
        <v>0</v>
      </c>
      <c r="DB101">
        <v>0</v>
      </c>
      <c r="DC101">
        <v>0</v>
      </c>
      <c r="DD101">
        <v>0</v>
      </c>
      <c r="DE101">
        <v>0</v>
      </c>
      <c r="DF101">
        <v>0</v>
      </c>
      <c r="DG101">
        <v>0</v>
      </c>
      <c r="DH101" s="3">
        <v>241102.6647</v>
      </c>
      <c r="DI101">
        <v>38380</v>
      </c>
      <c r="DJ101">
        <v>0</v>
      </c>
      <c r="DK101">
        <v>38380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70728</v>
      </c>
      <c r="EG101">
        <v>0</v>
      </c>
      <c r="EH101">
        <v>2700</v>
      </c>
      <c r="EI101">
        <v>1249572.45</v>
      </c>
      <c r="EJ101">
        <v>0</v>
      </c>
      <c r="EK101">
        <v>0</v>
      </c>
      <c r="EL101">
        <v>0</v>
      </c>
      <c r="EM101">
        <v>0</v>
      </c>
      <c r="EN101">
        <v>0</v>
      </c>
      <c r="EO101">
        <v>50000</v>
      </c>
      <c r="EP101">
        <v>50000</v>
      </c>
      <c r="EQ101">
        <v>0</v>
      </c>
      <c r="ER101">
        <v>28431</v>
      </c>
      <c r="ES101">
        <v>0</v>
      </c>
      <c r="ET101">
        <v>0</v>
      </c>
      <c r="EU101">
        <v>4320</v>
      </c>
      <c r="EV101" s="4">
        <v>90</v>
      </c>
      <c r="EW101">
        <v>0</v>
      </c>
      <c r="EX101">
        <v>0</v>
      </c>
      <c r="EY101" s="4">
        <v>90</v>
      </c>
      <c r="EZ101">
        <v>0</v>
      </c>
      <c r="FA101">
        <v>0</v>
      </c>
      <c r="FB101">
        <v>0</v>
      </c>
      <c r="FC101">
        <v>0</v>
      </c>
      <c r="FD101">
        <v>0</v>
      </c>
      <c r="FE101">
        <v>0</v>
      </c>
      <c r="FF101">
        <v>0</v>
      </c>
      <c r="FG101">
        <v>0</v>
      </c>
      <c r="FH101">
        <v>0</v>
      </c>
      <c r="FI101" s="4">
        <v>2405400.96082</v>
      </c>
      <c r="FJ101">
        <v>0</v>
      </c>
      <c r="FK101">
        <v>0</v>
      </c>
      <c r="FL101">
        <v>0</v>
      </c>
      <c r="FM101" s="4">
        <v>20534.2178217822</v>
      </c>
      <c r="FN101">
        <v>0</v>
      </c>
      <c r="FO101">
        <v>0</v>
      </c>
      <c r="FP101">
        <v>16356</v>
      </c>
      <c r="FQ101">
        <v>0</v>
      </c>
      <c r="FR101">
        <v>4178.21782178218</v>
      </c>
      <c r="FS101">
        <v>0</v>
      </c>
      <c r="FT101">
        <v>104490.67658138</v>
      </c>
      <c r="FU101">
        <v>261226.69145345</v>
      </c>
      <c r="FV101">
        <v>39184.0037180175</v>
      </c>
      <c r="FY101">
        <v>13061334.5726725</v>
      </c>
      <c r="FZ101">
        <v>8913922.09019453</v>
      </c>
      <c r="GA101">
        <v>885633.95</v>
      </c>
      <c r="GB101">
        <v>8028288.14019453</v>
      </c>
      <c r="GC101">
        <v>5033046.43247797</v>
      </c>
      <c r="GD101">
        <v>0.38533936976152</v>
      </c>
      <c r="GE101">
        <v>4147412.48247797</v>
      </c>
      <c r="GF101">
        <v>0.317533591946674</v>
      </c>
      <c r="GJ101">
        <v>46004.3333333333</v>
      </c>
      <c r="GL101">
        <v>46008.6666666667</v>
      </c>
      <c r="GO101">
        <v>46013.25</v>
      </c>
      <c r="GR101">
        <v>46022.2083333333</v>
      </c>
      <c r="GU101" t="s">
        <v>802</v>
      </c>
      <c r="HA101">
        <v>46026.0416666667</v>
      </c>
      <c r="HB101">
        <v>46031.3333333333</v>
      </c>
      <c r="HE101">
        <v>39</v>
      </c>
      <c r="HF101">
        <v>13</v>
      </c>
      <c r="HG101">
        <v>2</v>
      </c>
      <c r="HH101">
        <v>24</v>
      </c>
      <c r="HK101">
        <v>83</v>
      </c>
      <c r="HL101">
        <v>25</v>
      </c>
      <c r="HM101">
        <v>9</v>
      </c>
      <c r="HN101">
        <v>10</v>
      </c>
      <c r="HO101">
        <v>0</v>
      </c>
      <c r="HP101">
        <v>10</v>
      </c>
      <c r="HQ101">
        <v>203</v>
      </c>
      <c r="HR101">
        <v>59</v>
      </c>
    </row>
    <row r="102" spans="1:229">
      <c r="A102" s="1">
        <f t="shared" si="1"/>
        <v>101</v>
      </c>
      <c r="B102" s="2">
        <v>2026</v>
      </c>
      <c r="C102" s="2" t="s">
        <v>26</v>
      </c>
      <c r="D102" s="2" t="s">
        <v>27</v>
      </c>
      <c r="E102" s="9">
        <v>70315</v>
      </c>
      <c r="F102" s="2" t="s">
        <v>820</v>
      </c>
      <c r="G102" s="2" t="s">
        <v>36</v>
      </c>
      <c r="H102" s="2" t="s">
        <v>711</v>
      </c>
      <c r="I102" s="2" t="s">
        <v>821</v>
      </c>
      <c r="J102" s="5" t="s">
        <v>327</v>
      </c>
      <c r="K102" t="s">
        <v>31</v>
      </c>
      <c r="L102" t="s">
        <v>32</v>
      </c>
      <c r="M102">
        <v>3</v>
      </c>
      <c r="N102">
        <v>4118</v>
      </c>
      <c r="O102" s="3">
        <v>4153</v>
      </c>
      <c r="P102" s="4">
        <v>0.833333333299379</v>
      </c>
      <c r="Q102"/>
      <c r="R102" s="4">
        <v>18.8333333334012</v>
      </c>
      <c r="S102" s="4">
        <v>3.625</v>
      </c>
      <c r="T102" s="4">
        <v>22.4583333334012</v>
      </c>
      <c r="U102" s="4">
        <v>23.2916666667006</v>
      </c>
      <c r="W102" s="4">
        <v>0.748611111113375</v>
      </c>
      <c r="X102" s="4">
        <v>0.776388888890021</v>
      </c>
      <c r="Y102" s="3">
        <v>12161712.48</v>
      </c>
      <c r="Z102">
        <v>3545084.7101909</v>
      </c>
      <c r="AA102">
        <v>8616627.7698091</v>
      </c>
      <c r="AB102">
        <v>876850.097778666</v>
      </c>
      <c r="AC102">
        <v>291145.833333758</v>
      </c>
      <c r="AD102">
        <v>291145.833333758</v>
      </c>
      <c r="AE102">
        <v>0</v>
      </c>
      <c r="AF102">
        <v>260191.75</v>
      </c>
      <c r="AG102">
        <v>156296.43</v>
      </c>
      <c r="AH102">
        <v>103895.32</v>
      </c>
      <c r="AI102">
        <v>7193.07</v>
      </c>
      <c r="AJ102">
        <v>2019.84</v>
      </c>
      <c r="AK102">
        <v>0</v>
      </c>
      <c r="AL102">
        <v>5173.23</v>
      </c>
      <c r="AM102">
        <v>0</v>
      </c>
      <c r="AN102">
        <v>0</v>
      </c>
      <c r="AO102">
        <v>0</v>
      </c>
      <c r="AP102">
        <v>0</v>
      </c>
      <c r="AQ102">
        <v>0</v>
      </c>
      <c r="AR102">
        <v>0</v>
      </c>
      <c r="AS102">
        <v>0</v>
      </c>
      <c r="AT102">
        <v>0</v>
      </c>
      <c r="AU102">
        <v>0</v>
      </c>
      <c r="AV102">
        <v>0</v>
      </c>
      <c r="AW102">
        <v>0</v>
      </c>
      <c r="AX102">
        <v>0</v>
      </c>
      <c r="AY102">
        <v>318319.444444908</v>
      </c>
      <c r="AZ102">
        <v>7739777.67203043</v>
      </c>
      <c r="BA102">
        <v>2546661.08943344</v>
      </c>
      <c r="BB102">
        <v>134787.82</v>
      </c>
      <c r="BC102">
        <v>134787.82</v>
      </c>
      <c r="BD102">
        <v>0</v>
      </c>
      <c r="BE102">
        <v>0</v>
      </c>
      <c r="BF102">
        <v>1405818.456</v>
      </c>
      <c r="BG102">
        <v>1405818.456</v>
      </c>
      <c r="BH102">
        <v>0</v>
      </c>
      <c r="BI102">
        <v>0</v>
      </c>
      <c r="BK102">
        <v>500092.5</v>
      </c>
      <c r="BL102">
        <v>500092.5</v>
      </c>
      <c r="BM102">
        <v>0</v>
      </c>
      <c r="BN102">
        <v>25259.5801</v>
      </c>
      <c r="BO102">
        <v>178685.333333442</v>
      </c>
      <c r="BP102">
        <v>35933.333333442</v>
      </c>
      <c r="BQ102">
        <v>0</v>
      </c>
      <c r="BR102">
        <v>0</v>
      </c>
      <c r="BS102">
        <v>142752</v>
      </c>
      <c r="BT102">
        <v>302017.4</v>
      </c>
      <c r="BU102">
        <v>261639</v>
      </c>
      <c r="BV102">
        <v>40378.4</v>
      </c>
      <c r="BW102">
        <v>0</v>
      </c>
      <c r="BX102">
        <v>0</v>
      </c>
      <c r="BY102">
        <v>0</v>
      </c>
      <c r="BZ102">
        <v>0</v>
      </c>
      <c r="CA102">
        <v>0</v>
      </c>
      <c r="CB102">
        <v>0</v>
      </c>
      <c r="CC102">
        <v>0</v>
      </c>
      <c r="CD102">
        <v>0</v>
      </c>
      <c r="CE102">
        <v>0</v>
      </c>
      <c r="CF102">
        <v>0</v>
      </c>
      <c r="CG102">
        <v>0</v>
      </c>
      <c r="CH102">
        <v>5193116.58259699</v>
      </c>
      <c r="CI102">
        <v>81957</v>
      </c>
      <c r="CJ102">
        <v>0</v>
      </c>
      <c r="CK102">
        <v>10453</v>
      </c>
      <c r="CL102">
        <v>0</v>
      </c>
      <c r="CM102">
        <v>23306</v>
      </c>
      <c r="CN102">
        <v>11850</v>
      </c>
      <c r="CO102">
        <v>36348</v>
      </c>
      <c r="CP102">
        <v>174687.500000255</v>
      </c>
      <c r="CQ102">
        <v>1640</v>
      </c>
      <c r="CR102">
        <v>0</v>
      </c>
      <c r="CS102">
        <v>1640</v>
      </c>
      <c r="CT102">
        <v>0</v>
      </c>
      <c r="CU102">
        <v>0</v>
      </c>
      <c r="CV102">
        <v>0</v>
      </c>
      <c r="CW102">
        <v>0</v>
      </c>
      <c r="CX102">
        <v>0</v>
      </c>
      <c r="CY102">
        <v>100</v>
      </c>
      <c r="CZ102">
        <v>100</v>
      </c>
      <c r="DA102">
        <v>0</v>
      </c>
      <c r="DB102">
        <v>0</v>
      </c>
      <c r="DC102">
        <v>0</v>
      </c>
      <c r="DD102">
        <v>0</v>
      </c>
      <c r="DE102">
        <v>0</v>
      </c>
      <c r="DF102">
        <v>0</v>
      </c>
      <c r="DG102">
        <v>0</v>
      </c>
      <c r="DH102" s="3">
        <v>718230.98787</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60080</v>
      </c>
      <c r="EG102">
        <v>0</v>
      </c>
      <c r="EH102">
        <v>186357.98</v>
      </c>
      <c r="EI102">
        <v>1374141.84</v>
      </c>
      <c r="EJ102">
        <v>0</v>
      </c>
      <c r="EK102">
        <v>0</v>
      </c>
      <c r="EL102">
        <v>0</v>
      </c>
      <c r="EM102">
        <v>11026.1</v>
      </c>
      <c r="EN102">
        <v>0</v>
      </c>
      <c r="EO102">
        <v>13588</v>
      </c>
      <c r="EP102">
        <v>0</v>
      </c>
      <c r="EQ102">
        <v>13588</v>
      </c>
      <c r="ER102">
        <v>18866.2500000275</v>
      </c>
      <c r="ES102">
        <v>0</v>
      </c>
      <c r="ET102">
        <v>0</v>
      </c>
      <c r="EU102">
        <v>0</v>
      </c>
      <c r="EV102" s="4">
        <v>77.6388888890021</v>
      </c>
      <c r="EW102">
        <v>0</v>
      </c>
      <c r="EX102">
        <v>0</v>
      </c>
      <c r="EY102" s="4">
        <v>77.6388888890021</v>
      </c>
      <c r="EZ102">
        <v>0</v>
      </c>
      <c r="FA102">
        <v>0</v>
      </c>
      <c r="FB102">
        <v>0</v>
      </c>
      <c r="FC102">
        <v>0</v>
      </c>
      <c r="FD102">
        <v>0</v>
      </c>
      <c r="FE102">
        <v>0</v>
      </c>
      <c r="FF102">
        <v>0</v>
      </c>
      <c r="FG102">
        <v>0</v>
      </c>
      <c r="FH102">
        <v>0</v>
      </c>
      <c r="FI102" s="4">
        <v>2072785.71984</v>
      </c>
      <c r="FJ102">
        <v>92782.3009</v>
      </c>
      <c r="FK102">
        <v>0</v>
      </c>
      <c r="FL102">
        <v>92782.3009</v>
      </c>
      <c r="FM102" s="4">
        <v>9782.17821782178</v>
      </c>
      <c r="FN102">
        <v>0</v>
      </c>
      <c r="FO102">
        <v>0</v>
      </c>
      <c r="FP102">
        <v>0</v>
      </c>
      <c r="FQ102">
        <v>0</v>
      </c>
      <c r="FR102">
        <v>9782.17821782178</v>
      </c>
      <c r="FS102">
        <v>0</v>
      </c>
      <c r="FT102">
        <v>97293.69984</v>
      </c>
      <c r="FU102">
        <v>243234.2496</v>
      </c>
      <c r="FV102">
        <v>36485.13744</v>
      </c>
      <c r="FY102">
        <v>12161712.48</v>
      </c>
      <c r="FZ102">
        <v>8616627.7698091</v>
      </c>
      <c r="GA102">
        <v>876850.097778666</v>
      </c>
      <c r="GB102">
        <v>7739777.67203043</v>
      </c>
      <c r="GC102">
        <v>4421934.80796957</v>
      </c>
      <c r="GD102">
        <v>0.363594749936858</v>
      </c>
      <c r="GE102">
        <v>3545084.7101909</v>
      </c>
      <c r="GF102">
        <v>0.291495520554429</v>
      </c>
      <c r="GJ102">
        <v>46020.5</v>
      </c>
      <c r="GL102">
        <v>46021.3333333333</v>
      </c>
      <c r="GO102">
        <v>46024.1666666667</v>
      </c>
      <c r="GR102">
        <v>46035.5</v>
      </c>
      <c r="GU102" t="s">
        <v>802</v>
      </c>
      <c r="HA102">
        <v>46040.1666666667</v>
      </c>
      <c r="HB102">
        <v>46043.7916666667</v>
      </c>
      <c r="HE102">
        <v>30</v>
      </c>
      <c r="HF102">
        <v>14</v>
      </c>
      <c r="HG102">
        <v>1</v>
      </c>
      <c r="HH102">
        <v>15</v>
      </c>
      <c r="HK102">
        <v>123.5</v>
      </c>
      <c r="HL102">
        <v>57.5</v>
      </c>
      <c r="HM102">
        <v>20</v>
      </c>
      <c r="HN102">
        <v>19</v>
      </c>
      <c r="HO102">
        <v>0</v>
      </c>
      <c r="HP102">
        <v>24.5</v>
      </c>
      <c r="HQ102">
        <v>55.5</v>
      </c>
      <c r="HR102">
        <v>62.5</v>
      </c>
    </row>
    <row r="103" spans="1:229">
      <c r="A103" s="1">
        <f t="shared" si="1"/>
        <v>102</v>
      </c>
      <c r="B103" s="2">
        <v>2026</v>
      </c>
      <c r="C103" s="2" t="s">
        <v>26</v>
      </c>
      <c r="D103" s="2" t="s">
        <v>27</v>
      </c>
      <c r="E103" s="9">
        <v>70316</v>
      </c>
      <c r="F103" s="2" t="s">
        <v>706</v>
      </c>
      <c r="G103" s="2" t="s">
        <v>822</v>
      </c>
      <c r="H103" s="2" t="s">
        <v>711</v>
      </c>
      <c r="I103" s="2" t="s">
        <v>823</v>
      </c>
      <c r="J103" s="5" t="s">
        <v>327</v>
      </c>
      <c r="K103" t="s">
        <v>31</v>
      </c>
      <c r="L103" t="s">
        <v>32</v>
      </c>
      <c r="M103">
        <v>3</v>
      </c>
      <c r="N103">
        <v>4576</v>
      </c>
      <c r="O103" s="3">
        <v>4655</v>
      </c>
      <c r="P103" s="4">
        <v>0.583333333299379</v>
      </c>
      <c r="Q103"/>
      <c r="R103" s="4">
        <v>22.3333333334012</v>
      </c>
      <c r="S103" s="4">
        <v>16.3333333332994</v>
      </c>
      <c r="T103" s="4">
        <v>38.6666666667006</v>
      </c>
      <c r="U103" s="4">
        <v>39.25</v>
      </c>
      <c r="W103" s="4">
        <v>1.28888888889002</v>
      </c>
      <c r="X103" s="4">
        <v>1.30833333333333</v>
      </c>
      <c r="Y103" s="3">
        <v>12518012.98</v>
      </c>
      <c r="Z103">
        <v>2104798.9481402</v>
      </c>
      <c r="AA103">
        <v>10413214.0318598</v>
      </c>
      <c r="AB103">
        <v>1064189.07</v>
      </c>
      <c r="AC103">
        <v>425208.333333333</v>
      </c>
      <c r="AD103">
        <v>425208.333333333</v>
      </c>
      <c r="AE103">
        <v>0</v>
      </c>
      <c r="AF103">
        <v>92831.01</v>
      </c>
      <c r="AG103">
        <v>92831.01</v>
      </c>
      <c r="AH103">
        <v>0</v>
      </c>
      <c r="AI103">
        <v>9733.06</v>
      </c>
      <c r="AJ103">
        <v>9733.06</v>
      </c>
      <c r="AK103">
        <v>0</v>
      </c>
      <c r="AL103">
        <v>0</v>
      </c>
      <c r="AM103">
        <v>0</v>
      </c>
      <c r="AN103">
        <v>0</v>
      </c>
      <c r="AO103">
        <v>0</v>
      </c>
      <c r="AP103">
        <v>0</v>
      </c>
      <c r="AQ103">
        <v>0</v>
      </c>
      <c r="AR103">
        <v>0</v>
      </c>
      <c r="AS103">
        <v>0</v>
      </c>
      <c r="AT103">
        <v>0</v>
      </c>
      <c r="AU103">
        <v>0</v>
      </c>
      <c r="AV103">
        <v>0</v>
      </c>
      <c r="AW103">
        <v>0</v>
      </c>
      <c r="AX103">
        <v>0</v>
      </c>
      <c r="AY103">
        <v>536416.666666667</v>
      </c>
      <c r="AZ103">
        <v>9349024.9618598</v>
      </c>
      <c r="BA103">
        <v>3234389.20727973</v>
      </c>
      <c r="BB103">
        <v>185932.0332</v>
      </c>
      <c r="BC103">
        <v>185932.0332</v>
      </c>
      <c r="BD103">
        <v>0</v>
      </c>
      <c r="BE103">
        <v>0</v>
      </c>
      <c r="BF103">
        <v>1483069.818</v>
      </c>
      <c r="BG103">
        <v>1483069.818</v>
      </c>
      <c r="BH103">
        <v>0</v>
      </c>
      <c r="BI103">
        <v>0</v>
      </c>
      <c r="BJ103">
        <v>116106.19469</v>
      </c>
      <c r="BK103">
        <v>610918.5</v>
      </c>
      <c r="BL103">
        <v>610918.5</v>
      </c>
      <c r="BM103">
        <v>0</v>
      </c>
      <c r="BN103">
        <v>60251.1947230089</v>
      </c>
      <c r="BO103">
        <v>204349.066666721</v>
      </c>
      <c r="BP103">
        <v>61866.666666721</v>
      </c>
      <c r="BQ103">
        <v>0</v>
      </c>
      <c r="BR103">
        <v>0</v>
      </c>
      <c r="BS103">
        <v>142482.4</v>
      </c>
      <c r="BT103">
        <v>573762.4</v>
      </c>
      <c r="BU103">
        <v>484120</v>
      </c>
      <c r="BV103">
        <v>89642.4</v>
      </c>
      <c r="BW103">
        <v>0</v>
      </c>
      <c r="BX103">
        <v>0</v>
      </c>
      <c r="BY103">
        <v>9685.61</v>
      </c>
      <c r="BZ103">
        <v>9685.61</v>
      </c>
      <c r="CA103">
        <v>9685.61</v>
      </c>
      <c r="CB103">
        <v>0</v>
      </c>
      <c r="CC103">
        <v>0</v>
      </c>
      <c r="CD103">
        <v>0</v>
      </c>
      <c r="CE103">
        <v>0</v>
      </c>
      <c r="CF103">
        <v>0</v>
      </c>
      <c r="CG103">
        <v>0</v>
      </c>
      <c r="CH103">
        <v>6104950.14458007</v>
      </c>
      <c r="CI103">
        <v>112986</v>
      </c>
      <c r="CJ103">
        <v>0</v>
      </c>
      <c r="CK103">
        <v>8538</v>
      </c>
      <c r="CL103">
        <v>0</v>
      </c>
      <c r="CM103">
        <v>18069</v>
      </c>
      <c r="CN103">
        <v>0</v>
      </c>
      <c r="CO103">
        <v>86379</v>
      </c>
      <c r="CP103">
        <v>510250</v>
      </c>
      <c r="CQ103">
        <v>7779</v>
      </c>
      <c r="CR103">
        <v>4521</v>
      </c>
      <c r="CS103">
        <v>3258</v>
      </c>
      <c r="CT103">
        <v>0</v>
      </c>
      <c r="CU103">
        <v>0</v>
      </c>
      <c r="CV103">
        <v>0</v>
      </c>
      <c r="CW103">
        <v>0</v>
      </c>
      <c r="CX103">
        <v>0</v>
      </c>
      <c r="CY103">
        <v>15580</v>
      </c>
      <c r="CZ103">
        <v>15580</v>
      </c>
      <c r="DA103">
        <v>0</v>
      </c>
      <c r="DB103">
        <v>0</v>
      </c>
      <c r="DC103">
        <v>0</v>
      </c>
      <c r="DD103">
        <v>0</v>
      </c>
      <c r="DE103">
        <v>0</v>
      </c>
      <c r="DF103">
        <v>0</v>
      </c>
      <c r="DG103">
        <v>0</v>
      </c>
      <c r="DH103" s="3">
        <v>741298.6761</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65432</v>
      </c>
      <c r="EG103">
        <v>0</v>
      </c>
      <c r="EH103">
        <v>316661.98</v>
      </c>
      <c r="EI103">
        <v>1508585.98</v>
      </c>
      <c r="EJ103">
        <v>0</v>
      </c>
      <c r="EK103">
        <v>0</v>
      </c>
      <c r="EL103">
        <v>0</v>
      </c>
      <c r="EM103">
        <v>11026.1</v>
      </c>
      <c r="EN103">
        <v>0</v>
      </c>
      <c r="EO103">
        <v>21093</v>
      </c>
      <c r="EP103">
        <v>0</v>
      </c>
      <c r="EQ103">
        <v>21093</v>
      </c>
      <c r="ER103">
        <v>41330.25</v>
      </c>
      <c r="ES103">
        <v>0</v>
      </c>
      <c r="ET103">
        <v>0</v>
      </c>
      <c r="EU103">
        <v>840</v>
      </c>
      <c r="EV103" s="4">
        <v>130.833333333333</v>
      </c>
      <c r="EW103">
        <v>0</v>
      </c>
      <c r="EX103">
        <v>0</v>
      </c>
      <c r="EY103" s="4">
        <v>130.833333333333</v>
      </c>
      <c r="EZ103">
        <v>0</v>
      </c>
      <c r="FA103">
        <v>0</v>
      </c>
      <c r="FB103">
        <v>0</v>
      </c>
      <c r="FC103">
        <v>0</v>
      </c>
      <c r="FD103">
        <v>0</v>
      </c>
      <c r="FE103">
        <v>0</v>
      </c>
      <c r="FF103">
        <v>0</v>
      </c>
      <c r="FG103">
        <v>0</v>
      </c>
      <c r="FH103">
        <v>0</v>
      </c>
      <c r="FI103" s="4">
        <v>2355162.75544</v>
      </c>
      <c r="FJ103">
        <v>0</v>
      </c>
      <c r="FK103">
        <v>0</v>
      </c>
      <c r="FL103">
        <v>0</v>
      </c>
      <c r="FM103" s="4">
        <v>8735.16732673267</v>
      </c>
      <c r="FN103">
        <v>0</v>
      </c>
      <c r="FO103">
        <v>0</v>
      </c>
      <c r="FP103">
        <v>8061.9</v>
      </c>
      <c r="FQ103">
        <v>0</v>
      </c>
      <c r="FR103">
        <v>673.267326732673</v>
      </c>
      <c r="FS103">
        <v>0</v>
      </c>
      <c r="FT103">
        <v>100144.10384</v>
      </c>
      <c r="FU103">
        <v>250360.2596</v>
      </c>
      <c r="FV103">
        <v>37554.03894</v>
      </c>
      <c r="FY103">
        <v>12518012.98</v>
      </c>
      <c r="FZ103">
        <v>10413214.0318598</v>
      </c>
      <c r="GA103">
        <v>1064189.07</v>
      </c>
      <c r="GB103">
        <v>9349024.9618598</v>
      </c>
      <c r="GC103">
        <v>3168988.0181402</v>
      </c>
      <c r="GD103">
        <v>0.253154236475333</v>
      </c>
      <c r="GE103">
        <v>2104798.9481402</v>
      </c>
      <c r="GF103">
        <v>0.168141617324014</v>
      </c>
      <c r="GJ103">
        <v>45999.5</v>
      </c>
      <c r="GL103">
        <v>46000.0833333333</v>
      </c>
      <c r="GO103">
        <v>46002.625</v>
      </c>
      <c r="GR103">
        <v>46015.7083333333</v>
      </c>
      <c r="GU103" t="s">
        <v>802</v>
      </c>
      <c r="HA103">
        <v>46022.4166666667</v>
      </c>
      <c r="HB103">
        <v>46038.75</v>
      </c>
      <c r="HE103">
        <v>39</v>
      </c>
      <c r="HF103">
        <v>11</v>
      </c>
      <c r="HG103">
        <v>2</v>
      </c>
      <c r="HH103">
        <v>26</v>
      </c>
      <c r="HK103">
        <v>221</v>
      </c>
      <c r="HL103">
        <v>54</v>
      </c>
      <c r="HM103">
        <v>28</v>
      </c>
      <c r="HN103">
        <v>34</v>
      </c>
      <c r="HO103">
        <v>1</v>
      </c>
      <c r="HP103">
        <v>24</v>
      </c>
      <c r="HQ103">
        <v>184</v>
      </c>
      <c r="HR103">
        <v>22</v>
      </c>
    </row>
    <row r="104" spans="1:229">
      <c r="A104" s="1">
        <f t="shared" si="1"/>
        <v>103</v>
      </c>
      <c r="B104" s="2">
        <v>2026</v>
      </c>
      <c r="C104" s="2" t="s">
        <v>26</v>
      </c>
      <c r="D104" s="2" t="s">
        <v>27</v>
      </c>
      <c r="E104" s="9">
        <v>70316</v>
      </c>
      <c r="F104" s="2" t="s">
        <v>706</v>
      </c>
      <c r="G104" s="2" t="s">
        <v>822</v>
      </c>
      <c r="H104" s="2" t="s">
        <v>711</v>
      </c>
      <c r="I104" s="2" t="s">
        <v>824</v>
      </c>
      <c r="J104" s="5" t="s">
        <v>327</v>
      </c>
      <c r="K104" t="s">
        <v>31</v>
      </c>
      <c r="L104" t="s">
        <v>32</v>
      </c>
      <c r="M104">
        <v>3</v>
      </c>
      <c r="N104">
        <v>4190</v>
      </c>
      <c r="O104" s="3">
        <v>4197</v>
      </c>
      <c r="P104" s="4">
        <v>0.833333333401242</v>
      </c>
      <c r="Q104"/>
      <c r="R104" s="4">
        <v>20.0208333332994</v>
      </c>
      <c r="S104" s="4">
        <v>3.95833333329938</v>
      </c>
      <c r="T104" s="4">
        <v>23.9791666665988</v>
      </c>
      <c r="U104" s="4">
        <v>24.8125</v>
      </c>
      <c r="W104" s="4">
        <v>0.799305555553292</v>
      </c>
      <c r="X104" s="4">
        <v>0.827083333333333</v>
      </c>
      <c r="Y104" s="3">
        <v>13409147.32</v>
      </c>
      <c r="Z104">
        <v>2324460.72262551</v>
      </c>
      <c r="AA104">
        <v>11084686.5973745</v>
      </c>
      <c r="AB104">
        <v>672737.19</v>
      </c>
      <c r="AC104">
        <v>268802.083333333</v>
      </c>
      <c r="AD104">
        <v>268802.083333333</v>
      </c>
      <c r="AE104">
        <v>0</v>
      </c>
      <c r="AF104">
        <v>58678.66</v>
      </c>
      <c r="AG104">
        <v>58678.66</v>
      </c>
      <c r="AH104">
        <v>0</v>
      </c>
      <c r="AI104">
        <v>6152.28</v>
      </c>
      <c r="AJ104">
        <v>6152.28</v>
      </c>
      <c r="AK104">
        <v>0</v>
      </c>
      <c r="AL104">
        <v>0</v>
      </c>
      <c r="AM104">
        <v>0</v>
      </c>
      <c r="AN104">
        <v>0</v>
      </c>
      <c r="AO104">
        <v>0</v>
      </c>
      <c r="AP104">
        <v>0</v>
      </c>
      <c r="AQ104">
        <v>0</v>
      </c>
      <c r="AR104">
        <v>0</v>
      </c>
      <c r="AS104">
        <v>0</v>
      </c>
      <c r="AT104">
        <v>0</v>
      </c>
      <c r="AU104">
        <v>0</v>
      </c>
      <c r="AV104">
        <v>0</v>
      </c>
      <c r="AW104">
        <v>0</v>
      </c>
      <c r="AX104">
        <v>0</v>
      </c>
      <c r="AY104">
        <v>339104.166666667</v>
      </c>
      <c r="AZ104">
        <v>10411949.4073745</v>
      </c>
      <c r="BA104">
        <v>3022670.21826116</v>
      </c>
      <c r="BB104">
        <v>275744.0664</v>
      </c>
      <c r="BC104">
        <v>275744.0664</v>
      </c>
      <c r="BD104">
        <v>0</v>
      </c>
      <c r="BE104">
        <v>0</v>
      </c>
      <c r="BF104">
        <v>1413847.776</v>
      </c>
      <c r="BG104">
        <v>1413847.776</v>
      </c>
      <c r="BH104">
        <v>0</v>
      </c>
      <c r="BI104">
        <v>11211.789</v>
      </c>
      <c r="BJ104">
        <v>62389.38053</v>
      </c>
      <c r="BK104">
        <v>674584.5</v>
      </c>
      <c r="BL104">
        <v>674584.5</v>
      </c>
      <c r="BM104">
        <v>0</v>
      </c>
      <c r="BN104">
        <v>80801.6796646018</v>
      </c>
      <c r="BO104">
        <v>186697.626666558</v>
      </c>
      <c r="BP104">
        <v>38366.666666558</v>
      </c>
      <c r="BQ104">
        <v>0</v>
      </c>
      <c r="BR104">
        <v>0</v>
      </c>
      <c r="BS104">
        <v>148330.96</v>
      </c>
      <c r="BT104">
        <v>317393.4</v>
      </c>
      <c r="BU104">
        <v>264411</v>
      </c>
      <c r="BV104">
        <v>52982.4</v>
      </c>
      <c r="BW104">
        <v>0</v>
      </c>
      <c r="BX104">
        <v>0</v>
      </c>
      <c r="BY104">
        <v>3002.32</v>
      </c>
      <c r="BZ104">
        <v>3002.32</v>
      </c>
      <c r="CA104">
        <v>3002.32</v>
      </c>
      <c r="CB104">
        <v>0</v>
      </c>
      <c r="CC104">
        <v>0</v>
      </c>
      <c r="CD104">
        <v>0</v>
      </c>
      <c r="CE104">
        <v>0</v>
      </c>
      <c r="CF104">
        <v>0</v>
      </c>
      <c r="CG104">
        <v>0</v>
      </c>
      <c r="CH104">
        <v>7386276.86911333</v>
      </c>
      <c r="CI104">
        <v>258679</v>
      </c>
      <c r="CJ104">
        <v>0</v>
      </c>
      <c r="CK104">
        <v>6577</v>
      </c>
      <c r="CL104">
        <v>116944</v>
      </c>
      <c r="CM104">
        <v>35911</v>
      </c>
      <c r="CN104">
        <v>3564</v>
      </c>
      <c r="CO104">
        <v>95683</v>
      </c>
      <c r="CP104">
        <v>322562.5</v>
      </c>
      <c r="CQ104">
        <v>14907</v>
      </c>
      <c r="CR104">
        <v>3767</v>
      </c>
      <c r="CS104">
        <v>11140</v>
      </c>
      <c r="CT104">
        <v>0</v>
      </c>
      <c r="CU104">
        <v>0</v>
      </c>
      <c r="CV104">
        <v>0</v>
      </c>
      <c r="CW104">
        <v>0</v>
      </c>
      <c r="CX104">
        <v>0</v>
      </c>
      <c r="CY104">
        <v>287</v>
      </c>
      <c r="CZ104">
        <v>0</v>
      </c>
      <c r="DA104">
        <v>0</v>
      </c>
      <c r="DB104">
        <v>0</v>
      </c>
      <c r="DC104">
        <v>0</v>
      </c>
      <c r="DD104">
        <v>0</v>
      </c>
      <c r="DE104">
        <v>0</v>
      </c>
      <c r="DF104">
        <v>287</v>
      </c>
      <c r="DG104">
        <v>0</v>
      </c>
      <c r="DH104" s="3">
        <v>743131.06557</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64731</v>
      </c>
      <c r="EG104">
        <v>0</v>
      </c>
      <c r="EH104">
        <v>161925.98</v>
      </c>
      <c r="EI104">
        <v>1464050.54</v>
      </c>
      <c r="EJ104">
        <v>0</v>
      </c>
      <c r="EK104">
        <v>0</v>
      </c>
      <c r="EL104">
        <v>0</v>
      </c>
      <c r="EM104">
        <v>1304277.43</v>
      </c>
      <c r="EN104">
        <v>0</v>
      </c>
      <c r="EO104">
        <v>20737.5</v>
      </c>
      <c r="EP104">
        <v>0</v>
      </c>
      <c r="EQ104">
        <v>20737.5</v>
      </c>
      <c r="ER104">
        <v>26127.5625</v>
      </c>
      <c r="ES104">
        <v>0</v>
      </c>
      <c r="ET104">
        <v>0</v>
      </c>
      <c r="EU104">
        <v>0</v>
      </c>
      <c r="EV104" s="4">
        <v>82.7083333333333</v>
      </c>
      <c r="EW104">
        <v>0</v>
      </c>
      <c r="EX104">
        <v>0</v>
      </c>
      <c r="EY104" s="4">
        <v>82.7083333333333</v>
      </c>
      <c r="EZ104">
        <v>0</v>
      </c>
      <c r="FA104">
        <v>0</v>
      </c>
      <c r="FB104">
        <v>0</v>
      </c>
      <c r="FC104">
        <v>0</v>
      </c>
      <c r="FD104">
        <v>0</v>
      </c>
      <c r="FE104">
        <v>0</v>
      </c>
      <c r="FF104">
        <v>0</v>
      </c>
      <c r="FG104">
        <v>0</v>
      </c>
      <c r="FH104">
        <v>0</v>
      </c>
      <c r="FI104" s="4">
        <v>2249832.67399</v>
      </c>
      <c r="FJ104">
        <v>328731.8418</v>
      </c>
      <c r="FK104">
        <v>0</v>
      </c>
      <c r="FL104">
        <v>328731.8418</v>
      </c>
      <c r="FM104" s="4">
        <v>10529.5</v>
      </c>
      <c r="FN104">
        <v>0</v>
      </c>
      <c r="FO104">
        <v>0</v>
      </c>
      <c r="FP104">
        <v>10529.5</v>
      </c>
      <c r="FQ104">
        <v>0</v>
      </c>
      <c r="FR104">
        <v>0</v>
      </c>
      <c r="FS104">
        <v>0</v>
      </c>
      <c r="FT104">
        <v>107273.17856</v>
      </c>
      <c r="FU104">
        <v>268182.9464</v>
      </c>
      <c r="FV104">
        <v>40227.44196</v>
      </c>
      <c r="FY104">
        <v>13409147.32</v>
      </c>
      <c r="FZ104">
        <v>11084686.5973745</v>
      </c>
      <c r="GA104">
        <v>672737.19</v>
      </c>
      <c r="GB104">
        <v>10411949.4073745</v>
      </c>
      <c r="GC104">
        <v>2997197.91262551</v>
      </c>
      <c r="GD104">
        <v>0.223518904006307</v>
      </c>
      <c r="GE104">
        <v>2324460.72262551</v>
      </c>
      <c r="GF104">
        <v>0.173348883948686</v>
      </c>
      <c r="GJ104">
        <v>45982.3333333333</v>
      </c>
      <c r="GL104">
        <v>45983.1666666667</v>
      </c>
      <c r="GO104">
        <v>45987.1666666667</v>
      </c>
      <c r="GP104">
        <v>45995.9583333333</v>
      </c>
      <c r="GQ104">
        <v>45997.3958333333</v>
      </c>
      <c r="GR104">
        <v>46042.75</v>
      </c>
      <c r="GU104" t="s">
        <v>802</v>
      </c>
      <c r="HA104">
        <v>46048.5416666667</v>
      </c>
      <c r="HB104">
        <v>46052.5</v>
      </c>
      <c r="HE104">
        <v>39</v>
      </c>
      <c r="HF104">
        <v>11</v>
      </c>
      <c r="HG104">
        <v>2</v>
      </c>
      <c r="HH104">
        <v>26</v>
      </c>
      <c r="HK104">
        <v>195</v>
      </c>
      <c r="HL104">
        <v>58</v>
      </c>
      <c r="HM104">
        <v>29</v>
      </c>
      <c r="HN104">
        <v>41</v>
      </c>
      <c r="HO104">
        <v>0</v>
      </c>
      <c r="HP104">
        <v>23</v>
      </c>
      <c r="HQ104">
        <v>127</v>
      </c>
      <c r="HR104">
        <v>24</v>
      </c>
    </row>
    <row r="105" spans="1:229">
      <c r="A105" s="1">
        <f t="shared" si="1"/>
        <v>104</v>
      </c>
      <c r="B105" s="2">
        <v>2026</v>
      </c>
      <c r="C105" s="2" t="s">
        <v>26</v>
      </c>
      <c r="D105" s="2" t="s">
        <v>27</v>
      </c>
      <c r="E105" s="9">
        <v>70318</v>
      </c>
      <c r="F105" s="2" t="s">
        <v>709</v>
      </c>
      <c r="G105" s="2" t="s">
        <v>28</v>
      </c>
      <c r="H105" s="2" t="s">
        <v>711</v>
      </c>
      <c r="I105" s="2" t="s">
        <v>825</v>
      </c>
      <c r="J105" t="s">
        <v>318</v>
      </c>
      <c r="K105" t="s">
        <v>41</v>
      </c>
      <c r="L105" t="s">
        <v>38</v>
      </c>
      <c r="M105">
        <v>3</v>
      </c>
      <c r="N105">
        <v>6477</v>
      </c>
      <c r="O105" s="3">
        <v>6526</v>
      </c>
      <c r="P105" s="4">
        <v>17.25</v>
      </c>
      <c r="Q105"/>
      <c r="R105" s="4">
        <v>71.3333333334012</v>
      </c>
      <c r="S105" s="4">
        <v>13.7083333332994</v>
      </c>
      <c r="T105" s="4">
        <v>85.0416666667006</v>
      </c>
      <c r="U105" s="4">
        <v>102.291666666701</v>
      </c>
      <c r="W105" s="4">
        <v>2.83472222222335</v>
      </c>
      <c r="X105" s="4">
        <v>3.40972222222335</v>
      </c>
      <c r="Y105" s="3">
        <v>18150837.4911623</v>
      </c>
      <c r="Z105">
        <v>-5686393.58632661</v>
      </c>
      <c r="AA105">
        <v>23837231.0774889</v>
      </c>
      <c r="AB105">
        <v>2915180.53333416</v>
      </c>
      <c r="AC105">
        <v>1108159.72222259</v>
      </c>
      <c r="AD105">
        <v>1108159.72222259</v>
      </c>
      <c r="AE105">
        <v>0</v>
      </c>
      <c r="AF105">
        <v>383487.12</v>
      </c>
      <c r="AG105">
        <v>383487.12</v>
      </c>
      <c r="AH105">
        <v>0</v>
      </c>
      <c r="AI105">
        <v>25547.58</v>
      </c>
      <c r="AJ105">
        <v>23266.51</v>
      </c>
      <c r="AK105">
        <v>0</v>
      </c>
      <c r="AL105">
        <v>2281.07</v>
      </c>
      <c r="AM105">
        <v>0</v>
      </c>
      <c r="AN105">
        <v>0</v>
      </c>
      <c r="AO105">
        <v>0</v>
      </c>
      <c r="AP105">
        <v>0</v>
      </c>
      <c r="AQ105">
        <v>0</v>
      </c>
      <c r="AR105">
        <v>0</v>
      </c>
      <c r="AS105">
        <v>0</v>
      </c>
      <c r="AT105">
        <v>0</v>
      </c>
      <c r="AU105">
        <v>0</v>
      </c>
      <c r="AV105">
        <v>0</v>
      </c>
      <c r="AW105">
        <v>0</v>
      </c>
      <c r="AX105">
        <v>0</v>
      </c>
      <c r="AY105">
        <v>1397986.11111158</v>
      </c>
      <c r="AZ105">
        <v>20922050.5441547</v>
      </c>
      <c r="BA105">
        <v>7004288.06013672</v>
      </c>
      <c r="BB105">
        <v>427064.4132</v>
      </c>
      <c r="BC105">
        <v>427064.4132</v>
      </c>
      <c r="BD105">
        <v>0</v>
      </c>
      <c r="BE105">
        <v>0</v>
      </c>
      <c r="BF105">
        <v>3161591</v>
      </c>
      <c r="BG105">
        <v>3161591</v>
      </c>
      <c r="BH105">
        <v>0</v>
      </c>
      <c r="BI105">
        <v>8076.4875</v>
      </c>
      <c r="BJ105">
        <v>108318.58407</v>
      </c>
      <c r="BK105">
        <v>2127702</v>
      </c>
      <c r="BL105">
        <v>2127702</v>
      </c>
      <c r="BM105">
        <v>0</v>
      </c>
      <c r="BN105">
        <v>69212.6187</v>
      </c>
      <c r="BO105">
        <v>232993.556666721</v>
      </c>
      <c r="BP105">
        <v>136066.666666721</v>
      </c>
      <c r="BQ105">
        <v>0</v>
      </c>
      <c r="BR105">
        <v>0</v>
      </c>
      <c r="BS105">
        <v>96926.89</v>
      </c>
      <c r="BT105">
        <v>869329.4</v>
      </c>
      <c r="BU105">
        <v>678704</v>
      </c>
      <c r="BV105">
        <v>190625.4</v>
      </c>
      <c r="BW105">
        <v>0</v>
      </c>
      <c r="BX105">
        <v>0</v>
      </c>
      <c r="BY105">
        <v>9196.85</v>
      </c>
      <c r="BZ105">
        <v>9196.85</v>
      </c>
      <c r="CA105">
        <v>9196.85</v>
      </c>
      <c r="CB105">
        <v>0</v>
      </c>
      <c r="CC105">
        <v>0</v>
      </c>
      <c r="CD105">
        <v>0</v>
      </c>
      <c r="CE105">
        <v>0</v>
      </c>
      <c r="CF105">
        <v>0</v>
      </c>
      <c r="CG105">
        <v>0</v>
      </c>
      <c r="CH105">
        <v>13908565.634018</v>
      </c>
      <c r="CI105">
        <v>544263</v>
      </c>
      <c r="CJ105">
        <v>0</v>
      </c>
      <c r="CK105">
        <v>0</v>
      </c>
      <c r="CL105">
        <v>211767</v>
      </c>
      <c r="CM105">
        <v>88487</v>
      </c>
      <c r="CN105">
        <v>17329</v>
      </c>
      <c r="CO105">
        <v>226680</v>
      </c>
      <c r="CP105">
        <v>1380937.50000046</v>
      </c>
      <c r="CQ105">
        <v>41427</v>
      </c>
      <c r="CR105">
        <v>10711</v>
      </c>
      <c r="CS105">
        <v>30716</v>
      </c>
      <c r="CT105">
        <v>0</v>
      </c>
      <c r="CU105">
        <v>0</v>
      </c>
      <c r="CV105">
        <v>0</v>
      </c>
      <c r="CW105">
        <v>0</v>
      </c>
      <c r="CX105">
        <v>0</v>
      </c>
      <c r="CY105">
        <v>1868</v>
      </c>
      <c r="CZ105">
        <v>0</v>
      </c>
      <c r="DA105">
        <v>0</v>
      </c>
      <c r="DB105">
        <v>0</v>
      </c>
      <c r="DC105">
        <v>760</v>
      </c>
      <c r="DD105">
        <v>0</v>
      </c>
      <c r="DE105">
        <v>0</v>
      </c>
      <c r="DF105">
        <v>1108</v>
      </c>
      <c r="DG105">
        <v>0</v>
      </c>
      <c r="DH105" s="3">
        <v>1473522.845</v>
      </c>
      <c r="DI105">
        <v>347603.55</v>
      </c>
      <c r="DJ105">
        <v>0</v>
      </c>
      <c r="DK105">
        <v>269220</v>
      </c>
      <c r="DL105">
        <v>0</v>
      </c>
      <c r="DM105">
        <v>0</v>
      </c>
      <c r="DN105">
        <v>0</v>
      </c>
      <c r="DO105">
        <v>0</v>
      </c>
      <c r="DP105">
        <v>78383.55</v>
      </c>
      <c r="DQ105">
        <v>216030.5</v>
      </c>
      <c r="DR105">
        <v>0</v>
      </c>
      <c r="DS105">
        <v>0</v>
      </c>
      <c r="DT105">
        <v>216030.5</v>
      </c>
      <c r="DU105">
        <v>0</v>
      </c>
      <c r="DV105">
        <v>0</v>
      </c>
      <c r="DW105">
        <v>0</v>
      </c>
      <c r="DX105">
        <v>0</v>
      </c>
      <c r="DY105">
        <v>0</v>
      </c>
      <c r="DZ105">
        <v>0</v>
      </c>
      <c r="EA105">
        <v>0</v>
      </c>
      <c r="EB105">
        <v>0</v>
      </c>
      <c r="EC105">
        <v>0</v>
      </c>
      <c r="ED105">
        <v>0</v>
      </c>
      <c r="EE105">
        <v>0</v>
      </c>
      <c r="EF105">
        <v>319218</v>
      </c>
      <c r="EG105">
        <v>0</v>
      </c>
      <c r="EH105">
        <v>1063319.24</v>
      </c>
      <c r="EI105">
        <v>1987429.07116234</v>
      </c>
      <c r="EJ105">
        <v>0</v>
      </c>
      <c r="EK105">
        <v>700000</v>
      </c>
      <c r="EL105">
        <v>1134417.2</v>
      </c>
      <c r="EM105">
        <v>928569.8</v>
      </c>
      <c r="EN105">
        <v>100000</v>
      </c>
      <c r="EO105">
        <v>100000</v>
      </c>
      <c r="EP105">
        <v>100000</v>
      </c>
      <c r="EQ105">
        <v>0</v>
      </c>
      <c r="ER105">
        <v>110475.000000037</v>
      </c>
      <c r="ES105">
        <v>0</v>
      </c>
      <c r="ET105">
        <v>0</v>
      </c>
      <c r="EU105">
        <v>5400</v>
      </c>
      <c r="EV105" s="4">
        <v>340.972222222335</v>
      </c>
      <c r="EW105">
        <v>0</v>
      </c>
      <c r="EX105">
        <v>0</v>
      </c>
      <c r="EY105" s="4">
        <v>340.972222222335</v>
      </c>
      <c r="EZ105">
        <v>0</v>
      </c>
      <c r="FA105">
        <v>0</v>
      </c>
      <c r="FB105">
        <v>0</v>
      </c>
      <c r="FC105">
        <v>0</v>
      </c>
      <c r="FD105">
        <v>0</v>
      </c>
      <c r="FE105">
        <v>0</v>
      </c>
      <c r="FF105">
        <v>0</v>
      </c>
      <c r="FG105">
        <v>0</v>
      </c>
      <c r="FH105">
        <v>0</v>
      </c>
      <c r="FI105" s="4">
        <v>2703736.4541</v>
      </c>
      <c r="FJ105">
        <v>148191.3</v>
      </c>
      <c r="FK105">
        <v>148191.3</v>
      </c>
      <c r="FL105">
        <v>0</v>
      </c>
      <c r="FM105" s="4">
        <v>39140.2393069307</v>
      </c>
      <c r="FN105">
        <v>0</v>
      </c>
      <c r="FO105">
        <v>0</v>
      </c>
      <c r="FP105">
        <v>36447.17</v>
      </c>
      <c r="FQ105">
        <v>0</v>
      </c>
      <c r="FR105">
        <v>2693.06930693069</v>
      </c>
      <c r="FS105">
        <v>0</v>
      </c>
      <c r="FT105">
        <v>145206.699929298</v>
      </c>
      <c r="FU105">
        <v>363016.749823246</v>
      </c>
      <c r="FV105">
        <v>54452.5124734869</v>
      </c>
      <c r="FY105">
        <v>18150837.4911623</v>
      </c>
      <c r="FZ105">
        <v>23837231.0774889</v>
      </c>
      <c r="GA105">
        <v>2915180.53333416</v>
      </c>
      <c r="GB105">
        <v>20922050.5441547</v>
      </c>
      <c r="GC105">
        <v>-2771213.05299244</v>
      </c>
      <c r="GD105">
        <v>-0.152676869832687</v>
      </c>
      <c r="GE105">
        <v>-5686393.58632661</v>
      </c>
      <c r="GF105">
        <v>-0.313285466254399</v>
      </c>
      <c r="GJ105">
        <v>45944.3333333333</v>
      </c>
      <c r="GL105">
        <v>45961.5833333333</v>
      </c>
      <c r="GO105">
        <v>45963.4166666667</v>
      </c>
      <c r="GR105">
        <v>45976.9583333333</v>
      </c>
      <c r="GU105" t="s">
        <v>802</v>
      </c>
      <c r="HA105">
        <v>46032.9166666667</v>
      </c>
      <c r="HB105">
        <v>46046.625</v>
      </c>
      <c r="HE105">
        <v>40</v>
      </c>
      <c r="HF105">
        <v>12</v>
      </c>
      <c r="HG105">
        <v>1</v>
      </c>
      <c r="HH105">
        <v>27</v>
      </c>
      <c r="HK105">
        <v>454</v>
      </c>
      <c r="HL105">
        <v>277</v>
      </c>
      <c r="HM105">
        <v>63</v>
      </c>
      <c r="HN105">
        <v>165</v>
      </c>
      <c r="HO105">
        <v>0</v>
      </c>
      <c r="HP105">
        <v>109</v>
      </c>
      <c r="HQ105">
        <v>370</v>
      </c>
      <c r="HR105">
        <v>171</v>
      </c>
    </row>
    <row r="106" spans="1:229">
      <c r="A106" s="1">
        <f t="shared" si="1"/>
        <v>105</v>
      </c>
      <c r="B106" s="2">
        <v>2026</v>
      </c>
      <c r="C106" s="2" t="s">
        <v>26</v>
      </c>
      <c r="D106" s="2" t="s">
        <v>27</v>
      </c>
      <c r="E106" s="9">
        <v>70520</v>
      </c>
      <c r="F106" s="2" t="s">
        <v>699</v>
      </c>
      <c r="G106" s="2" t="s">
        <v>28</v>
      </c>
      <c r="H106" s="2" t="s">
        <v>711</v>
      </c>
      <c r="I106" s="2" t="s">
        <v>826</v>
      </c>
      <c r="J106" s="5" t="s">
        <v>328</v>
      </c>
      <c r="K106" t="s">
        <v>41</v>
      </c>
      <c r="L106" t="s">
        <v>32</v>
      </c>
      <c r="M106">
        <v>3</v>
      </c>
      <c r="N106">
        <v>5647</v>
      </c>
      <c r="O106" s="3">
        <v>5672</v>
      </c>
      <c r="P106" s="4">
        <v>8.08333333329938</v>
      </c>
      <c r="Q106"/>
      <c r="R106" s="4">
        <v>30.5833333334012</v>
      </c>
      <c r="S106" s="4">
        <v>6.83333333329938</v>
      </c>
      <c r="T106" s="4">
        <v>37.4166666667006</v>
      </c>
      <c r="U106" s="4">
        <v>45.5</v>
      </c>
      <c r="W106" s="4">
        <v>1.24722222222335</v>
      </c>
      <c r="X106" s="4">
        <v>1.51666666666667</v>
      </c>
      <c r="Y106" s="3">
        <v>16316975.6563308</v>
      </c>
      <c r="Z106">
        <v>151930.314408328</v>
      </c>
      <c r="AA106">
        <v>16165045.3419225</v>
      </c>
      <c r="AB106">
        <v>1538829.07666667</v>
      </c>
      <c r="AC106">
        <v>644583.333333333</v>
      </c>
      <c r="AD106">
        <v>644583.333333333</v>
      </c>
      <c r="AE106">
        <v>0</v>
      </c>
      <c r="AF106">
        <v>79646.81</v>
      </c>
      <c r="AG106">
        <v>79646.81</v>
      </c>
      <c r="AH106">
        <v>0</v>
      </c>
      <c r="AI106">
        <v>8608.3</v>
      </c>
      <c r="AJ106">
        <v>4847.95</v>
      </c>
      <c r="AK106">
        <v>2373.43</v>
      </c>
      <c r="AL106">
        <v>1386.92</v>
      </c>
      <c r="AM106">
        <v>184157.3</v>
      </c>
      <c r="AN106">
        <v>184157.3</v>
      </c>
      <c r="AO106">
        <v>0</v>
      </c>
      <c r="AP106">
        <v>0</v>
      </c>
      <c r="AQ106">
        <v>0</v>
      </c>
      <c r="AR106">
        <v>0</v>
      </c>
      <c r="AS106">
        <v>0</v>
      </c>
      <c r="AT106">
        <v>0</v>
      </c>
      <c r="AU106">
        <v>0</v>
      </c>
      <c r="AV106">
        <v>0</v>
      </c>
      <c r="AW106">
        <v>0</v>
      </c>
      <c r="AX106">
        <v>0</v>
      </c>
      <c r="AY106">
        <v>621833.333333333</v>
      </c>
      <c r="AZ106">
        <v>14626216.2652558</v>
      </c>
      <c r="BA106">
        <v>4481512.81057671</v>
      </c>
      <c r="BB106">
        <v>363275.4032</v>
      </c>
      <c r="BC106">
        <v>363275.4032</v>
      </c>
      <c r="BD106">
        <v>0</v>
      </c>
      <c r="BE106">
        <v>0</v>
      </c>
      <c r="BF106">
        <v>2191740</v>
      </c>
      <c r="BG106">
        <v>2191740</v>
      </c>
      <c r="BH106">
        <v>0</v>
      </c>
      <c r="BI106">
        <v>3206.2</v>
      </c>
      <c r="BJ106">
        <v>321287.78760999</v>
      </c>
      <c r="BK106">
        <v>710386.8</v>
      </c>
      <c r="BL106">
        <v>710386.8</v>
      </c>
      <c r="BM106">
        <v>0</v>
      </c>
      <c r="BN106">
        <v>46855.2531</v>
      </c>
      <c r="BO106">
        <v>183780.666666721</v>
      </c>
      <c r="BP106">
        <v>59866.666666721</v>
      </c>
      <c r="BQ106">
        <v>0</v>
      </c>
      <c r="BR106">
        <v>0</v>
      </c>
      <c r="BS106">
        <v>123914</v>
      </c>
      <c r="BT106">
        <v>660980.7</v>
      </c>
      <c r="BU106">
        <v>589888</v>
      </c>
      <c r="BV106">
        <v>71092.7</v>
      </c>
      <c r="BW106">
        <v>0</v>
      </c>
      <c r="BX106">
        <v>0</v>
      </c>
      <c r="BY106">
        <v>71177.04</v>
      </c>
      <c r="BZ106">
        <v>71177.04</v>
      </c>
      <c r="CA106">
        <v>71177.04</v>
      </c>
      <c r="CB106">
        <v>0</v>
      </c>
      <c r="CC106">
        <v>0</v>
      </c>
      <c r="CD106">
        <v>0</v>
      </c>
      <c r="CF106">
        <v>0</v>
      </c>
      <c r="CG106">
        <v>0</v>
      </c>
      <c r="CH106">
        <v>10073526.4146791</v>
      </c>
      <c r="CI106">
        <v>362269</v>
      </c>
      <c r="CJ106">
        <v>0</v>
      </c>
      <c r="CK106">
        <v>0</v>
      </c>
      <c r="CL106">
        <v>156972</v>
      </c>
      <c r="CM106">
        <v>54655</v>
      </c>
      <c r="CN106">
        <v>37009</v>
      </c>
      <c r="CO106">
        <v>113633</v>
      </c>
      <c r="CP106">
        <v>523250</v>
      </c>
      <c r="CQ106">
        <v>25097</v>
      </c>
      <c r="CR106">
        <v>3390</v>
      </c>
      <c r="CS106">
        <v>21707</v>
      </c>
      <c r="CT106">
        <v>0</v>
      </c>
      <c r="CU106">
        <v>0</v>
      </c>
      <c r="CV106">
        <v>0</v>
      </c>
      <c r="CW106">
        <v>0</v>
      </c>
      <c r="CX106">
        <v>0</v>
      </c>
      <c r="CY106">
        <v>10110</v>
      </c>
      <c r="CZ106">
        <v>9890</v>
      </c>
      <c r="DA106">
        <v>0</v>
      </c>
      <c r="DB106">
        <v>0</v>
      </c>
      <c r="DC106">
        <v>220</v>
      </c>
      <c r="DD106">
        <v>0</v>
      </c>
      <c r="DE106">
        <v>0</v>
      </c>
      <c r="DF106">
        <v>0</v>
      </c>
      <c r="DG106">
        <v>0</v>
      </c>
      <c r="DH106" s="3">
        <v>611958.3</v>
      </c>
      <c r="DI106">
        <v>95553.85</v>
      </c>
      <c r="DJ106">
        <v>0</v>
      </c>
      <c r="DK106">
        <v>82127.5</v>
      </c>
      <c r="DL106">
        <v>0</v>
      </c>
      <c r="DM106">
        <v>0</v>
      </c>
      <c r="DN106">
        <v>0</v>
      </c>
      <c r="DO106">
        <v>0</v>
      </c>
      <c r="DP106">
        <v>13426.35</v>
      </c>
      <c r="DQ106">
        <v>0</v>
      </c>
      <c r="DR106">
        <v>0</v>
      </c>
      <c r="DS106">
        <v>0</v>
      </c>
      <c r="DT106">
        <v>0</v>
      </c>
      <c r="DU106">
        <v>0</v>
      </c>
      <c r="DV106">
        <v>0</v>
      </c>
      <c r="DW106">
        <v>0</v>
      </c>
      <c r="DX106">
        <v>0</v>
      </c>
      <c r="DY106">
        <v>0</v>
      </c>
      <c r="DZ106">
        <v>0</v>
      </c>
      <c r="EA106">
        <v>0</v>
      </c>
      <c r="EB106">
        <v>0</v>
      </c>
      <c r="EC106">
        <v>0</v>
      </c>
      <c r="ED106">
        <v>0</v>
      </c>
      <c r="EE106">
        <v>0</v>
      </c>
      <c r="EF106">
        <v>110646</v>
      </c>
      <c r="EG106">
        <v>0</v>
      </c>
      <c r="EH106">
        <v>319835.24</v>
      </c>
      <c r="EI106">
        <v>1943578.85139746</v>
      </c>
      <c r="EJ106">
        <v>0</v>
      </c>
      <c r="EK106">
        <v>550000</v>
      </c>
      <c r="EL106">
        <v>500000</v>
      </c>
      <c r="EM106">
        <v>663000</v>
      </c>
      <c r="EN106">
        <v>0</v>
      </c>
      <c r="EO106">
        <v>18367.5</v>
      </c>
      <c r="EP106">
        <v>0</v>
      </c>
      <c r="EQ106">
        <v>18367.5</v>
      </c>
      <c r="ER106">
        <v>49140</v>
      </c>
      <c r="ES106">
        <v>0</v>
      </c>
      <c r="ET106">
        <v>0</v>
      </c>
      <c r="EU106">
        <v>1440</v>
      </c>
      <c r="EV106" s="4">
        <v>151.666666666667</v>
      </c>
      <c r="EW106">
        <v>0</v>
      </c>
      <c r="EX106">
        <v>0</v>
      </c>
      <c r="EY106" s="4">
        <v>151.666666666667</v>
      </c>
      <c r="EZ106">
        <v>0</v>
      </c>
      <c r="FA106">
        <v>0</v>
      </c>
      <c r="FB106">
        <v>0</v>
      </c>
      <c r="FC106">
        <v>0</v>
      </c>
      <c r="FD106">
        <v>0</v>
      </c>
      <c r="FE106">
        <v>0</v>
      </c>
      <c r="FF106">
        <v>0</v>
      </c>
      <c r="FG106">
        <v>0</v>
      </c>
      <c r="FH106">
        <v>0</v>
      </c>
      <c r="FI106" s="4">
        <v>3755021.01414</v>
      </c>
      <c r="FJ106">
        <v>0</v>
      </c>
      <c r="FK106">
        <v>0</v>
      </c>
      <c r="FL106">
        <v>0</v>
      </c>
      <c r="FM106" s="4">
        <v>28281.7471287129</v>
      </c>
      <c r="FN106">
        <v>0</v>
      </c>
      <c r="FO106">
        <v>0</v>
      </c>
      <c r="FP106">
        <v>27410.46</v>
      </c>
      <c r="FQ106">
        <v>0</v>
      </c>
      <c r="FR106">
        <v>871.287128712871</v>
      </c>
      <c r="FS106">
        <v>0</v>
      </c>
      <c r="FT106">
        <v>130535.805250646</v>
      </c>
      <c r="FU106">
        <v>326339.513126616</v>
      </c>
      <c r="FV106">
        <v>48950.9269689924</v>
      </c>
      <c r="FY106">
        <v>16316975.6563308</v>
      </c>
      <c r="FZ106">
        <v>16165045.3419225</v>
      </c>
      <c r="GA106">
        <v>1538829.07666667</v>
      </c>
      <c r="GB106">
        <v>14626216.2652558</v>
      </c>
      <c r="GC106">
        <v>1690759.39107499</v>
      </c>
      <c r="GD106">
        <v>0.103619655179114</v>
      </c>
      <c r="GE106">
        <v>151930.314408328</v>
      </c>
      <c r="GF106">
        <v>0.00931118104287795</v>
      </c>
      <c r="GJ106">
        <v>46002.375</v>
      </c>
      <c r="GL106">
        <v>46010.4583333333</v>
      </c>
      <c r="GO106">
        <v>46013.1666666667</v>
      </c>
      <c r="GR106">
        <v>46025.1666666667</v>
      </c>
      <c r="GU106" t="s">
        <v>802</v>
      </c>
      <c r="HA106">
        <v>46041.0416666667</v>
      </c>
      <c r="HB106">
        <v>46047.875</v>
      </c>
      <c r="HE106">
        <v>40</v>
      </c>
      <c r="HF106">
        <v>16</v>
      </c>
      <c r="HG106">
        <v>1</v>
      </c>
      <c r="HH106">
        <v>23</v>
      </c>
      <c r="HK106">
        <v>83</v>
      </c>
      <c r="HL106">
        <v>25</v>
      </c>
      <c r="HM106">
        <v>9</v>
      </c>
      <c r="HN106">
        <v>10</v>
      </c>
      <c r="HO106">
        <v>0</v>
      </c>
      <c r="HP106">
        <v>10</v>
      </c>
      <c r="HQ106">
        <v>163</v>
      </c>
      <c r="HR106">
        <v>59</v>
      </c>
    </row>
    <row r="107" spans="1:229">
      <c r="A107" s="1">
        <f t="shared" si="1"/>
        <v>106</v>
      </c>
      <c r="B107">
        <v>2026</v>
      </c>
      <c r="C107" t="s">
        <v>703</v>
      </c>
      <c r="D107" t="s">
        <v>27</v>
      </c>
      <c r="E107" s="11">
        <v>50998</v>
      </c>
      <c r="F107" t="s">
        <v>805</v>
      </c>
      <c r="G107" t="s">
        <v>36</v>
      </c>
      <c r="H107" t="s">
        <v>692</v>
      </c>
      <c r="I107" t="s">
        <v>400</v>
      </c>
      <c r="J107" s="5" t="s">
        <v>308</v>
      </c>
      <c r="K107" t="s">
        <v>31</v>
      </c>
      <c r="L107" t="s">
        <v>32</v>
      </c>
      <c r="M107">
        <v>2</v>
      </c>
      <c r="N107">
        <v>2974</v>
      </c>
      <c r="O107" s="3">
        <v>3038</v>
      </c>
      <c r="P107" s="4">
        <v>2.91666666659876</v>
      </c>
      <c r="Q107"/>
      <c r="R107" s="4">
        <v>11.0625</v>
      </c>
      <c r="S107" s="4">
        <v>4.77083333340124</v>
      </c>
      <c r="T107" s="4">
        <v>15.8333333334012</v>
      </c>
      <c r="U107" s="4">
        <v>18.75</v>
      </c>
      <c r="V107"/>
      <c r="W107" s="4">
        <v>0.52777777778004</v>
      </c>
      <c r="X107" s="4">
        <v>0.624999999999999</v>
      </c>
      <c r="Y107">
        <v>4037064.355506</v>
      </c>
      <c r="Z107">
        <v>157145.9029453</v>
      </c>
      <c r="AA107">
        <v>3879918.4525607</v>
      </c>
      <c r="AB107">
        <v>656571.259999998</v>
      </c>
      <c r="AC107">
        <v>281249.999999999</v>
      </c>
      <c r="AD107">
        <v>281249.999999999</v>
      </c>
      <c r="AE107">
        <v>0</v>
      </c>
      <c r="AF107">
        <v>112100.16</v>
      </c>
      <c r="AG107">
        <v>8359.37</v>
      </c>
      <c r="AH107">
        <v>103740.79</v>
      </c>
      <c r="AI107">
        <v>6971.1</v>
      </c>
      <c r="AJ107">
        <v>6971.1</v>
      </c>
      <c r="AK107">
        <v>0</v>
      </c>
      <c r="AL107">
        <v>0</v>
      </c>
      <c r="AM107">
        <v>0</v>
      </c>
      <c r="AN107">
        <v>0</v>
      </c>
      <c r="AO107">
        <v>0</v>
      </c>
      <c r="AP107">
        <v>0</v>
      </c>
      <c r="AQ107">
        <v>0</v>
      </c>
      <c r="AR107">
        <v>0</v>
      </c>
      <c r="AS107">
        <v>0</v>
      </c>
      <c r="AT107">
        <v>0</v>
      </c>
      <c r="AU107">
        <v>0</v>
      </c>
      <c r="AV107">
        <v>0</v>
      </c>
      <c r="AW107">
        <v>0</v>
      </c>
      <c r="AX107">
        <v>0</v>
      </c>
      <c r="AY107">
        <v>256249.999999999</v>
      </c>
      <c r="AZ107">
        <v>3223347.1925607</v>
      </c>
      <c r="BA107">
        <v>1120346.05070002</v>
      </c>
      <c r="BB107">
        <v>80178.76</v>
      </c>
      <c r="BC107">
        <v>80178.76</v>
      </c>
      <c r="BD107">
        <v>0</v>
      </c>
      <c r="BE107">
        <v>0</v>
      </c>
      <c r="BF107">
        <v>333007.95066669</v>
      </c>
      <c r="BG107">
        <v>333007.95066669</v>
      </c>
      <c r="BH107">
        <v>0</v>
      </c>
      <c r="BI107">
        <v>0</v>
      </c>
      <c r="BJ107">
        <v>368348</v>
      </c>
      <c r="BK107">
        <v>10982.2584</v>
      </c>
      <c r="BL107">
        <v>10982.2584</v>
      </c>
      <c r="BM107">
        <v>0</v>
      </c>
      <c r="BN107">
        <v>24344.9483</v>
      </c>
      <c r="BO107">
        <v>91182.1333333256</v>
      </c>
      <c r="BP107">
        <v>25333.3333333256</v>
      </c>
      <c r="BQ107">
        <v>0</v>
      </c>
      <c r="BR107">
        <v>0</v>
      </c>
      <c r="BS107">
        <v>65848.8</v>
      </c>
      <c r="BT107">
        <v>212302</v>
      </c>
      <c r="BU107">
        <v>191394</v>
      </c>
      <c r="BV107">
        <v>20908</v>
      </c>
      <c r="BW107">
        <v>0</v>
      </c>
      <c r="BX107">
        <v>0</v>
      </c>
      <c r="BY107">
        <v>0</v>
      </c>
      <c r="BZ107">
        <v>0</v>
      </c>
      <c r="CA107">
        <v>0</v>
      </c>
      <c r="CB107">
        <v>0</v>
      </c>
      <c r="CC107">
        <v>0</v>
      </c>
      <c r="CD107">
        <v>0</v>
      </c>
      <c r="CE107">
        <v>0</v>
      </c>
      <c r="CF107">
        <v>0</v>
      </c>
      <c r="CG107">
        <v>0</v>
      </c>
      <c r="CH107">
        <v>2103001.14186069</v>
      </c>
      <c r="CI107">
        <v>96841</v>
      </c>
      <c r="CJ107">
        <v>0</v>
      </c>
      <c r="CK107">
        <v>4379</v>
      </c>
      <c r="CL107">
        <v>0</v>
      </c>
      <c r="CM107">
        <v>45631</v>
      </c>
      <c r="CN107">
        <v>1185</v>
      </c>
      <c r="CO107">
        <v>45646</v>
      </c>
      <c r="CP107">
        <v>140625</v>
      </c>
      <c r="CQ107">
        <v>3972</v>
      </c>
      <c r="CR107">
        <v>1507</v>
      </c>
      <c r="CS107">
        <v>2465</v>
      </c>
      <c r="CT107">
        <v>0</v>
      </c>
      <c r="CU107">
        <v>0</v>
      </c>
      <c r="CV107">
        <v>0</v>
      </c>
      <c r="CW107">
        <v>0</v>
      </c>
      <c r="CX107">
        <v>0</v>
      </c>
      <c r="CY107">
        <v>100</v>
      </c>
      <c r="CZ107">
        <v>100</v>
      </c>
      <c r="DA107">
        <v>0</v>
      </c>
      <c r="DB107">
        <v>0</v>
      </c>
      <c r="DC107">
        <v>0</v>
      </c>
      <c r="DD107">
        <v>0</v>
      </c>
      <c r="DE107">
        <v>0</v>
      </c>
      <c r="DF107">
        <v>0</v>
      </c>
      <c r="DG107">
        <v>0</v>
      </c>
      <c r="DH107">
        <v>173877</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27790</v>
      </c>
      <c r="EG107">
        <v>0</v>
      </c>
      <c r="EH107">
        <v>3600</v>
      </c>
      <c r="EI107">
        <v>650397</v>
      </c>
      <c r="EJ107">
        <v>0</v>
      </c>
      <c r="EK107">
        <v>0</v>
      </c>
      <c r="EL107">
        <v>0</v>
      </c>
      <c r="EM107">
        <v>0</v>
      </c>
      <c r="EN107">
        <v>0</v>
      </c>
      <c r="EO107">
        <v>9124.5</v>
      </c>
      <c r="EP107">
        <v>0</v>
      </c>
      <c r="EQ107">
        <v>9124.5</v>
      </c>
      <c r="ER107">
        <v>16706.25</v>
      </c>
      <c r="ES107">
        <v>0</v>
      </c>
      <c r="ET107">
        <v>0</v>
      </c>
      <c r="EU107">
        <v>0</v>
      </c>
      <c r="EV107">
        <v>62.4999999999999</v>
      </c>
      <c r="EW107">
        <v>0</v>
      </c>
      <c r="EX107">
        <v>0</v>
      </c>
      <c r="EY107">
        <v>62.4999999999999</v>
      </c>
      <c r="EZ107">
        <v>0</v>
      </c>
      <c r="FA107">
        <v>0</v>
      </c>
      <c r="FB107">
        <v>0</v>
      </c>
      <c r="FC107">
        <v>0</v>
      </c>
      <c r="FD107">
        <v>0</v>
      </c>
      <c r="FE107">
        <v>0</v>
      </c>
      <c r="FF107">
        <v>0</v>
      </c>
      <c r="FG107">
        <v>0</v>
      </c>
      <c r="FH107">
        <v>0</v>
      </c>
      <c r="FI107">
        <v>854756.89684</v>
      </c>
      <c r="FJ107">
        <v>0</v>
      </c>
      <c r="FK107">
        <v>0</v>
      </c>
      <c r="FL107">
        <v>0</v>
      </c>
      <c r="FM107">
        <v>0</v>
      </c>
      <c r="FN107">
        <v>0</v>
      </c>
      <c r="FO107">
        <v>0</v>
      </c>
      <c r="FP107">
        <v>0</v>
      </c>
      <c r="FQ107">
        <v>0</v>
      </c>
      <c r="FR107">
        <v>0</v>
      </c>
      <c r="FS107">
        <v>0</v>
      </c>
      <c r="FT107">
        <v>32296.514844048</v>
      </c>
      <c r="FU107">
        <v>80741.28711012</v>
      </c>
      <c r="FV107">
        <v>12111.193066518</v>
      </c>
      <c r="FY107">
        <v>4037064.355506</v>
      </c>
      <c r="FZ107">
        <v>3879918.4525607</v>
      </c>
      <c r="GA107">
        <v>656571.259999998</v>
      </c>
      <c r="GB107">
        <v>3223347.1925607</v>
      </c>
      <c r="GC107">
        <v>813717.162945298</v>
      </c>
      <c r="GD107">
        <v>0.201561603008756</v>
      </c>
      <c r="GE107">
        <v>157145.9029453</v>
      </c>
      <c r="GF107">
        <v>0.0389257859441786</v>
      </c>
      <c r="GJ107">
        <v>46041.5416666667</v>
      </c>
      <c r="GL107">
        <v>46044.4583333333</v>
      </c>
      <c r="GO107">
        <v>46048.0833333333</v>
      </c>
      <c r="GR107" t="s">
        <v>802</v>
      </c>
      <c r="GU107" t="s">
        <v>802</v>
      </c>
      <c r="HA107">
        <v>46055.5208333333</v>
      </c>
      <c r="HB107">
        <v>46060.2916666667</v>
      </c>
      <c r="HF107">
        <v>33</v>
      </c>
      <c r="HG107">
        <v>15</v>
      </c>
      <c r="HH107">
        <v>3</v>
      </c>
      <c r="HI107">
        <v>15</v>
      </c>
      <c r="HL107">
        <v>94</v>
      </c>
      <c r="HM107">
        <v>34.5</v>
      </c>
      <c r="HN107">
        <v>28.5</v>
      </c>
      <c r="HO107">
        <v>13.5</v>
      </c>
      <c r="HP107">
        <v>0</v>
      </c>
      <c r="HQ107">
        <v>16</v>
      </c>
      <c r="HR107">
        <v>146</v>
      </c>
      <c r="HS107">
        <v>23</v>
      </c>
    </row>
    <row r="108" spans="1:229">
      <c r="A108" s="1">
        <f t="shared" si="1"/>
        <v>107</v>
      </c>
      <c r="B108">
        <v>2026</v>
      </c>
      <c r="C108" t="s">
        <v>703</v>
      </c>
      <c r="D108" t="s">
        <v>27</v>
      </c>
      <c r="E108" s="13">
        <v>70152</v>
      </c>
      <c r="F108" t="s">
        <v>811</v>
      </c>
      <c r="G108" t="s">
        <v>28</v>
      </c>
      <c r="H108" t="s">
        <v>692</v>
      </c>
      <c r="I108" t="s">
        <v>401</v>
      </c>
      <c r="J108" t="s">
        <v>324</v>
      </c>
      <c r="K108" t="s">
        <v>31</v>
      </c>
      <c r="L108" t="s">
        <v>32</v>
      </c>
      <c r="M108">
        <v>3</v>
      </c>
      <c r="N108">
        <v>3793</v>
      </c>
      <c r="O108" s="3">
        <v>3853</v>
      </c>
      <c r="P108" s="4">
        <v>1.625</v>
      </c>
      <c r="Q108"/>
      <c r="R108" s="4">
        <v>16.0416666667006</v>
      </c>
      <c r="S108" s="4">
        <v>5.89583333329938</v>
      </c>
      <c r="T108" s="4">
        <v>21.9375</v>
      </c>
      <c r="U108" s="4">
        <v>23.5625</v>
      </c>
      <c r="V108"/>
      <c r="W108" s="4">
        <v>0.73125</v>
      </c>
      <c r="X108" s="4">
        <v>0.785416666666667</v>
      </c>
      <c r="Y108">
        <v>9970833.4125</v>
      </c>
      <c r="Z108">
        <v>3809494.07592647</v>
      </c>
      <c r="AA108">
        <v>6161339.33657353</v>
      </c>
      <c r="AB108">
        <v>601789.496666666</v>
      </c>
      <c r="AC108">
        <v>274895.833333333</v>
      </c>
      <c r="AD108">
        <v>274895.833333333</v>
      </c>
      <c r="AE108">
        <v>0</v>
      </c>
      <c r="AF108">
        <v>1537.78</v>
      </c>
      <c r="AG108">
        <v>1537.78</v>
      </c>
      <c r="AH108">
        <v>0</v>
      </c>
      <c r="AI108">
        <v>3335.05</v>
      </c>
      <c r="AJ108">
        <v>0</v>
      </c>
      <c r="AK108">
        <v>0</v>
      </c>
      <c r="AL108">
        <v>3335.05</v>
      </c>
      <c r="AM108">
        <v>0</v>
      </c>
      <c r="AN108">
        <v>0</v>
      </c>
      <c r="AO108">
        <v>0</v>
      </c>
      <c r="AP108">
        <v>0</v>
      </c>
      <c r="AQ108">
        <v>0</v>
      </c>
      <c r="AR108">
        <v>0</v>
      </c>
      <c r="AS108">
        <v>0</v>
      </c>
      <c r="AT108">
        <v>0</v>
      </c>
      <c r="AU108">
        <v>0</v>
      </c>
      <c r="AV108">
        <v>0</v>
      </c>
      <c r="AW108">
        <v>0</v>
      </c>
      <c r="AX108">
        <v>0</v>
      </c>
      <c r="AY108">
        <v>322020.833333333</v>
      </c>
      <c r="AZ108">
        <v>5559549.83990687</v>
      </c>
      <c r="BA108">
        <v>2100966.4547427</v>
      </c>
      <c r="BB108">
        <v>41048.67</v>
      </c>
      <c r="BC108">
        <v>41048.67</v>
      </c>
      <c r="BD108">
        <v>0</v>
      </c>
      <c r="BE108">
        <v>0</v>
      </c>
      <c r="BF108">
        <v>1281715.23018518</v>
      </c>
      <c r="BG108">
        <v>1281715.23018518</v>
      </c>
      <c r="BH108">
        <v>0</v>
      </c>
      <c r="BI108">
        <v>8590.525</v>
      </c>
      <c r="BJ108">
        <v>0</v>
      </c>
      <c r="BK108">
        <v>311893.36</v>
      </c>
      <c r="BL108">
        <v>311893.36</v>
      </c>
      <c r="BM108">
        <v>0</v>
      </c>
      <c r="BN108">
        <v>9218.06955752212</v>
      </c>
      <c r="BO108">
        <v>168580</v>
      </c>
      <c r="BP108">
        <v>35100</v>
      </c>
      <c r="BQ108">
        <v>0</v>
      </c>
      <c r="BR108">
        <v>0</v>
      </c>
      <c r="BS108">
        <v>133480</v>
      </c>
      <c r="BT108">
        <v>279920.6</v>
      </c>
      <c r="BU108">
        <v>242739</v>
      </c>
      <c r="BV108">
        <v>37181.6</v>
      </c>
      <c r="BW108">
        <v>0</v>
      </c>
      <c r="BX108">
        <v>0</v>
      </c>
      <c r="BY108">
        <v>0</v>
      </c>
      <c r="BZ108">
        <v>0</v>
      </c>
      <c r="CA108">
        <v>0</v>
      </c>
      <c r="CB108">
        <v>0</v>
      </c>
      <c r="CC108">
        <v>0</v>
      </c>
      <c r="CD108">
        <v>0</v>
      </c>
      <c r="CE108">
        <v>0</v>
      </c>
      <c r="CF108">
        <v>0</v>
      </c>
      <c r="CG108">
        <v>0</v>
      </c>
      <c r="CH108">
        <v>3458583.38516417</v>
      </c>
      <c r="CI108">
        <v>85098</v>
      </c>
      <c r="CJ108">
        <v>0</v>
      </c>
      <c r="CK108">
        <v>11703</v>
      </c>
      <c r="CL108">
        <v>0</v>
      </c>
      <c r="CM108">
        <v>29280</v>
      </c>
      <c r="CN108">
        <v>20145</v>
      </c>
      <c r="CO108">
        <v>23970</v>
      </c>
      <c r="CP108">
        <v>270968.75</v>
      </c>
      <c r="CQ108">
        <v>7312</v>
      </c>
      <c r="CR108">
        <v>1237</v>
      </c>
      <c r="CS108">
        <v>6075</v>
      </c>
      <c r="CT108">
        <v>0</v>
      </c>
      <c r="CU108">
        <v>0</v>
      </c>
      <c r="CV108">
        <v>0</v>
      </c>
      <c r="CW108">
        <v>0</v>
      </c>
      <c r="CX108">
        <v>0</v>
      </c>
      <c r="CY108">
        <v>0</v>
      </c>
      <c r="CZ108">
        <v>0</v>
      </c>
      <c r="DA108">
        <v>0</v>
      </c>
      <c r="DB108">
        <v>0</v>
      </c>
      <c r="DC108">
        <v>0</v>
      </c>
      <c r="DD108">
        <v>0</v>
      </c>
      <c r="DE108">
        <v>0</v>
      </c>
      <c r="DF108">
        <v>0</v>
      </c>
      <c r="DG108">
        <v>0</v>
      </c>
      <c r="DH108">
        <v>40650</v>
      </c>
      <c r="DI108">
        <v>49115</v>
      </c>
      <c r="DJ108">
        <v>0</v>
      </c>
      <c r="DK108">
        <v>49115</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51924</v>
      </c>
      <c r="EG108">
        <v>0</v>
      </c>
      <c r="EH108">
        <v>6300</v>
      </c>
      <c r="EI108">
        <v>1055330</v>
      </c>
      <c r="EJ108">
        <v>0</v>
      </c>
      <c r="EK108">
        <v>0</v>
      </c>
      <c r="EL108">
        <v>0</v>
      </c>
      <c r="EM108">
        <v>0</v>
      </c>
      <c r="EN108">
        <v>0</v>
      </c>
      <c r="EO108">
        <v>0</v>
      </c>
      <c r="EP108">
        <v>0</v>
      </c>
      <c r="EQ108">
        <v>0</v>
      </c>
      <c r="ER108">
        <v>23538.9375</v>
      </c>
      <c r="ES108">
        <v>0</v>
      </c>
      <c r="ET108">
        <v>0</v>
      </c>
      <c r="EU108">
        <v>18600</v>
      </c>
      <c r="EV108">
        <v>78.5416666666667</v>
      </c>
      <c r="EW108">
        <v>0</v>
      </c>
      <c r="EX108">
        <v>0</v>
      </c>
      <c r="EY108">
        <v>78.5416666666667</v>
      </c>
      <c r="EZ108">
        <v>0</v>
      </c>
      <c r="FA108">
        <v>0</v>
      </c>
      <c r="FB108">
        <v>0</v>
      </c>
      <c r="FC108">
        <v>0</v>
      </c>
      <c r="FD108">
        <v>0</v>
      </c>
      <c r="FE108">
        <v>0</v>
      </c>
      <c r="FF108">
        <v>0</v>
      </c>
      <c r="FG108">
        <v>0</v>
      </c>
      <c r="FH108">
        <v>0</v>
      </c>
      <c r="FI108">
        <v>1540572.32021</v>
      </c>
      <c r="FJ108">
        <v>0</v>
      </c>
      <c r="FK108">
        <v>0</v>
      </c>
      <c r="FL108">
        <v>0</v>
      </c>
      <c r="FM108">
        <v>0</v>
      </c>
      <c r="FN108">
        <v>0</v>
      </c>
      <c r="FO108">
        <v>0</v>
      </c>
      <c r="FP108">
        <v>0</v>
      </c>
      <c r="FQ108">
        <v>0</v>
      </c>
      <c r="FR108">
        <v>0</v>
      </c>
      <c r="FS108">
        <v>0</v>
      </c>
      <c r="FT108">
        <v>79766.6673</v>
      </c>
      <c r="FU108">
        <v>199416.66825</v>
      </c>
      <c r="FV108">
        <v>29912.5002375</v>
      </c>
      <c r="FY108">
        <v>9970833.4125</v>
      </c>
      <c r="FZ108">
        <v>6161339.33657353</v>
      </c>
      <c r="GA108">
        <v>601789.496666666</v>
      </c>
      <c r="GB108">
        <v>5559549.83990687</v>
      </c>
      <c r="GC108">
        <v>4411283.57259313</v>
      </c>
      <c r="GD108">
        <v>0.442418741753613</v>
      </c>
      <c r="GE108">
        <v>3809494.07592647</v>
      </c>
      <c r="GF108">
        <v>0.382063757193122</v>
      </c>
      <c r="GJ108">
        <v>46055.375</v>
      </c>
      <c r="GL108">
        <v>46057</v>
      </c>
      <c r="GO108">
        <v>46059.9166666667</v>
      </c>
      <c r="GR108">
        <v>46068.1666666667</v>
      </c>
      <c r="GU108" t="s">
        <v>802</v>
      </c>
      <c r="HA108">
        <v>46073.0416666667</v>
      </c>
      <c r="HB108">
        <v>46078.9375</v>
      </c>
      <c r="HF108">
        <v>37</v>
      </c>
      <c r="HG108">
        <v>12</v>
      </c>
      <c r="HH108">
        <v>2</v>
      </c>
      <c r="HI108">
        <v>23</v>
      </c>
      <c r="HL108">
        <v>107</v>
      </c>
      <c r="HM108">
        <v>27.5</v>
      </c>
      <c r="HN108">
        <v>24</v>
      </c>
      <c r="HO108">
        <v>47.5</v>
      </c>
      <c r="HP108">
        <v>0</v>
      </c>
      <c r="HQ108">
        <v>20.5</v>
      </c>
      <c r="HR108">
        <v>239</v>
      </c>
      <c r="HS108">
        <v>0</v>
      </c>
    </row>
    <row r="109" spans="1:229">
      <c r="A109" s="1">
        <f t="shared" si="1"/>
        <v>108</v>
      </c>
      <c r="B109">
        <v>2026</v>
      </c>
      <c r="C109" t="s">
        <v>703</v>
      </c>
      <c r="D109" t="s">
        <v>27</v>
      </c>
      <c r="E109" s="13">
        <v>70315</v>
      </c>
      <c r="F109" t="s">
        <v>736</v>
      </c>
      <c r="G109" t="s">
        <v>36</v>
      </c>
      <c r="H109" t="s">
        <v>711</v>
      </c>
      <c r="I109" t="s">
        <v>402</v>
      </c>
      <c r="J109" t="s">
        <v>327</v>
      </c>
      <c r="K109" t="s">
        <v>31</v>
      </c>
      <c r="L109" t="s">
        <v>32</v>
      </c>
      <c r="M109">
        <v>3</v>
      </c>
      <c r="N109">
        <v>4836</v>
      </c>
      <c r="O109" s="3">
        <v>4897</v>
      </c>
      <c r="P109" s="4">
        <v>1.5</v>
      </c>
      <c r="Q109"/>
      <c r="R109" s="4">
        <v>27.5833333333285</v>
      </c>
      <c r="S109" s="4">
        <v>3.89583333329938</v>
      </c>
      <c r="T109" s="4">
        <v>31.4791666666642</v>
      </c>
      <c r="U109" s="4">
        <v>32.9791666666642</v>
      </c>
      <c r="V109"/>
      <c r="W109" s="4">
        <v>1.04930555555547</v>
      </c>
      <c r="X109" s="4">
        <v>1.09930555555547</v>
      </c>
      <c r="Y109">
        <v>12953405.1672</v>
      </c>
      <c r="Z109">
        <v>1760760.6963124</v>
      </c>
      <c r="AA109">
        <v>11192644.4708876</v>
      </c>
      <c r="AB109">
        <v>1205981.75222216</v>
      </c>
      <c r="AC109">
        <v>384756.944444416</v>
      </c>
      <c r="AD109">
        <v>384756.944444416</v>
      </c>
      <c r="AE109">
        <v>0</v>
      </c>
      <c r="AF109">
        <v>370509.53</v>
      </c>
      <c r="AG109">
        <v>223387.7</v>
      </c>
      <c r="AH109">
        <v>147121.83</v>
      </c>
      <c r="AI109">
        <v>0</v>
      </c>
      <c r="AJ109">
        <v>0</v>
      </c>
      <c r="AK109">
        <v>0</v>
      </c>
      <c r="AL109">
        <v>0</v>
      </c>
      <c r="AM109">
        <v>0</v>
      </c>
      <c r="AN109">
        <v>0</v>
      </c>
      <c r="AO109">
        <v>0</v>
      </c>
      <c r="AP109">
        <v>0</v>
      </c>
      <c r="AQ109">
        <v>0</v>
      </c>
      <c r="AR109">
        <v>0</v>
      </c>
      <c r="AS109">
        <v>0</v>
      </c>
      <c r="AT109">
        <v>0</v>
      </c>
      <c r="AU109">
        <v>0</v>
      </c>
      <c r="AV109">
        <v>0</v>
      </c>
      <c r="AW109">
        <v>0</v>
      </c>
      <c r="AX109">
        <v>0</v>
      </c>
      <c r="AY109">
        <v>450715.277777744</v>
      </c>
      <c r="AZ109">
        <v>9986662.71866539</v>
      </c>
      <c r="BA109">
        <v>3466919.03786666</v>
      </c>
      <c r="BB109">
        <v>246759.4664</v>
      </c>
      <c r="BC109">
        <v>246759.4664</v>
      </c>
      <c r="BD109">
        <v>0</v>
      </c>
      <c r="BE109">
        <v>0</v>
      </c>
      <c r="BF109">
        <v>1566450.234</v>
      </c>
      <c r="BG109">
        <v>1566450.234</v>
      </c>
      <c r="BH109">
        <v>0</v>
      </c>
      <c r="BI109">
        <v>0</v>
      </c>
      <c r="BJ109">
        <v>166853.57</v>
      </c>
      <c r="BK109">
        <v>220931.8408</v>
      </c>
      <c r="BL109">
        <v>220931.8408</v>
      </c>
      <c r="BM109">
        <v>0</v>
      </c>
      <c r="BN109">
        <v>441221.16</v>
      </c>
      <c r="BO109">
        <v>256046.766666663</v>
      </c>
      <c r="BP109">
        <v>50366.6666666628</v>
      </c>
      <c r="BQ109">
        <v>0</v>
      </c>
      <c r="BR109">
        <v>0</v>
      </c>
      <c r="BS109">
        <v>205680.1</v>
      </c>
      <c r="BT109">
        <v>568656</v>
      </c>
      <c r="BU109">
        <v>509288</v>
      </c>
      <c r="BV109">
        <v>59368</v>
      </c>
      <c r="BW109">
        <v>0</v>
      </c>
      <c r="BX109">
        <v>0</v>
      </c>
      <c r="BY109">
        <v>3069</v>
      </c>
      <c r="BZ109">
        <v>3069</v>
      </c>
      <c r="CA109">
        <v>3069</v>
      </c>
      <c r="CB109">
        <v>0</v>
      </c>
      <c r="CC109">
        <v>0</v>
      </c>
      <c r="CD109">
        <v>0</v>
      </c>
      <c r="CE109">
        <v>0</v>
      </c>
      <c r="CF109">
        <v>0</v>
      </c>
      <c r="CG109">
        <v>0</v>
      </c>
      <c r="CH109">
        <v>6516674.68079873</v>
      </c>
      <c r="CI109">
        <v>385480</v>
      </c>
      <c r="CJ109">
        <v>0</v>
      </c>
      <c r="CK109">
        <v>3785</v>
      </c>
      <c r="CL109">
        <v>0</v>
      </c>
      <c r="CM109">
        <v>219557</v>
      </c>
      <c r="CN109">
        <v>32157</v>
      </c>
      <c r="CO109">
        <v>129981</v>
      </c>
      <c r="CP109">
        <v>296812.499999978</v>
      </c>
      <c r="CQ109">
        <v>3219</v>
      </c>
      <c r="CR109">
        <v>753</v>
      </c>
      <c r="CS109">
        <v>2466</v>
      </c>
      <c r="CT109">
        <v>0</v>
      </c>
      <c r="CU109">
        <v>0</v>
      </c>
      <c r="CV109">
        <v>0</v>
      </c>
      <c r="CW109">
        <v>0</v>
      </c>
      <c r="CX109">
        <v>0</v>
      </c>
      <c r="CY109">
        <v>19340</v>
      </c>
      <c r="CZ109">
        <v>19340</v>
      </c>
      <c r="DA109">
        <v>0</v>
      </c>
      <c r="DB109">
        <v>0</v>
      </c>
      <c r="DC109">
        <v>0</v>
      </c>
      <c r="DD109">
        <v>0</v>
      </c>
      <c r="DE109">
        <v>0</v>
      </c>
      <c r="DF109">
        <v>0</v>
      </c>
      <c r="DG109">
        <v>0</v>
      </c>
      <c r="DH109">
        <v>840294.3615</v>
      </c>
      <c r="DI109">
        <v>86070</v>
      </c>
      <c r="DJ109">
        <v>0</v>
      </c>
      <c r="DK109">
        <v>86070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71475</v>
      </c>
      <c r="EG109">
        <v>0</v>
      </c>
      <c r="EH109">
        <v>227077.98</v>
      </c>
      <c r="EI109">
        <v>1626714</v>
      </c>
      <c r="EJ109">
        <v>0</v>
      </c>
      <c r="EK109">
        <v>0</v>
      </c>
      <c r="EL109">
        <v>0</v>
      </c>
      <c r="EM109">
        <v>0</v>
      </c>
      <c r="EN109">
        <v>0</v>
      </c>
      <c r="EO109">
        <v>19663.1</v>
      </c>
      <c r="EP109">
        <v>0</v>
      </c>
      <c r="EQ109">
        <v>19663.1</v>
      </c>
      <c r="ER109">
        <v>28493.9999999979</v>
      </c>
      <c r="ES109">
        <v>0</v>
      </c>
      <c r="ET109">
        <v>0</v>
      </c>
      <c r="EU109">
        <v>1980</v>
      </c>
      <c r="EV109">
        <v>109.930555555547</v>
      </c>
      <c r="EW109">
        <v>0</v>
      </c>
      <c r="EX109">
        <v>0</v>
      </c>
      <c r="EY109">
        <v>109.930555555547</v>
      </c>
      <c r="EZ109">
        <v>0</v>
      </c>
      <c r="FA109">
        <v>0</v>
      </c>
      <c r="FB109">
        <v>0</v>
      </c>
      <c r="FC109">
        <v>0</v>
      </c>
      <c r="FD109">
        <v>0</v>
      </c>
      <c r="FE109">
        <v>0</v>
      </c>
      <c r="FF109">
        <v>0</v>
      </c>
      <c r="FG109">
        <v>0</v>
      </c>
      <c r="FH109">
        <v>0</v>
      </c>
      <c r="FI109">
        <v>2494326.54856</v>
      </c>
      <c r="FJ109">
        <v>0</v>
      </c>
      <c r="FK109">
        <v>0</v>
      </c>
      <c r="FL109">
        <v>0</v>
      </c>
      <c r="FM109">
        <v>14062.7</v>
      </c>
      <c r="FN109">
        <v>0</v>
      </c>
      <c r="FO109">
        <v>0</v>
      </c>
      <c r="FP109">
        <v>14062.7</v>
      </c>
      <c r="FQ109">
        <v>0</v>
      </c>
      <c r="FR109">
        <v>0</v>
      </c>
      <c r="FS109">
        <v>0</v>
      </c>
      <c r="FT109">
        <v>103627.2413376</v>
      </c>
      <c r="FU109">
        <v>259068.103344</v>
      </c>
      <c r="FV109">
        <v>38860.2155016</v>
      </c>
      <c r="FY109">
        <v>12953405.1672</v>
      </c>
      <c r="FZ109">
        <v>11192644.4708876</v>
      </c>
      <c r="GA109">
        <v>1205981.75222216</v>
      </c>
      <c r="GB109">
        <v>9986662.71866539</v>
      </c>
      <c r="GC109">
        <v>2966742.4485346</v>
      </c>
      <c r="GD109">
        <v>0.229031857665261</v>
      </c>
      <c r="GE109">
        <v>1760760.69631244</v>
      </c>
      <c r="GF109">
        <v>0.135930334424415</v>
      </c>
      <c r="GJ109">
        <v>45989.3333333333</v>
      </c>
      <c r="GL109">
        <v>45990.8333333333</v>
      </c>
      <c r="GO109">
        <v>45997.3333333333</v>
      </c>
      <c r="GQ109">
        <v>46008.7916666667</v>
      </c>
      <c r="GR109">
        <v>46053.5416666667</v>
      </c>
      <c r="GU109" t="s">
        <v>802</v>
      </c>
      <c r="HA109">
        <v>46063.1666666667</v>
      </c>
      <c r="HB109">
        <v>46067.0625</v>
      </c>
      <c r="HF109">
        <v>32</v>
      </c>
      <c r="HG109">
        <v>13</v>
      </c>
      <c r="HH109">
        <v>1</v>
      </c>
      <c r="HI109">
        <v>18</v>
      </c>
      <c r="HL109">
        <v>229</v>
      </c>
      <c r="HM109">
        <v>81.5</v>
      </c>
      <c r="HN109">
        <v>59.5</v>
      </c>
      <c r="HO109">
        <v>39.5</v>
      </c>
      <c r="HP109">
        <v>0</v>
      </c>
      <c r="HQ109">
        <v>58</v>
      </c>
      <c r="HR109">
        <v>172.5</v>
      </c>
      <c r="HS109">
        <v>66.5</v>
      </c>
    </row>
    <row r="110" s="5" customFormat="1" spans="1:229">
      <c r="A110" s="1">
        <f t="shared" si="1"/>
        <v>109</v>
      </c>
      <c r="B110" s="1">
        <v>2026</v>
      </c>
      <c r="C110" s="1" t="s">
        <v>33</v>
      </c>
      <c r="D110" s="1" t="s">
        <v>27</v>
      </c>
      <c r="E110" s="14">
        <v>70111</v>
      </c>
      <c r="F110" s="1" t="s">
        <v>790</v>
      </c>
      <c r="G110" s="1" t="s">
        <v>28</v>
      </c>
      <c r="H110" s="1" t="s">
        <v>692</v>
      </c>
      <c r="I110" s="1" t="s">
        <v>403</v>
      </c>
      <c r="J110" t="s">
        <v>827</v>
      </c>
      <c r="K110" s="5" t="s">
        <v>31</v>
      </c>
      <c r="L110" s="5" t="s">
        <v>38</v>
      </c>
      <c r="M110" s="6">
        <v>4</v>
      </c>
      <c r="N110" s="5">
        <v>4715</v>
      </c>
      <c r="O110" s="7">
        <v>4695</v>
      </c>
      <c r="P110" s="8">
        <v>19.1875</v>
      </c>
      <c r="Q110" s="8"/>
      <c r="R110" s="8">
        <v>93.5625</v>
      </c>
      <c r="S110" s="8">
        <v>17.5</v>
      </c>
      <c r="T110" s="8">
        <v>111.0625</v>
      </c>
      <c r="U110" s="8">
        <v>130.25</v>
      </c>
      <c r="V110" s="8"/>
      <c r="W110" s="8">
        <v>3.70208333333333</v>
      </c>
      <c r="X110" s="8">
        <v>4.34166666666667</v>
      </c>
      <c r="Y110" s="7">
        <v>23477952.49</v>
      </c>
      <c r="Z110" s="5">
        <v>6835456.8252916</v>
      </c>
      <c r="AA110" s="5">
        <v>16642495.6647084</v>
      </c>
      <c r="AB110" s="5">
        <v>3983933.04333333</v>
      </c>
      <c r="AC110" s="5">
        <v>1628125</v>
      </c>
      <c r="AD110" s="5">
        <v>1628125</v>
      </c>
      <c r="AE110" s="5">
        <v>0</v>
      </c>
      <c r="AF110" s="5">
        <v>562294.42</v>
      </c>
      <c r="AG110" s="5">
        <v>0</v>
      </c>
      <c r="AH110" s="5">
        <v>562294.42</v>
      </c>
      <c r="AI110" s="5">
        <v>13430.29</v>
      </c>
      <c r="AJ110" s="5">
        <v>13430.29</v>
      </c>
      <c r="AK110" s="5">
        <v>0</v>
      </c>
      <c r="AL110" s="5">
        <v>0</v>
      </c>
      <c r="AM110" s="5">
        <v>0</v>
      </c>
      <c r="AN110" s="5">
        <v>0</v>
      </c>
      <c r="AO110" s="5">
        <v>0</v>
      </c>
      <c r="AP110" s="5">
        <v>0</v>
      </c>
      <c r="AQ110" s="5">
        <v>0</v>
      </c>
      <c r="AR110" s="5">
        <v>0</v>
      </c>
      <c r="AS110" s="5">
        <v>0</v>
      </c>
      <c r="AT110" s="5">
        <v>0</v>
      </c>
      <c r="AU110" s="5">
        <v>0</v>
      </c>
      <c r="AV110" s="5">
        <v>0</v>
      </c>
      <c r="AW110" s="5">
        <v>0</v>
      </c>
      <c r="AX110" s="5">
        <v>0</v>
      </c>
      <c r="AY110" s="5">
        <v>1780083.33333333</v>
      </c>
      <c r="AZ110" s="5">
        <v>12658562.6213751</v>
      </c>
      <c r="BA110" s="5">
        <v>4753761.56570665</v>
      </c>
      <c r="BB110" s="5">
        <v>27012.3908</v>
      </c>
      <c r="BC110" s="5">
        <v>27012.3908</v>
      </c>
      <c r="BD110" s="5">
        <v>0</v>
      </c>
      <c r="BE110" s="5">
        <v>0</v>
      </c>
      <c r="BF110" s="5">
        <v>2436835.86516665</v>
      </c>
      <c r="BG110" s="5">
        <v>2436835.86516665</v>
      </c>
      <c r="BH110" s="5">
        <v>0</v>
      </c>
      <c r="BI110" s="5">
        <v>28614.9066</v>
      </c>
      <c r="BJ110" s="5">
        <v>53064</v>
      </c>
      <c r="BK110" s="5">
        <v>827837.22</v>
      </c>
      <c r="BL110" s="5">
        <v>827837.22</v>
      </c>
      <c r="BM110" s="5">
        <v>0</v>
      </c>
      <c r="BN110" s="5">
        <v>325535.09314</v>
      </c>
      <c r="BO110" s="5">
        <v>378367.69</v>
      </c>
      <c r="BP110" s="5">
        <v>177700</v>
      </c>
      <c r="BQ110" s="5">
        <v>0</v>
      </c>
      <c r="BR110" s="5">
        <v>0</v>
      </c>
      <c r="BS110" s="5">
        <v>200667.69</v>
      </c>
      <c r="BT110" s="5">
        <v>676494.4</v>
      </c>
      <c r="BU110" s="5">
        <v>488280</v>
      </c>
      <c r="BV110" s="5">
        <v>188214.4</v>
      </c>
      <c r="BW110" s="5">
        <v>0</v>
      </c>
      <c r="BX110" s="5">
        <v>0</v>
      </c>
      <c r="BY110" s="5">
        <v>50163.9281415929</v>
      </c>
      <c r="BZ110" s="5">
        <v>50163.9281415929</v>
      </c>
      <c r="CA110" s="5">
        <v>50163.9281415929</v>
      </c>
      <c r="CB110" s="5">
        <v>0</v>
      </c>
      <c r="CC110" s="5">
        <v>0</v>
      </c>
      <c r="CD110" s="5">
        <v>0</v>
      </c>
      <c r="CE110" s="5">
        <v>0</v>
      </c>
      <c r="CF110" s="5">
        <v>0</v>
      </c>
      <c r="CG110" s="5">
        <v>0</v>
      </c>
      <c r="CH110" s="5">
        <v>7854637.12752687</v>
      </c>
      <c r="CI110" s="5">
        <v>647469</v>
      </c>
      <c r="CJ110" s="5">
        <v>0</v>
      </c>
      <c r="CK110" s="5">
        <v>0</v>
      </c>
      <c r="CL110" s="5">
        <v>344691</v>
      </c>
      <c r="CM110" s="5">
        <v>117870</v>
      </c>
      <c r="CN110" s="5">
        <v>3564</v>
      </c>
      <c r="CO110" s="5">
        <v>181344</v>
      </c>
      <c r="CP110" s="5">
        <v>1302500</v>
      </c>
      <c r="CQ110" s="5">
        <v>13985.7</v>
      </c>
      <c r="CR110" s="5">
        <v>2334.8</v>
      </c>
      <c r="CS110" s="5">
        <v>11650.9</v>
      </c>
      <c r="CT110" s="5">
        <v>0</v>
      </c>
      <c r="CU110" s="5">
        <v>0</v>
      </c>
      <c r="CV110" s="5">
        <v>0</v>
      </c>
      <c r="CW110" s="5">
        <v>0</v>
      </c>
      <c r="CX110" s="5">
        <v>0</v>
      </c>
      <c r="CY110" s="5">
        <v>36826</v>
      </c>
      <c r="CZ110" s="5">
        <v>34415</v>
      </c>
      <c r="DA110" s="5">
        <v>0</v>
      </c>
      <c r="DB110" s="5">
        <v>1700</v>
      </c>
      <c r="DC110" s="5">
        <v>220</v>
      </c>
      <c r="DD110" s="5">
        <v>0</v>
      </c>
      <c r="DE110" s="5">
        <v>0</v>
      </c>
      <c r="DF110" s="5">
        <v>491</v>
      </c>
      <c r="DG110" s="5">
        <v>0</v>
      </c>
      <c r="DH110" s="7">
        <v>0</v>
      </c>
      <c r="DI110" s="5">
        <v>333022.5</v>
      </c>
      <c r="DJ110" s="5">
        <v>0</v>
      </c>
      <c r="DK110" s="5">
        <v>0</v>
      </c>
      <c r="DL110" s="5">
        <v>0</v>
      </c>
      <c r="DM110" s="5">
        <v>0</v>
      </c>
      <c r="DN110" s="5">
        <v>0</v>
      </c>
      <c r="DO110" s="5">
        <v>0</v>
      </c>
      <c r="DP110" s="5">
        <v>333022.5</v>
      </c>
      <c r="DQ110" s="5">
        <v>230060</v>
      </c>
      <c r="DR110" s="5">
        <v>0</v>
      </c>
      <c r="DS110" s="5">
        <v>0</v>
      </c>
      <c r="DT110" s="5">
        <v>132060</v>
      </c>
      <c r="DU110" s="5">
        <v>0</v>
      </c>
      <c r="DV110" s="5">
        <v>0</v>
      </c>
      <c r="DW110" s="5">
        <v>0</v>
      </c>
      <c r="DX110" s="5">
        <v>0</v>
      </c>
      <c r="DY110" s="5">
        <v>98000</v>
      </c>
      <c r="DZ110" s="5">
        <v>650000</v>
      </c>
      <c r="EA110" s="5">
        <v>0</v>
      </c>
      <c r="EB110" s="5">
        <v>0</v>
      </c>
      <c r="EC110" s="5">
        <v>0</v>
      </c>
      <c r="ED110" s="5">
        <v>0</v>
      </c>
      <c r="EE110" s="5">
        <v>650000</v>
      </c>
      <c r="EF110" s="5">
        <v>72717</v>
      </c>
      <c r="EG110" s="5">
        <v>0</v>
      </c>
      <c r="EH110" s="5">
        <v>15000</v>
      </c>
      <c r="EI110" s="5">
        <v>821612.12169</v>
      </c>
      <c r="EJ110" s="5">
        <v>0</v>
      </c>
      <c r="EK110" s="5">
        <v>0</v>
      </c>
      <c r="EL110" s="5">
        <v>0</v>
      </c>
      <c r="EM110" s="5">
        <v>0</v>
      </c>
      <c r="EN110" s="5">
        <v>0</v>
      </c>
      <c r="EO110" s="5">
        <v>358781</v>
      </c>
      <c r="EP110" s="5">
        <v>358781</v>
      </c>
      <c r="EQ110" s="5">
        <v>0</v>
      </c>
      <c r="ER110" s="5">
        <v>123086.25</v>
      </c>
      <c r="ES110" s="5">
        <v>0</v>
      </c>
      <c r="ET110" s="5">
        <v>0</v>
      </c>
      <c r="EU110" s="5">
        <v>6960</v>
      </c>
      <c r="EV110" s="8">
        <v>434.166666666667</v>
      </c>
      <c r="EW110" s="5">
        <v>0</v>
      </c>
      <c r="EX110" s="5">
        <v>0</v>
      </c>
      <c r="EY110" s="8">
        <v>434.166666666667</v>
      </c>
      <c r="EZ110" s="5">
        <v>0</v>
      </c>
      <c r="FA110" s="5">
        <v>0</v>
      </c>
      <c r="FB110" s="5">
        <v>0</v>
      </c>
      <c r="FC110" s="5">
        <v>0</v>
      </c>
      <c r="FD110" s="5">
        <v>0</v>
      </c>
      <c r="FE110" s="5">
        <v>0</v>
      </c>
      <c r="FF110" s="5">
        <v>0</v>
      </c>
      <c r="FG110" s="5">
        <v>0</v>
      </c>
      <c r="FH110" s="5">
        <v>0</v>
      </c>
      <c r="FI110" s="8">
        <v>2509652.57</v>
      </c>
      <c r="FJ110" s="5">
        <v>0</v>
      </c>
      <c r="FK110" s="5">
        <v>0</v>
      </c>
      <c r="FL110" s="5">
        <v>0</v>
      </c>
      <c r="FM110" s="8">
        <v>4714.29198019802</v>
      </c>
      <c r="FN110" s="5">
        <v>0</v>
      </c>
      <c r="FO110" s="5">
        <v>0</v>
      </c>
      <c r="FP110" s="5">
        <v>0</v>
      </c>
      <c r="FQ110" s="5">
        <v>0</v>
      </c>
      <c r="FR110" s="5">
        <v>4714.29198019802</v>
      </c>
      <c r="FS110" s="5">
        <v>0</v>
      </c>
      <c r="FT110" s="5">
        <v>187823.61992</v>
      </c>
      <c r="FU110" s="5">
        <v>469559.0498</v>
      </c>
      <c r="FV110" s="5">
        <v>70433.85747</v>
      </c>
      <c r="FY110" s="5">
        <v>23477952.49</v>
      </c>
      <c r="FZ110" s="5">
        <v>16642495.6647084</v>
      </c>
      <c r="GA110" s="5">
        <v>3983933.04333333</v>
      </c>
      <c r="GB110" s="5">
        <v>12658562.6213751</v>
      </c>
      <c r="GC110" s="5">
        <v>10819389.8686249</v>
      </c>
      <c r="GD110" s="5">
        <v>0.460831917656925</v>
      </c>
      <c r="GE110" s="5">
        <v>6835456.82529156</v>
      </c>
      <c r="GF110" s="5">
        <v>0.29114365182411</v>
      </c>
      <c r="GJ110" s="5">
        <v>45959.3333333333</v>
      </c>
      <c r="GL110" s="5">
        <v>45978.5208333333</v>
      </c>
      <c r="GM110" s="5">
        <v>46026.5</v>
      </c>
      <c r="GO110" s="5">
        <v>46068.3333333333</v>
      </c>
      <c r="GP110" s="5">
        <v>46072.0833333333</v>
      </c>
      <c r="GU110" s="5" t="s">
        <v>802</v>
      </c>
      <c r="HA110" s="5">
        <v>46072.0833333333</v>
      </c>
      <c r="HB110" s="5">
        <v>46089.5833333333</v>
      </c>
      <c r="HF110" s="5">
        <v>35</v>
      </c>
      <c r="HG110" s="5">
        <v>9</v>
      </c>
      <c r="HH110" s="5">
        <v>6</v>
      </c>
      <c r="HI110" s="5">
        <v>20</v>
      </c>
      <c r="HL110" s="5">
        <v>220.5</v>
      </c>
      <c r="HM110" s="5">
        <v>148.25</v>
      </c>
      <c r="HN110" s="5">
        <v>35.5</v>
      </c>
      <c r="HO110" s="5">
        <v>240.5</v>
      </c>
      <c r="HP110" s="5">
        <v>1</v>
      </c>
      <c r="HQ110" s="5">
        <v>67</v>
      </c>
      <c r="HR110" s="5">
        <v>1396</v>
      </c>
      <c r="HS110" s="5">
        <v>433</v>
      </c>
    </row>
    <row r="111" spans="1:229">
      <c r="A111" s="1">
        <f t="shared" si="1"/>
        <v>110</v>
      </c>
      <c r="B111" s="2">
        <v>2026</v>
      </c>
      <c r="C111" s="2" t="s">
        <v>33</v>
      </c>
      <c r="D111" s="2" t="s">
        <v>27</v>
      </c>
      <c r="E111" s="9">
        <v>50998</v>
      </c>
      <c r="F111" s="2" t="s">
        <v>805</v>
      </c>
      <c r="G111" s="2" t="s">
        <v>36</v>
      </c>
      <c r="H111" s="2" t="s">
        <v>692</v>
      </c>
      <c r="I111" s="2" t="s">
        <v>405</v>
      </c>
      <c r="J111" s="5" t="s">
        <v>308</v>
      </c>
      <c r="K111" t="s">
        <v>31</v>
      </c>
      <c r="L111" t="s">
        <v>32</v>
      </c>
      <c r="M111">
        <v>2</v>
      </c>
      <c r="N111">
        <v>2975</v>
      </c>
      <c r="O111" s="3">
        <v>3012</v>
      </c>
      <c r="P111" s="4">
        <v>11.4583333332994</v>
      </c>
      <c r="R111" s="4">
        <v>11.7916666667006</v>
      </c>
      <c r="S111" s="4">
        <v>5.5</v>
      </c>
      <c r="T111" s="4">
        <v>17.2916666667006</v>
      </c>
      <c r="U111" s="4">
        <v>28.75</v>
      </c>
      <c r="W111" s="4">
        <v>0.576388888890021</v>
      </c>
      <c r="X111" s="4">
        <v>0.958333333333334</v>
      </c>
      <c r="Y111" s="3">
        <v>3945232.084224</v>
      </c>
      <c r="Z111">
        <v>-366071.64718484</v>
      </c>
      <c r="AA111">
        <v>4311303.73140884</v>
      </c>
      <c r="AB111">
        <v>1037296.98333333</v>
      </c>
      <c r="AC111">
        <v>407291.666666667</v>
      </c>
      <c r="AD111">
        <v>407291.666666667</v>
      </c>
      <c r="AE111">
        <v>0</v>
      </c>
      <c r="AF111">
        <v>237088.65</v>
      </c>
      <c r="AG111">
        <v>83150.7</v>
      </c>
      <c r="AH111">
        <v>153937.95</v>
      </c>
      <c r="AI111">
        <v>0</v>
      </c>
      <c r="AJ111">
        <v>0</v>
      </c>
      <c r="AK111">
        <v>0</v>
      </c>
      <c r="AL111">
        <v>0</v>
      </c>
      <c r="AM111">
        <v>0</v>
      </c>
      <c r="AN111">
        <v>0</v>
      </c>
      <c r="AO111">
        <v>0</v>
      </c>
      <c r="AP111">
        <v>0</v>
      </c>
      <c r="AQ111">
        <v>0</v>
      </c>
      <c r="AR111">
        <v>0</v>
      </c>
      <c r="AS111">
        <v>0</v>
      </c>
      <c r="AT111">
        <v>0</v>
      </c>
      <c r="AU111">
        <v>0</v>
      </c>
      <c r="AV111">
        <v>0</v>
      </c>
      <c r="AW111">
        <v>0</v>
      </c>
      <c r="AX111">
        <v>0</v>
      </c>
      <c r="AY111">
        <v>392916.666666667</v>
      </c>
      <c r="AZ111">
        <v>3274006.74807551</v>
      </c>
      <c r="BA111">
        <v>996400.028166721</v>
      </c>
      <c r="BB111">
        <v>90920.35</v>
      </c>
      <c r="BC111">
        <v>90920.35</v>
      </c>
      <c r="BD111">
        <v>0</v>
      </c>
      <c r="BE111">
        <v>0</v>
      </c>
      <c r="BF111">
        <v>299204.594</v>
      </c>
      <c r="BG111">
        <v>299204.594</v>
      </c>
      <c r="BH111">
        <v>0</v>
      </c>
      <c r="BI111">
        <v>6536.3895</v>
      </c>
      <c r="BJ111">
        <v>87555</v>
      </c>
      <c r="BK111">
        <v>183282.5</v>
      </c>
      <c r="BL111">
        <v>183282.5</v>
      </c>
      <c r="BM111">
        <v>0</v>
      </c>
      <c r="BN111">
        <v>14085.728</v>
      </c>
      <c r="BO111">
        <v>102203.466666721</v>
      </c>
      <c r="BP111">
        <v>27666.666666721</v>
      </c>
      <c r="BQ111">
        <v>0</v>
      </c>
      <c r="BR111">
        <v>0</v>
      </c>
      <c r="BS111">
        <v>74536.8</v>
      </c>
      <c r="BT111">
        <v>212612</v>
      </c>
      <c r="BU111">
        <v>189756</v>
      </c>
      <c r="BV111">
        <v>22856</v>
      </c>
      <c r="BW111">
        <v>0</v>
      </c>
      <c r="BX111">
        <v>0</v>
      </c>
      <c r="BY111">
        <v>36491.7597345133</v>
      </c>
      <c r="BZ111">
        <v>36491.7597345133</v>
      </c>
      <c r="CA111">
        <v>36491.7597345133</v>
      </c>
      <c r="CB111">
        <v>0</v>
      </c>
      <c r="CC111">
        <v>0</v>
      </c>
      <c r="CD111">
        <v>0</v>
      </c>
      <c r="CE111">
        <v>0</v>
      </c>
      <c r="CF111">
        <v>0</v>
      </c>
      <c r="CG111">
        <v>0</v>
      </c>
      <c r="CH111">
        <v>2241114.96017428</v>
      </c>
      <c r="CI111">
        <v>122316</v>
      </c>
      <c r="CJ111">
        <v>0</v>
      </c>
      <c r="CK111">
        <v>0</v>
      </c>
      <c r="CL111">
        <v>0</v>
      </c>
      <c r="CM111">
        <v>78217</v>
      </c>
      <c r="CN111">
        <v>0</v>
      </c>
      <c r="CO111">
        <v>44099</v>
      </c>
      <c r="CP111">
        <v>258750</v>
      </c>
      <c r="CQ111">
        <v>5052.3</v>
      </c>
      <c r="CR111">
        <v>1421.6</v>
      </c>
      <c r="CS111">
        <v>3630.7</v>
      </c>
      <c r="CT111">
        <v>0</v>
      </c>
      <c r="CU111">
        <v>0</v>
      </c>
      <c r="CV111">
        <v>0</v>
      </c>
      <c r="CW111">
        <v>0</v>
      </c>
      <c r="CX111">
        <v>0</v>
      </c>
      <c r="CY111">
        <v>4510</v>
      </c>
      <c r="CZ111">
        <v>4400</v>
      </c>
      <c r="DA111">
        <v>0</v>
      </c>
      <c r="DB111">
        <v>0</v>
      </c>
      <c r="DC111">
        <v>110</v>
      </c>
      <c r="DD111">
        <v>0</v>
      </c>
      <c r="DE111">
        <v>0</v>
      </c>
      <c r="DF111">
        <v>0</v>
      </c>
      <c r="DG111">
        <v>0</v>
      </c>
      <c r="DH111" s="3">
        <v>179338.94223</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27662</v>
      </c>
      <c r="EG111">
        <v>0</v>
      </c>
      <c r="EH111">
        <v>4200</v>
      </c>
      <c r="EI111">
        <v>625875.66</v>
      </c>
      <c r="EJ111">
        <v>0</v>
      </c>
      <c r="EK111">
        <v>0</v>
      </c>
      <c r="EL111">
        <v>0</v>
      </c>
      <c r="EM111">
        <v>0</v>
      </c>
      <c r="EN111">
        <v>0</v>
      </c>
      <c r="EO111">
        <v>9638</v>
      </c>
      <c r="EP111">
        <v>0</v>
      </c>
      <c r="EQ111">
        <v>9638</v>
      </c>
      <c r="ER111">
        <v>27168.75</v>
      </c>
      <c r="ES111">
        <v>0</v>
      </c>
      <c r="ET111">
        <v>0</v>
      </c>
      <c r="EU111">
        <v>0</v>
      </c>
      <c r="EV111" s="4">
        <v>95.8333333333334</v>
      </c>
      <c r="EW111">
        <v>0</v>
      </c>
      <c r="EX111">
        <v>0</v>
      </c>
      <c r="EY111" s="4">
        <v>95.8333333333334</v>
      </c>
      <c r="EZ111">
        <v>0</v>
      </c>
      <c r="FA111">
        <v>0</v>
      </c>
      <c r="FB111">
        <v>0</v>
      </c>
      <c r="FC111">
        <v>0</v>
      </c>
      <c r="FD111">
        <v>0</v>
      </c>
      <c r="FE111">
        <v>0</v>
      </c>
      <c r="FF111">
        <v>0</v>
      </c>
      <c r="FG111">
        <v>0</v>
      </c>
      <c r="FH111">
        <v>0</v>
      </c>
      <c r="FI111" s="4">
        <v>815387.29</v>
      </c>
      <c r="FJ111">
        <v>36525.66</v>
      </c>
      <c r="FK111">
        <v>0</v>
      </c>
      <c r="FL111">
        <v>36525.66</v>
      </c>
      <c r="FM111" s="4">
        <v>2292.33</v>
      </c>
      <c r="FN111">
        <v>0</v>
      </c>
      <c r="FO111">
        <v>0</v>
      </c>
      <c r="FP111">
        <v>0</v>
      </c>
      <c r="FQ111">
        <v>0</v>
      </c>
      <c r="FR111">
        <v>2292.33</v>
      </c>
      <c r="FS111">
        <v>0</v>
      </c>
      <c r="FT111">
        <v>31561.856673792</v>
      </c>
      <c r="FU111">
        <v>78904.64168448</v>
      </c>
      <c r="FV111">
        <v>11835.696252672</v>
      </c>
      <c r="FY111">
        <v>3945232.084224</v>
      </c>
      <c r="FZ111">
        <v>4311303.73140884</v>
      </c>
      <c r="GA111">
        <v>1037296.98333333</v>
      </c>
      <c r="GB111">
        <v>3274006.74807551</v>
      </c>
      <c r="GC111">
        <v>671225.336148488</v>
      </c>
      <c r="GD111" s="15">
        <v>0.170135830242421</v>
      </c>
      <c r="GE111">
        <v>-366071.647184842</v>
      </c>
      <c r="GF111">
        <v>-0.0927883681795733</v>
      </c>
      <c r="GJ111">
        <v>46063.25</v>
      </c>
      <c r="GL111">
        <v>46074.7083333333</v>
      </c>
      <c r="GO111">
        <v>46078.3333333333</v>
      </c>
      <c r="GU111" t="s">
        <v>802</v>
      </c>
      <c r="HA111">
        <v>46086.5</v>
      </c>
      <c r="HB111">
        <v>46092</v>
      </c>
      <c r="HF111">
        <v>35</v>
      </c>
      <c r="HG111">
        <v>14</v>
      </c>
      <c r="HH111">
        <v>3</v>
      </c>
      <c r="HI111">
        <v>18</v>
      </c>
      <c r="HL111">
        <v>109</v>
      </c>
      <c r="HM111">
        <v>32.5</v>
      </c>
      <c r="HN111">
        <v>28</v>
      </c>
      <c r="HO111">
        <v>12.5</v>
      </c>
      <c r="HP111">
        <v>0</v>
      </c>
      <c r="HQ111">
        <v>14</v>
      </c>
      <c r="HR111">
        <v>136.5</v>
      </c>
      <c r="HS111">
        <v>33</v>
      </c>
    </row>
    <row r="112" spans="1:229">
      <c r="A112" s="1">
        <f t="shared" si="1"/>
        <v>111</v>
      </c>
      <c r="B112" s="2">
        <v>2026</v>
      </c>
      <c r="C112" s="2" t="s">
        <v>33</v>
      </c>
      <c r="D112" s="2" t="s">
        <v>27</v>
      </c>
      <c r="E112" s="9" t="s">
        <v>828</v>
      </c>
      <c r="F112" s="2" t="s">
        <v>829</v>
      </c>
      <c r="G112" s="2" t="s">
        <v>697</v>
      </c>
      <c r="H112" s="2" t="s">
        <v>830</v>
      </c>
      <c r="I112" s="2" t="s">
        <v>831</v>
      </c>
      <c r="J112" t="s">
        <v>832</v>
      </c>
      <c r="K112" t="s">
        <v>833</v>
      </c>
      <c r="L112" t="s">
        <v>32</v>
      </c>
      <c r="M112">
        <v>3</v>
      </c>
      <c r="N112">
        <v>1074.25</v>
      </c>
      <c r="O112" s="3">
        <v>1052.35</v>
      </c>
      <c r="P112" s="4">
        <v>0</v>
      </c>
      <c r="Q112" s="4">
        <v>1.91666666666424</v>
      </c>
      <c r="R112" s="4">
        <v>25.7083333332994</v>
      </c>
      <c r="S112" s="4">
        <v>0.75</v>
      </c>
      <c r="T112" s="4">
        <v>26.4583333332994</v>
      </c>
      <c r="U112" s="4">
        <v>26.4583333332994</v>
      </c>
      <c r="V112" s="4">
        <v>8.91666666670062</v>
      </c>
      <c r="W112" s="4">
        <v>0.881944444443313</v>
      </c>
      <c r="X112" s="4">
        <v>1.17916666666667</v>
      </c>
      <c r="Y112" s="3">
        <v>10969105.4414159</v>
      </c>
      <c r="Z112">
        <v>2107112.68090699</v>
      </c>
      <c r="AA112">
        <v>8861992.76050891</v>
      </c>
      <c r="AB112">
        <v>1334292.91216046</v>
      </c>
      <c r="AC112">
        <v>559374.999999964</v>
      </c>
      <c r="AD112">
        <v>559374.999999964</v>
      </c>
      <c r="AE112">
        <v>0</v>
      </c>
      <c r="AF112">
        <v>0</v>
      </c>
      <c r="AG112">
        <v>0</v>
      </c>
      <c r="AH112">
        <v>0</v>
      </c>
      <c r="AI112">
        <v>0</v>
      </c>
      <c r="AJ112">
        <v>0</v>
      </c>
      <c r="AK112">
        <v>0</v>
      </c>
      <c r="AL112">
        <v>0</v>
      </c>
      <c r="AM112">
        <v>90586.7882975656</v>
      </c>
      <c r="AN112">
        <v>0</v>
      </c>
      <c r="AO112">
        <v>0</v>
      </c>
      <c r="AP112">
        <v>0</v>
      </c>
      <c r="AQ112">
        <v>90586.7882975656</v>
      </c>
      <c r="AR112">
        <v>0</v>
      </c>
      <c r="AS112">
        <v>200872.790529596</v>
      </c>
      <c r="AT112">
        <v>155381.944444434</v>
      </c>
      <c r="AU112">
        <v>30076.957196274</v>
      </c>
      <c r="AV112">
        <v>15413.8888888879</v>
      </c>
      <c r="AW112">
        <v>0</v>
      </c>
      <c r="AX112">
        <v>0</v>
      </c>
      <c r="AY112">
        <v>483458.333333333</v>
      </c>
      <c r="AZ112">
        <v>7527699.84834845</v>
      </c>
      <c r="BA112">
        <v>1210874.40259334</v>
      </c>
      <c r="BB112">
        <v>158827.08</v>
      </c>
      <c r="BC112">
        <v>158827.08</v>
      </c>
      <c r="BD112">
        <v>0</v>
      </c>
      <c r="BE112">
        <v>0</v>
      </c>
      <c r="BF112">
        <v>434143.22</v>
      </c>
      <c r="BG112">
        <v>434143.22</v>
      </c>
      <c r="BH112">
        <v>0</v>
      </c>
      <c r="BI112">
        <v>6997.94426</v>
      </c>
      <c r="BJ112">
        <v>0</v>
      </c>
      <c r="BK112">
        <v>93600</v>
      </c>
      <c r="BL112">
        <v>93600</v>
      </c>
      <c r="BM112">
        <v>0</v>
      </c>
      <c r="BN112">
        <v>259162.785</v>
      </c>
      <c r="BO112">
        <v>159631.703333337</v>
      </c>
      <c r="BP112">
        <v>42333.3333333372</v>
      </c>
      <c r="BQ112">
        <v>0</v>
      </c>
      <c r="BR112">
        <v>0</v>
      </c>
      <c r="BS112">
        <v>117298.37</v>
      </c>
      <c r="BT112">
        <v>98511.67</v>
      </c>
      <c r="BU112">
        <v>0</v>
      </c>
      <c r="BV112">
        <v>98511.67</v>
      </c>
      <c r="BW112">
        <v>0</v>
      </c>
      <c r="BX112">
        <v>0</v>
      </c>
      <c r="BY112">
        <v>309506.9044</v>
      </c>
      <c r="BZ112">
        <v>131593.4044</v>
      </c>
      <c r="CA112">
        <v>131593.4044</v>
      </c>
      <c r="CB112">
        <v>0</v>
      </c>
      <c r="CC112">
        <v>0</v>
      </c>
      <c r="CD112">
        <v>177913.5</v>
      </c>
      <c r="CE112">
        <v>177913.5</v>
      </c>
      <c r="CF112">
        <v>0</v>
      </c>
      <c r="CG112">
        <v>0</v>
      </c>
      <c r="CH112">
        <v>6007318.54135511</v>
      </c>
      <c r="CI112">
        <v>1660284.65444444</v>
      </c>
      <c r="CJ112">
        <v>1538252</v>
      </c>
      <c r="CK112">
        <v>15062</v>
      </c>
      <c r="CL112">
        <v>0</v>
      </c>
      <c r="CM112">
        <v>71159.5</v>
      </c>
      <c r="CN112">
        <v>35811.1544444423</v>
      </c>
      <c r="CO112">
        <v>0</v>
      </c>
      <c r="CP112">
        <v>265312.5</v>
      </c>
      <c r="CQ112">
        <v>5316</v>
      </c>
      <c r="CR112">
        <v>0</v>
      </c>
      <c r="CS112">
        <v>316</v>
      </c>
      <c r="CT112">
        <v>0</v>
      </c>
      <c r="CU112">
        <v>0</v>
      </c>
      <c r="CV112">
        <v>0</v>
      </c>
      <c r="CW112">
        <v>0</v>
      </c>
      <c r="CX112">
        <v>5000</v>
      </c>
      <c r="CY112">
        <v>2364.66666666667</v>
      </c>
      <c r="CZ112">
        <v>1466.66666666667</v>
      </c>
      <c r="DA112">
        <v>0</v>
      </c>
      <c r="DB112">
        <v>260</v>
      </c>
      <c r="DC112">
        <v>638</v>
      </c>
      <c r="DD112">
        <v>0</v>
      </c>
      <c r="DE112">
        <v>0</v>
      </c>
      <c r="DF112">
        <v>0</v>
      </c>
      <c r="DG112">
        <v>0</v>
      </c>
      <c r="DH112" s="3">
        <v>223345.85</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240000</v>
      </c>
      <c r="EG112">
        <v>0</v>
      </c>
      <c r="EH112">
        <v>0</v>
      </c>
      <c r="EI112">
        <v>411094.2</v>
      </c>
      <c r="EJ112">
        <v>0</v>
      </c>
      <c r="EK112">
        <v>166226.66</v>
      </c>
      <c r="EL112">
        <v>270000</v>
      </c>
      <c r="EM112">
        <v>580000</v>
      </c>
      <c r="EN112">
        <v>50000</v>
      </c>
      <c r="EO112">
        <v>19424.7787610619</v>
      </c>
      <c r="EP112">
        <v>19424.7787610619</v>
      </c>
      <c r="EQ112">
        <v>0</v>
      </c>
      <c r="ER112">
        <v>37757.8124999975</v>
      </c>
      <c r="ES112">
        <v>33562.4999999978</v>
      </c>
      <c r="ET112">
        <v>36918.7499999976</v>
      </c>
      <c r="EU112">
        <v>300</v>
      </c>
      <c r="EV112" s="4">
        <v>117.916666666667</v>
      </c>
      <c r="EW112">
        <v>0</v>
      </c>
      <c r="EX112">
        <v>0</v>
      </c>
      <c r="EY112" s="4">
        <v>117.916666666667</v>
      </c>
      <c r="EZ112">
        <v>0</v>
      </c>
      <c r="FA112">
        <v>0</v>
      </c>
      <c r="FB112">
        <v>0</v>
      </c>
      <c r="FC112">
        <v>0</v>
      </c>
      <c r="FD112">
        <v>0</v>
      </c>
      <c r="FE112">
        <v>0</v>
      </c>
      <c r="FF112">
        <v>0</v>
      </c>
      <c r="FG112">
        <v>0</v>
      </c>
      <c r="FH112">
        <v>780000</v>
      </c>
      <c r="FI112" s="4">
        <v>481894.23142</v>
      </c>
      <c r="FJ112">
        <v>56807.0796460177</v>
      </c>
      <c r="FK112">
        <v>0</v>
      </c>
      <c r="FL112">
        <v>56807.0796460177</v>
      </c>
      <c r="FM112" s="4">
        <v>346548.672566372</v>
      </c>
      <c r="FN112">
        <v>100000</v>
      </c>
      <c r="FO112">
        <v>246548.672566372</v>
      </c>
      <c r="FP112">
        <v>0</v>
      </c>
      <c r="FQ112">
        <v>0</v>
      </c>
      <c r="FR112">
        <v>0</v>
      </c>
      <c r="FS112">
        <v>0</v>
      </c>
      <c r="FT112">
        <v>87752.8435313272</v>
      </c>
      <c r="FU112">
        <v>219382.108828318</v>
      </c>
      <c r="FV112">
        <v>32907.3163242477</v>
      </c>
      <c r="FY112">
        <v>10969105.4414159</v>
      </c>
      <c r="FZ112">
        <v>8861992.76050891</v>
      </c>
      <c r="GA112">
        <v>1334292.91216046</v>
      </c>
      <c r="GB112">
        <v>7527699.84834845</v>
      </c>
      <c r="GC112">
        <v>3441405.59306745</v>
      </c>
      <c r="GD112">
        <v>0.313736212259733</v>
      </c>
      <c r="GE112">
        <v>2107112.68090699</v>
      </c>
      <c r="GF112">
        <v>0.192095216165139</v>
      </c>
      <c r="GK112">
        <v>46072.9583333333</v>
      </c>
      <c r="GL112">
        <v>46074.875</v>
      </c>
      <c r="GM112">
        <v>46076.4791666667</v>
      </c>
      <c r="GN112">
        <v>46076.9166666667</v>
      </c>
      <c r="GO112">
        <v>46079.6875</v>
      </c>
      <c r="GP112">
        <v>46081.1875</v>
      </c>
      <c r="GQ112">
        <v>46082.8958333333</v>
      </c>
      <c r="GR112">
        <v>46085.4791666667</v>
      </c>
      <c r="GS112">
        <v>46090.7083333333</v>
      </c>
      <c r="GT112">
        <v>46093.6041666667</v>
      </c>
      <c r="GU112">
        <v>46099.6666666667</v>
      </c>
      <c r="GV112">
        <v>46100.5833333333</v>
      </c>
      <c r="HA112">
        <v>46100.5833333333</v>
      </c>
      <c r="HB112">
        <v>46101.3333333333</v>
      </c>
      <c r="HC112">
        <v>46110.25</v>
      </c>
      <c r="HF112">
        <v>33</v>
      </c>
      <c r="HG112">
        <v>6</v>
      </c>
      <c r="HH112">
        <v>12</v>
      </c>
      <c r="HI112">
        <v>15</v>
      </c>
    </row>
    <row r="113" spans="1:227">
      <c r="A113" s="1">
        <f t="shared" si="1"/>
        <v>112</v>
      </c>
      <c r="B113" s="2">
        <v>2026</v>
      </c>
      <c r="C113" s="2" t="s">
        <v>35</v>
      </c>
      <c r="D113" s="2" t="s">
        <v>27</v>
      </c>
      <c r="E113" s="9">
        <v>50998</v>
      </c>
      <c r="F113" s="2" t="s">
        <v>805</v>
      </c>
      <c r="G113" s="2" t="s">
        <v>36</v>
      </c>
      <c r="H113" s="2" t="s">
        <v>692</v>
      </c>
      <c r="I113" s="2" t="s">
        <v>406</v>
      </c>
      <c r="J113" s="5" t="s">
        <v>308</v>
      </c>
      <c r="K113" t="s">
        <v>834</v>
      </c>
      <c r="L113" t="s">
        <v>32</v>
      </c>
      <c r="M113">
        <v>2</v>
      </c>
      <c r="N113">
        <v>3432</v>
      </c>
      <c r="O113" s="3">
        <v>3470</v>
      </c>
      <c r="P113" s="4">
        <v>5.54166666670062</v>
      </c>
      <c r="R113" s="4">
        <v>13.625</v>
      </c>
      <c r="S113" s="4">
        <v>9.25</v>
      </c>
      <c r="T113" s="4">
        <v>22.875</v>
      </c>
      <c r="U113" s="4">
        <v>28.4166666667006</v>
      </c>
      <c r="W113" s="4">
        <v>0.7625</v>
      </c>
      <c r="X113" s="4">
        <v>0.947222222223354</v>
      </c>
      <c r="Y113" s="3">
        <v>4748452.60553613</v>
      </c>
      <c r="Z113">
        <v>252073.016918802</v>
      </c>
      <c r="AA113">
        <v>4496379.58861733</v>
      </c>
      <c r="AB113">
        <v>960844.4855565</v>
      </c>
      <c r="AC113">
        <v>402569.444444925</v>
      </c>
      <c r="AD113">
        <v>402569.444444925</v>
      </c>
      <c r="AE113">
        <v>0</v>
      </c>
      <c r="AF113">
        <v>169913.93</v>
      </c>
      <c r="AG113">
        <v>12670.57</v>
      </c>
      <c r="AH113">
        <v>157243.36</v>
      </c>
      <c r="AI113">
        <v>0</v>
      </c>
      <c r="AJ113">
        <v>0</v>
      </c>
      <c r="AK113">
        <v>0</v>
      </c>
      <c r="AL113">
        <v>0</v>
      </c>
      <c r="AM113">
        <v>0</v>
      </c>
      <c r="AN113">
        <v>0</v>
      </c>
      <c r="AO113">
        <v>0</v>
      </c>
      <c r="AP113">
        <v>0</v>
      </c>
      <c r="AQ113">
        <v>0</v>
      </c>
      <c r="AR113">
        <v>0</v>
      </c>
      <c r="AS113">
        <v>0</v>
      </c>
      <c r="AT113">
        <v>0</v>
      </c>
      <c r="AU113">
        <v>0</v>
      </c>
      <c r="AV113">
        <v>0</v>
      </c>
      <c r="AW113">
        <v>0</v>
      </c>
      <c r="AX113">
        <v>0</v>
      </c>
      <c r="AY113">
        <v>388361.111111575</v>
      </c>
      <c r="AZ113">
        <v>3535535.10306083</v>
      </c>
      <c r="BA113">
        <v>960700.3045</v>
      </c>
      <c r="BB113">
        <v>59789.41</v>
      </c>
      <c r="BC113">
        <v>59789.41</v>
      </c>
      <c r="BD113">
        <v>0</v>
      </c>
      <c r="BE113">
        <v>0</v>
      </c>
      <c r="BF113">
        <v>379826.2265</v>
      </c>
      <c r="BG113">
        <v>379826.2265</v>
      </c>
      <c r="BH113">
        <v>0</v>
      </c>
      <c r="BI113">
        <v>0</v>
      </c>
      <c r="BJ113">
        <v>0</v>
      </c>
      <c r="BK113">
        <v>0</v>
      </c>
      <c r="BL113">
        <v>0</v>
      </c>
      <c r="BM113">
        <v>0</v>
      </c>
      <c r="BN113">
        <v>26361.468</v>
      </c>
      <c r="BO113">
        <v>103056.8</v>
      </c>
      <c r="BP113">
        <v>36600</v>
      </c>
      <c r="BQ113">
        <v>0</v>
      </c>
      <c r="BR113">
        <v>0</v>
      </c>
      <c r="BS113">
        <v>66456.8</v>
      </c>
      <c r="BT113">
        <v>391666.4</v>
      </c>
      <c r="BU113">
        <v>360880</v>
      </c>
      <c r="BV113">
        <v>30786.4</v>
      </c>
      <c r="BW113">
        <v>0</v>
      </c>
      <c r="BX113">
        <v>0</v>
      </c>
      <c r="BY113">
        <v>1723.25</v>
      </c>
      <c r="BZ113">
        <v>1723.25</v>
      </c>
      <c r="CA113">
        <v>1723.25</v>
      </c>
      <c r="CB113">
        <v>0</v>
      </c>
      <c r="CC113">
        <v>0</v>
      </c>
      <c r="CD113">
        <v>0</v>
      </c>
      <c r="CE113">
        <v>0</v>
      </c>
      <c r="CF113">
        <v>0</v>
      </c>
      <c r="CG113">
        <v>0</v>
      </c>
      <c r="CH113">
        <v>2573111.54856083</v>
      </c>
      <c r="CI113">
        <v>159545</v>
      </c>
      <c r="CJ113">
        <v>0</v>
      </c>
      <c r="CK113">
        <v>0</v>
      </c>
      <c r="CL113">
        <v>55403</v>
      </c>
      <c r="CM113">
        <v>28044</v>
      </c>
      <c r="CN113">
        <v>20146</v>
      </c>
      <c r="CO113">
        <v>55952</v>
      </c>
      <c r="CP113">
        <v>241541.666666955</v>
      </c>
      <c r="CQ113">
        <v>10516.51</v>
      </c>
      <c r="CR113">
        <v>1776.94</v>
      </c>
      <c r="CS113">
        <v>8739.57</v>
      </c>
      <c r="CT113">
        <v>0</v>
      </c>
      <c r="CU113">
        <v>0</v>
      </c>
      <c r="CV113">
        <v>0</v>
      </c>
      <c r="CW113">
        <v>0</v>
      </c>
      <c r="CX113">
        <v>0</v>
      </c>
      <c r="CY113">
        <v>0</v>
      </c>
      <c r="CZ113">
        <v>0</v>
      </c>
      <c r="DA113">
        <v>0</v>
      </c>
      <c r="DB113">
        <v>0</v>
      </c>
      <c r="DC113">
        <v>0</v>
      </c>
      <c r="DD113">
        <v>0</v>
      </c>
      <c r="DE113">
        <v>0</v>
      </c>
      <c r="DF113">
        <v>0</v>
      </c>
      <c r="DG113">
        <v>0</v>
      </c>
      <c r="DH113" s="3">
        <v>254392.10052</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31962</v>
      </c>
      <c r="EG113">
        <v>0</v>
      </c>
      <c r="EH113">
        <v>4500</v>
      </c>
      <c r="EI113">
        <v>648852.94</v>
      </c>
      <c r="EJ113">
        <v>0</v>
      </c>
      <c r="EK113">
        <v>0</v>
      </c>
      <c r="EL113">
        <v>0</v>
      </c>
      <c r="EM113">
        <v>0</v>
      </c>
      <c r="EN113">
        <v>0</v>
      </c>
      <c r="EO113">
        <v>11771</v>
      </c>
      <c r="EP113">
        <v>0</v>
      </c>
      <c r="EQ113">
        <v>11771</v>
      </c>
      <c r="ER113">
        <v>26086.5000000312</v>
      </c>
      <c r="ES113">
        <v>0</v>
      </c>
      <c r="ET113">
        <v>0</v>
      </c>
      <c r="EU113">
        <v>5160</v>
      </c>
      <c r="EV113" s="4">
        <v>94.7222222223354</v>
      </c>
      <c r="EW113">
        <v>0</v>
      </c>
      <c r="EX113">
        <v>0</v>
      </c>
      <c r="EY113" s="4">
        <v>94.7222222223354</v>
      </c>
      <c r="EZ113">
        <v>0</v>
      </c>
      <c r="FA113">
        <v>0</v>
      </c>
      <c r="FB113">
        <v>0</v>
      </c>
      <c r="FC113">
        <v>0</v>
      </c>
      <c r="FD113">
        <v>0</v>
      </c>
      <c r="FE113">
        <v>0</v>
      </c>
      <c r="FF113">
        <v>0</v>
      </c>
      <c r="FG113">
        <v>0</v>
      </c>
      <c r="FH113">
        <v>0</v>
      </c>
      <c r="FI113" s="4">
        <v>993261.41838</v>
      </c>
      <c r="FJ113">
        <v>36525.66</v>
      </c>
      <c r="FK113">
        <v>0</v>
      </c>
      <c r="FL113">
        <v>36525.66</v>
      </c>
      <c r="FM113" s="4">
        <v>1700</v>
      </c>
      <c r="FN113">
        <v>0</v>
      </c>
      <c r="FO113">
        <v>0</v>
      </c>
      <c r="FP113">
        <v>0</v>
      </c>
      <c r="FQ113">
        <v>0</v>
      </c>
      <c r="FR113">
        <v>1700</v>
      </c>
      <c r="FS113">
        <v>0</v>
      </c>
      <c r="FT113">
        <v>37987.620844289</v>
      </c>
      <c r="FU113">
        <v>94969.0521107226</v>
      </c>
      <c r="FV113">
        <v>14245.3578166084</v>
      </c>
      <c r="FY113">
        <v>4748452.60553613</v>
      </c>
      <c r="FZ113">
        <v>4496379.58861733</v>
      </c>
      <c r="GA113">
        <v>960844.4855565</v>
      </c>
      <c r="GB113">
        <v>3535535.10306083</v>
      </c>
      <c r="GC113">
        <v>1212917.5024753</v>
      </c>
      <c r="GD113">
        <v>0.255434265272267</v>
      </c>
      <c r="GE113">
        <v>252073.016918802</v>
      </c>
      <c r="GF113">
        <v>0.0530852970133712</v>
      </c>
      <c r="GJ113">
        <v>46096.25</v>
      </c>
      <c r="GL113">
        <v>46101.7916666667</v>
      </c>
      <c r="GO113">
        <v>46105.7916666667</v>
      </c>
      <c r="HA113">
        <v>46115.4166666667</v>
      </c>
      <c r="HB113">
        <v>46124.6666666667</v>
      </c>
      <c r="HF113">
        <v>34</v>
      </c>
      <c r="HG113">
        <v>14</v>
      </c>
      <c r="HH113">
        <v>3</v>
      </c>
      <c r="HI113">
        <v>17</v>
      </c>
      <c r="HL113">
        <v>147</v>
      </c>
      <c r="HM113">
        <v>32</v>
      </c>
      <c r="HN113">
        <v>33</v>
      </c>
      <c r="HO113">
        <v>11</v>
      </c>
      <c r="HP113">
        <v>0</v>
      </c>
      <c r="HQ113">
        <v>11</v>
      </c>
      <c r="HR113">
        <v>161</v>
      </c>
      <c r="HS113">
        <v>154</v>
      </c>
    </row>
    <row r="114" spans="1:227">
      <c r="A114" s="1">
        <f t="shared" si="1"/>
        <v>113</v>
      </c>
      <c r="B114" s="2">
        <v>2026</v>
      </c>
      <c r="C114" s="2" t="s">
        <v>35</v>
      </c>
      <c r="D114" s="2" t="s">
        <v>27</v>
      </c>
      <c r="E114" s="9">
        <v>70520</v>
      </c>
      <c r="F114" s="2" t="s">
        <v>699</v>
      </c>
      <c r="G114" s="2" t="s">
        <v>28</v>
      </c>
      <c r="H114" s="2" t="s">
        <v>711</v>
      </c>
      <c r="I114" s="2" t="s">
        <v>337</v>
      </c>
      <c r="J114" t="s">
        <v>310</v>
      </c>
      <c r="K114" t="s">
        <v>41</v>
      </c>
      <c r="L114" t="s">
        <v>32</v>
      </c>
      <c r="M114">
        <v>3</v>
      </c>
      <c r="N114">
        <v>5220</v>
      </c>
      <c r="O114" s="3">
        <v>5230</v>
      </c>
      <c r="P114" s="4">
        <v>7.875</v>
      </c>
      <c r="R114" s="4">
        <v>70.3125</v>
      </c>
      <c r="S114" s="4">
        <v>10.7708333334012</v>
      </c>
      <c r="T114" s="4">
        <v>81.0833333334012</v>
      </c>
      <c r="U114" s="4">
        <v>88.9583333334012</v>
      </c>
      <c r="W114" s="4">
        <v>2.70277777778004</v>
      </c>
      <c r="X114" s="4">
        <v>2.96527777778004</v>
      </c>
      <c r="Y114" s="3">
        <v>15000000</v>
      </c>
      <c r="Z114">
        <v>1814931.06546679</v>
      </c>
      <c r="AA114">
        <v>13185068.9345332</v>
      </c>
      <c r="AB114">
        <v>2649804.15444634</v>
      </c>
      <c r="AC114">
        <v>1260243.05555652</v>
      </c>
      <c r="AD114">
        <v>1260243.05555652</v>
      </c>
      <c r="AE114">
        <v>0</v>
      </c>
      <c r="AF114">
        <v>149793.75</v>
      </c>
      <c r="AG114">
        <v>149793.75</v>
      </c>
      <c r="AH114">
        <v>0</v>
      </c>
      <c r="AI114">
        <v>24003.46</v>
      </c>
      <c r="AJ114">
        <v>9478.54</v>
      </c>
      <c r="AK114">
        <v>11813.24</v>
      </c>
      <c r="AL114">
        <v>2711.68</v>
      </c>
      <c r="AM114">
        <v>0</v>
      </c>
      <c r="AN114">
        <v>0</v>
      </c>
      <c r="AO114">
        <v>0</v>
      </c>
      <c r="AP114">
        <v>0</v>
      </c>
      <c r="AQ114">
        <v>0</v>
      </c>
      <c r="AR114">
        <v>0</v>
      </c>
      <c r="AS114">
        <v>0</v>
      </c>
      <c r="AT114">
        <v>0</v>
      </c>
      <c r="AU114">
        <v>0</v>
      </c>
      <c r="AV114">
        <v>0</v>
      </c>
      <c r="AW114">
        <v>0</v>
      </c>
      <c r="AX114">
        <v>0</v>
      </c>
      <c r="AY114">
        <v>1215763.88888982</v>
      </c>
      <c r="AZ114">
        <v>10535264.7800869</v>
      </c>
      <c r="BA114">
        <v>3484900.62396507</v>
      </c>
      <c r="BB114">
        <v>278695.568761</v>
      </c>
      <c r="BC114">
        <v>278695.568761</v>
      </c>
      <c r="BD114">
        <v>0</v>
      </c>
      <c r="BE114">
        <v>0</v>
      </c>
      <c r="BF114">
        <v>2083520</v>
      </c>
      <c r="BG114">
        <v>2083520</v>
      </c>
      <c r="BH114">
        <v>0</v>
      </c>
      <c r="BI114">
        <v>20903.03</v>
      </c>
      <c r="BJ114">
        <v>55752.2</v>
      </c>
      <c r="BK114">
        <v>0</v>
      </c>
      <c r="BL114">
        <v>0</v>
      </c>
      <c r="BM114">
        <v>0</v>
      </c>
      <c r="BN114">
        <v>241416.291870627</v>
      </c>
      <c r="BO114">
        <v>306386.433333442</v>
      </c>
      <c r="BP114">
        <v>129733.333333442</v>
      </c>
      <c r="BQ114">
        <v>0</v>
      </c>
      <c r="BR114">
        <v>0</v>
      </c>
      <c r="BS114">
        <v>176653.1</v>
      </c>
      <c r="BT114">
        <v>498227.1</v>
      </c>
      <c r="BU114">
        <v>329490</v>
      </c>
      <c r="BV114">
        <v>168737.1</v>
      </c>
      <c r="BW114">
        <v>0</v>
      </c>
      <c r="BX114">
        <v>0</v>
      </c>
      <c r="BY114">
        <v>11852.36</v>
      </c>
      <c r="BZ114">
        <v>11852.36</v>
      </c>
      <c r="CA114">
        <v>11852.36</v>
      </c>
      <c r="CB114">
        <v>0</v>
      </c>
      <c r="CC114">
        <v>0</v>
      </c>
      <c r="CD114">
        <v>0</v>
      </c>
      <c r="CE114">
        <v>0</v>
      </c>
      <c r="CF114">
        <v>0</v>
      </c>
      <c r="CG114">
        <v>0</v>
      </c>
      <c r="CH114">
        <v>7038511.7961218</v>
      </c>
      <c r="CI114">
        <v>363703</v>
      </c>
      <c r="CJ114">
        <v>0</v>
      </c>
      <c r="CK114">
        <v>0</v>
      </c>
      <c r="CL114">
        <v>176286</v>
      </c>
      <c r="CM114">
        <v>77685</v>
      </c>
      <c r="CN114">
        <v>1975</v>
      </c>
      <c r="CO114">
        <v>107757</v>
      </c>
      <c r="CP114">
        <v>978541.666667414</v>
      </c>
      <c r="CQ114">
        <v>11129.03</v>
      </c>
      <c r="CR114">
        <v>2843.1</v>
      </c>
      <c r="CS114">
        <v>8285.93</v>
      </c>
      <c r="CT114">
        <v>0</v>
      </c>
      <c r="CU114">
        <v>0</v>
      </c>
      <c r="CV114">
        <v>0</v>
      </c>
      <c r="CW114">
        <v>0</v>
      </c>
      <c r="CX114">
        <v>0</v>
      </c>
      <c r="CY114">
        <v>28350</v>
      </c>
      <c r="CZ114">
        <v>14300</v>
      </c>
      <c r="DA114">
        <v>0</v>
      </c>
      <c r="DB114">
        <v>0</v>
      </c>
      <c r="DC114">
        <v>110</v>
      </c>
      <c r="DD114">
        <v>0</v>
      </c>
      <c r="DE114">
        <v>0</v>
      </c>
      <c r="DF114">
        <v>13940</v>
      </c>
      <c r="DG114">
        <v>0</v>
      </c>
      <c r="DH114" s="3">
        <v>310311.132</v>
      </c>
      <c r="DI114">
        <v>190540</v>
      </c>
      <c r="DJ114">
        <v>0</v>
      </c>
      <c r="DK114">
        <v>190540</v>
      </c>
      <c r="DL114">
        <v>0</v>
      </c>
      <c r="DM114">
        <v>0</v>
      </c>
      <c r="DN114">
        <v>0</v>
      </c>
      <c r="DO114">
        <v>0</v>
      </c>
      <c r="DP114">
        <v>0</v>
      </c>
      <c r="DQ114">
        <v>322348.25</v>
      </c>
      <c r="DR114">
        <v>0</v>
      </c>
      <c r="DS114">
        <v>263249</v>
      </c>
      <c r="DT114">
        <v>59099.25</v>
      </c>
      <c r="DU114">
        <v>0</v>
      </c>
      <c r="DV114">
        <v>0</v>
      </c>
      <c r="DW114">
        <v>0</v>
      </c>
      <c r="DX114">
        <v>0</v>
      </c>
      <c r="DY114">
        <v>0</v>
      </c>
      <c r="DZ114">
        <v>0</v>
      </c>
      <c r="EA114">
        <v>0</v>
      </c>
      <c r="EB114">
        <v>0</v>
      </c>
      <c r="EC114">
        <v>0</v>
      </c>
      <c r="ED114">
        <v>0</v>
      </c>
      <c r="EE114">
        <v>0</v>
      </c>
      <c r="EF114">
        <v>70217</v>
      </c>
      <c r="EG114">
        <v>0</v>
      </c>
      <c r="EH114">
        <v>783914.24</v>
      </c>
      <c r="EI114">
        <v>1615788.68</v>
      </c>
      <c r="EJ114">
        <v>0</v>
      </c>
      <c r="EK114">
        <v>0</v>
      </c>
      <c r="EL114">
        <v>0</v>
      </c>
      <c r="EM114">
        <v>0</v>
      </c>
      <c r="EN114">
        <v>0</v>
      </c>
      <c r="EO114">
        <v>26109.5</v>
      </c>
      <c r="EP114">
        <v>0</v>
      </c>
      <c r="EQ114">
        <v>26109.5</v>
      </c>
      <c r="ER114">
        <v>93673.1250000715</v>
      </c>
      <c r="ES114">
        <v>0</v>
      </c>
      <c r="ET114">
        <v>0</v>
      </c>
      <c r="EU114">
        <v>5580</v>
      </c>
      <c r="EV114" s="4">
        <v>296.527777778004</v>
      </c>
      <c r="EW114">
        <v>0</v>
      </c>
      <c r="EX114">
        <v>0</v>
      </c>
      <c r="EY114" s="4">
        <v>296.527777778004</v>
      </c>
      <c r="EZ114">
        <v>0</v>
      </c>
      <c r="FA114">
        <v>0</v>
      </c>
      <c r="FB114">
        <v>0</v>
      </c>
      <c r="FC114">
        <v>0</v>
      </c>
      <c r="FD114">
        <v>0</v>
      </c>
      <c r="FE114">
        <v>0</v>
      </c>
      <c r="FF114">
        <v>0</v>
      </c>
      <c r="FG114">
        <v>0</v>
      </c>
      <c r="FH114">
        <v>0</v>
      </c>
      <c r="FI114" s="4">
        <v>1685226.71933</v>
      </c>
      <c r="FJ114">
        <v>36525.66</v>
      </c>
      <c r="FK114">
        <v>0</v>
      </c>
      <c r="FL114">
        <v>36525.66</v>
      </c>
      <c r="FM114" s="4">
        <v>51257.2653465346</v>
      </c>
      <c r="FN114">
        <v>0</v>
      </c>
      <c r="FO114">
        <v>0</v>
      </c>
      <c r="FP114">
        <v>40860.8</v>
      </c>
      <c r="FQ114">
        <v>0</v>
      </c>
      <c r="FR114">
        <v>10396.4653465346</v>
      </c>
      <c r="FS114">
        <v>0</v>
      </c>
      <c r="FT114">
        <v>120000</v>
      </c>
      <c r="FU114">
        <v>300000</v>
      </c>
      <c r="FV114">
        <v>45000</v>
      </c>
      <c r="FY114">
        <v>15000000</v>
      </c>
      <c r="FZ114">
        <v>13185068.9345332</v>
      </c>
      <c r="GA114">
        <v>2649804.15444634</v>
      </c>
      <c r="GB114">
        <v>10535264.7800869</v>
      </c>
      <c r="GC114">
        <v>4464735.21991313</v>
      </c>
      <c r="GD114">
        <v>0.297649014660876</v>
      </c>
      <c r="GE114">
        <v>1814931.06546679</v>
      </c>
      <c r="GF114">
        <v>0.120995404364453</v>
      </c>
      <c r="GJ114">
        <v>46052.3333333333</v>
      </c>
      <c r="GL114">
        <v>46060.2083333333</v>
      </c>
      <c r="GO114">
        <v>46065.1458333333</v>
      </c>
      <c r="GR114">
        <v>46083.625</v>
      </c>
      <c r="HA114">
        <v>46130.5208333333</v>
      </c>
      <c r="HB114">
        <v>46141.2916666667</v>
      </c>
      <c r="HF114">
        <v>39</v>
      </c>
      <c r="HG114">
        <v>16</v>
      </c>
      <c r="HH114">
        <v>1</v>
      </c>
      <c r="HI114">
        <v>22</v>
      </c>
      <c r="HL114">
        <v>459</v>
      </c>
      <c r="HM114">
        <v>396</v>
      </c>
      <c r="HN114">
        <v>25</v>
      </c>
      <c r="HO114">
        <v>68</v>
      </c>
      <c r="HP114">
        <v>4</v>
      </c>
      <c r="HQ114">
        <v>258</v>
      </c>
      <c r="HR114">
        <v>261</v>
      </c>
      <c r="HS114">
        <v>475</v>
      </c>
    </row>
    <row r="115" spans="1:227">
      <c r="A115" s="1">
        <f t="shared" si="1"/>
        <v>114</v>
      </c>
      <c r="B115" s="2">
        <v>2026</v>
      </c>
      <c r="C115" s="2" t="s">
        <v>35</v>
      </c>
      <c r="D115" s="2" t="s">
        <v>27</v>
      </c>
      <c r="E115" s="9" t="s">
        <v>468</v>
      </c>
      <c r="F115" s="2" t="s">
        <v>746</v>
      </c>
      <c r="G115" s="2" t="s">
        <v>28</v>
      </c>
      <c r="H115" s="2" t="s">
        <v>711</v>
      </c>
      <c r="I115" s="2" t="s">
        <v>408</v>
      </c>
      <c r="J115" s="5" t="s">
        <v>835</v>
      </c>
      <c r="K115" t="s">
        <v>730</v>
      </c>
      <c r="L115" t="s">
        <v>32</v>
      </c>
      <c r="M115">
        <v>3</v>
      </c>
      <c r="N115">
        <v>5965</v>
      </c>
      <c r="O115" s="3">
        <v>5946</v>
      </c>
      <c r="P115" s="4">
        <v>12.0833333334012</v>
      </c>
      <c r="R115" s="4">
        <v>101.354166666599</v>
      </c>
      <c r="S115" s="4">
        <v>13.6875</v>
      </c>
      <c r="T115" s="4">
        <v>115.041666666599</v>
      </c>
      <c r="U115" s="4">
        <v>127.125</v>
      </c>
      <c r="W115" s="4">
        <v>3.83472222221996</v>
      </c>
      <c r="X115" s="4">
        <v>4.2375</v>
      </c>
      <c r="Y115" s="3">
        <v>14468659.9526776</v>
      </c>
      <c r="Z115">
        <v>-8061947.73115286</v>
      </c>
      <c r="AA115">
        <v>22530607.6838305</v>
      </c>
      <c r="AB115">
        <v>5344256.01</v>
      </c>
      <c r="AC115">
        <v>1906875</v>
      </c>
      <c r="AD115">
        <v>1906875</v>
      </c>
      <c r="AE115">
        <v>0</v>
      </c>
      <c r="AF115">
        <v>1677403.99</v>
      </c>
      <c r="AG115">
        <v>528508.77</v>
      </c>
      <c r="AH115">
        <v>1148895.22</v>
      </c>
      <c r="AI115">
        <v>22602.02</v>
      </c>
      <c r="AJ115">
        <v>12352.42</v>
      </c>
      <c r="AK115">
        <v>10249.6</v>
      </c>
      <c r="AL115">
        <v>0</v>
      </c>
      <c r="AM115">
        <v>0</v>
      </c>
      <c r="AN115">
        <v>0</v>
      </c>
      <c r="AO115">
        <v>0</v>
      </c>
      <c r="AP115">
        <v>0</v>
      </c>
      <c r="AQ115">
        <v>0</v>
      </c>
      <c r="AR115">
        <v>0</v>
      </c>
      <c r="AS115">
        <v>0</v>
      </c>
      <c r="AT115">
        <v>0</v>
      </c>
      <c r="AU115">
        <v>0</v>
      </c>
      <c r="AV115">
        <v>0</v>
      </c>
      <c r="AW115">
        <v>0</v>
      </c>
      <c r="AX115">
        <v>0</v>
      </c>
      <c r="AY115">
        <v>1737375</v>
      </c>
      <c r="AZ115">
        <v>17186351.6738305</v>
      </c>
      <c r="BA115">
        <v>4646467.74054956</v>
      </c>
      <c r="BB115">
        <v>733667.4332</v>
      </c>
      <c r="BC115">
        <v>733667.4332</v>
      </c>
      <c r="BD115">
        <v>0</v>
      </c>
      <c r="BE115">
        <v>0</v>
      </c>
      <c r="BF115">
        <v>2308933</v>
      </c>
      <c r="BG115">
        <v>2308933</v>
      </c>
      <c r="BH115">
        <v>0</v>
      </c>
      <c r="BI115">
        <v>29810.69</v>
      </c>
      <c r="BJ115">
        <v>63185.8</v>
      </c>
      <c r="BK115">
        <v>0</v>
      </c>
      <c r="BL115">
        <v>0</v>
      </c>
      <c r="BM115">
        <v>0</v>
      </c>
      <c r="BN115">
        <v>259009.710683</v>
      </c>
      <c r="BO115">
        <v>379314.806666558</v>
      </c>
      <c r="BP115">
        <v>184066.666666558</v>
      </c>
      <c r="BQ115">
        <v>0</v>
      </c>
      <c r="BR115">
        <v>0</v>
      </c>
      <c r="BS115">
        <v>195248.14</v>
      </c>
      <c r="BT115">
        <v>872546.3</v>
      </c>
      <c r="BU115">
        <v>618384</v>
      </c>
      <c r="BV115">
        <v>254162.3</v>
      </c>
      <c r="BW115">
        <v>0</v>
      </c>
      <c r="BX115">
        <v>0</v>
      </c>
      <c r="BY115">
        <v>1124881.5</v>
      </c>
      <c r="BZ115">
        <v>1124881.5</v>
      </c>
      <c r="CA115">
        <v>1124881.5</v>
      </c>
      <c r="CB115">
        <v>0</v>
      </c>
      <c r="CC115">
        <v>0</v>
      </c>
      <c r="CD115">
        <v>0</v>
      </c>
      <c r="CE115">
        <v>0</v>
      </c>
      <c r="CF115">
        <v>0</v>
      </c>
      <c r="CG115">
        <v>0</v>
      </c>
      <c r="CH115">
        <v>11415002.4332809</v>
      </c>
      <c r="CI115">
        <v>897867</v>
      </c>
      <c r="CJ115">
        <v>0</v>
      </c>
      <c r="CK115">
        <v>0</v>
      </c>
      <c r="CL115">
        <v>472169</v>
      </c>
      <c r="CM115">
        <v>137741</v>
      </c>
      <c r="CN115">
        <v>92214</v>
      </c>
      <c r="CO115">
        <v>195743</v>
      </c>
      <c r="CP115">
        <v>1080562.5</v>
      </c>
      <c r="CQ115">
        <v>26604.47</v>
      </c>
      <c r="CR115">
        <v>7463.15</v>
      </c>
      <c r="CS115">
        <v>19141.32</v>
      </c>
      <c r="CT115">
        <v>0</v>
      </c>
      <c r="CU115">
        <v>0</v>
      </c>
      <c r="CV115">
        <v>0</v>
      </c>
      <c r="CW115">
        <v>0</v>
      </c>
      <c r="CX115">
        <v>0</v>
      </c>
      <c r="CY115">
        <v>40210</v>
      </c>
      <c r="CZ115">
        <v>34800</v>
      </c>
      <c r="DA115">
        <v>0</v>
      </c>
      <c r="DB115">
        <v>0</v>
      </c>
      <c r="DC115">
        <v>210</v>
      </c>
      <c r="DD115">
        <v>0</v>
      </c>
      <c r="DE115">
        <v>0</v>
      </c>
      <c r="DF115">
        <v>5200</v>
      </c>
      <c r="DG115">
        <v>0</v>
      </c>
      <c r="DH115" s="3">
        <v>646479.6</v>
      </c>
      <c r="DI115">
        <v>196424.375</v>
      </c>
      <c r="DJ115">
        <v>0</v>
      </c>
      <c r="DK115">
        <v>196424.375</v>
      </c>
      <c r="DL115">
        <v>0</v>
      </c>
      <c r="DM115">
        <v>0</v>
      </c>
      <c r="DN115">
        <v>0</v>
      </c>
      <c r="DO115">
        <v>0</v>
      </c>
      <c r="DP115">
        <v>0</v>
      </c>
      <c r="DQ115">
        <v>345375.5</v>
      </c>
      <c r="DR115">
        <v>0</v>
      </c>
      <c r="DS115">
        <v>60128</v>
      </c>
      <c r="DT115">
        <v>51747.5</v>
      </c>
      <c r="DU115">
        <v>0</v>
      </c>
      <c r="DV115">
        <v>0</v>
      </c>
      <c r="DW115">
        <v>0</v>
      </c>
      <c r="DX115">
        <v>6000</v>
      </c>
      <c r="DY115">
        <v>227500</v>
      </c>
      <c r="DZ115">
        <v>129340</v>
      </c>
      <c r="EA115">
        <v>66340</v>
      </c>
      <c r="EB115">
        <v>17500</v>
      </c>
      <c r="EC115">
        <v>0</v>
      </c>
      <c r="ED115">
        <v>0</v>
      </c>
      <c r="EE115">
        <v>45500</v>
      </c>
      <c r="EF115">
        <v>68364</v>
      </c>
      <c r="EG115">
        <v>0</v>
      </c>
      <c r="EH115">
        <v>1118986.74</v>
      </c>
      <c r="EI115">
        <v>2013743.53774424</v>
      </c>
      <c r="EJ115">
        <v>0</v>
      </c>
      <c r="EK115">
        <v>0</v>
      </c>
      <c r="EL115">
        <v>0</v>
      </c>
      <c r="EM115">
        <v>0</v>
      </c>
      <c r="EN115">
        <v>0</v>
      </c>
      <c r="EO115">
        <v>15760.5</v>
      </c>
      <c r="EP115">
        <v>0</v>
      </c>
      <c r="EQ115">
        <v>15760.5</v>
      </c>
      <c r="ER115">
        <v>120133.125</v>
      </c>
      <c r="ES115">
        <v>0</v>
      </c>
      <c r="ET115">
        <v>0</v>
      </c>
      <c r="EU115">
        <v>0</v>
      </c>
      <c r="EV115" s="4">
        <v>423.75</v>
      </c>
      <c r="EW115">
        <v>0</v>
      </c>
      <c r="EX115">
        <v>0</v>
      </c>
      <c r="EY115" s="4">
        <v>423.75</v>
      </c>
      <c r="EZ115">
        <v>0</v>
      </c>
      <c r="FA115">
        <v>0</v>
      </c>
      <c r="FB115">
        <v>0</v>
      </c>
      <c r="FC115">
        <v>0</v>
      </c>
      <c r="FD115">
        <v>0</v>
      </c>
      <c r="FE115">
        <v>0</v>
      </c>
      <c r="FF115">
        <v>0</v>
      </c>
      <c r="FG115">
        <v>0</v>
      </c>
      <c r="FH115">
        <v>0</v>
      </c>
      <c r="FI115" s="4">
        <v>4053249.97847</v>
      </c>
      <c r="FJ115">
        <v>205372.5619</v>
      </c>
      <c r="FK115">
        <v>0</v>
      </c>
      <c r="FL115">
        <v>205372.5619</v>
      </c>
      <c r="FM115" s="4">
        <v>7576.33663366337</v>
      </c>
      <c r="FN115">
        <v>0</v>
      </c>
      <c r="FO115">
        <v>0</v>
      </c>
      <c r="FP115">
        <v>0</v>
      </c>
      <c r="FQ115">
        <v>0</v>
      </c>
      <c r="FR115">
        <v>7576.33663366337</v>
      </c>
      <c r="FS115">
        <v>0</v>
      </c>
      <c r="FT115">
        <v>115749.279621421</v>
      </c>
      <c r="FU115">
        <v>289373.199053552</v>
      </c>
      <c r="FV115">
        <v>43405.9798580328</v>
      </c>
      <c r="FY115">
        <v>14468659.9526776</v>
      </c>
      <c r="FZ115">
        <v>22530607.6838305</v>
      </c>
      <c r="GA115">
        <v>5344256.01</v>
      </c>
      <c r="GB115">
        <v>17186351.6738305</v>
      </c>
      <c r="GC115">
        <v>-2717691.72115286</v>
      </c>
      <c r="GD115">
        <v>-0.187832994212427</v>
      </c>
      <c r="GE115">
        <v>-8061947.73115286</v>
      </c>
      <c r="GF115">
        <v>-0.557200719176547</v>
      </c>
      <c r="GJ115">
        <v>45992.3333333333</v>
      </c>
      <c r="GL115">
        <v>46004.4166666667</v>
      </c>
      <c r="GO115">
        <v>46007.5</v>
      </c>
      <c r="GR115">
        <v>46019.7916666667</v>
      </c>
      <c r="HA115">
        <v>46105.7708333333</v>
      </c>
      <c r="HB115">
        <v>46119.4583333333</v>
      </c>
      <c r="HF115">
        <v>35</v>
      </c>
      <c r="HG115">
        <v>15</v>
      </c>
      <c r="HH115">
        <v>3</v>
      </c>
      <c r="HI115">
        <v>17</v>
      </c>
      <c r="HL115">
        <v>412</v>
      </c>
      <c r="HM115">
        <v>280</v>
      </c>
      <c r="HN115">
        <v>35</v>
      </c>
      <c r="HO115">
        <v>88</v>
      </c>
      <c r="HP115">
        <v>0</v>
      </c>
      <c r="HQ115">
        <v>38</v>
      </c>
      <c r="HR115">
        <v>400</v>
      </c>
      <c r="HS115">
        <v>206</v>
      </c>
    </row>
    <row r="116" spans="1:227">
      <c r="A116" s="1">
        <f t="shared" si="1"/>
        <v>115</v>
      </c>
      <c r="B116" s="2">
        <v>2026</v>
      </c>
      <c r="C116" s="2" t="s">
        <v>35</v>
      </c>
      <c r="D116" s="2" t="s">
        <v>27</v>
      </c>
      <c r="E116" s="9">
        <v>70318</v>
      </c>
      <c r="F116" s="2" t="s">
        <v>709</v>
      </c>
      <c r="G116" s="2" t="s">
        <v>28</v>
      </c>
      <c r="H116" s="2" t="s">
        <v>711</v>
      </c>
      <c r="I116" s="2" t="s">
        <v>336</v>
      </c>
      <c r="J116" t="s">
        <v>409</v>
      </c>
      <c r="K116" t="s">
        <v>836</v>
      </c>
      <c r="L116" t="s">
        <v>32</v>
      </c>
      <c r="M116">
        <v>3</v>
      </c>
      <c r="N116">
        <v>6082</v>
      </c>
      <c r="O116" s="3">
        <v>5850</v>
      </c>
      <c r="P116" s="4">
        <v>10.75</v>
      </c>
      <c r="R116" s="4">
        <v>54.2083333334012</v>
      </c>
      <c r="S116" s="4">
        <v>9</v>
      </c>
      <c r="T116" s="4">
        <v>63.2083333334012</v>
      </c>
      <c r="U116" s="4">
        <v>73.9583333334012</v>
      </c>
      <c r="W116" s="4">
        <v>2.10694444444671</v>
      </c>
      <c r="X116" s="4">
        <v>2.46527777778004</v>
      </c>
      <c r="Y116" s="3">
        <v>19237093.0614929</v>
      </c>
      <c r="Z116">
        <v>6268929.6910577</v>
      </c>
      <c r="AA116">
        <v>12968163.3704352</v>
      </c>
      <c r="AB116">
        <v>2106079.21666833</v>
      </c>
      <c r="AC116">
        <v>801215.277778513</v>
      </c>
      <c r="AD116">
        <v>801215.277778513</v>
      </c>
      <c r="AE116">
        <v>0</v>
      </c>
      <c r="AF116">
        <v>277277.35</v>
      </c>
      <c r="AG116">
        <v>277277.35</v>
      </c>
      <c r="AH116">
        <v>0</v>
      </c>
      <c r="AI116">
        <v>16822.7</v>
      </c>
      <c r="AJ116">
        <v>16822.7</v>
      </c>
      <c r="AK116">
        <v>0</v>
      </c>
      <c r="AL116">
        <v>0</v>
      </c>
      <c r="AM116">
        <v>0</v>
      </c>
      <c r="AN116">
        <v>0</v>
      </c>
      <c r="AO116">
        <v>0</v>
      </c>
      <c r="AP116">
        <v>0</v>
      </c>
      <c r="AQ116">
        <v>0</v>
      </c>
      <c r="AR116">
        <v>0</v>
      </c>
      <c r="AS116">
        <v>0</v>
      </c>
      <c r="AT116">
        <v>0</v>
      </c>
      <c r="AU116">
        <v>0</v>
      </c>
      <c r="AV116">
        <v>0</v>
      </c>
      <c r="AW116">
        <v>0</v>
      </c>
      <c r="AX116">
        <v>0</v>
      </c>
      <c r="AY116">
        <v>1010763.88888982</v>
      </c>
      <c r="AZ116">
        <v>10862084.1537669</v>
      </c>
      <c r="BA116">
        <v>4856877.12615361</v>
      </c>
      <c r="BB116">
        <v>496543.7142</v>
      </c>
      <c r="BC116">
        <v>496543.7142</v>
      </c>
      <c r="BD116">
        <v>0</v>
      </c>
      <c r="BE116">
        <v>0</v>
      </c>
      <c r="BF116">
        <v>3100000</v>
      </c>
      <c r="BG116">
        <v>3100000</v>
      </c>
      <c r="BH116">
        <v>0</v>
      </c>
      <c r="BI116">
        <v>18692.6628</v>
      </c>
      <c r="BJ116">
        <v>112389.4</v>
      </c>
      <c r="BK116">
        <v>0</v>
      </c>
      <c r="BL116">
        <v>0</v>
      </c>
      <c r="BM116">
        <v>0</v>
      </c>
      <c r="BN116">
        <v>299714.815820168</v>
      </c>
      <c r="BO116">
        <v>282514.533333442</v>
      </c>
      <c r="BP116">
        <v>101133.333333442</v>
      </c>
      <c r="BQ116">
        <v>0</v>
      </c>
      <c r="BR116">
        <v>0</v>
      </c>
      <c r="BS116">
        <v>181381.2</v>
      </c>
      <c r="BT116">
        <v>547022</v>
      </c>
      <c r="BU116">
        <v>368550</v>
      </c>
      <c r="BV116">
        <v>178472</v>
      </c>
      <c r="BW116">
        <v>0</v>
      </c>
      <c r="BX116">
        <v>0</v>
      </c>
      <c r="BY116">
        <v>48917.35</v>
      </c>
      <c r="BZ116">
        <v>48917.35</v>
      </c>
      <c r="CA116">
        <v>48917.35</v>
      </c>
      <c r="CB116">
        <v>0</v>
      </c>
      <c r="CC116">
        <v>0</v>
      </c>
      <c r="CD116">
        <v>0</v>
      </c>
      <c r="CE116">
        <v>0</v>
      </c>
      <c r="CF116">
        <v>0</v>
      </c>
      <c r="CG116">
        <v>0</v>
      </c>
      <c r="CH116">
        <v>5956289.67761326</v>
      </c>
      <c r="CI116">
        <v>468624</v>
      </c>
      <c r="CJ116">
        <v>0</v>
      </c>
      <c r="CK116">
        <v>0</v>
      </c>
      <c r="CL116">
        <v>272108</v>
      </c>
      <c r="CM116">
        <v>79187</v>
      </c>
      <c r="CN116">
        <v>4047</v>
      </c>
      <c r="CO116">
        <v>113282</v>
      </c>
      <c r="CP116">
        <v>887500.000000815</v>
      </c>
      <c r="CQ116">
        <v>23543.68</v>
      </c>
      <c r="CR116">
        <v>3674.68</v>
      </c>
      <c r="CS116">
        <v>19869</v>
      </c>
      <c r="CT116">
        <v>0</v>
      </c>
      <c r="CU116">
        <v>0</v>
      </c>
      <c r="CV116">
        <v>0</v>
      </c>
      <c r="CW116">
        <v>0</v>
      </c>
      <c r="CX116">
        <v>0</v>
      </c>
      <c r="CY116">
        <v>2000</v>
      </c>
      <c r="CZ116">
        <v>1790</v>
      </c>
      <c r="DA116">
        <v>0</v>
      </c>
      <c r="DB116">
        <v>0</v>
      </c>
      <c r="DC116">
        <v>210</v>
      </c>
      <c r="DD116">
        <v>0</v>
      </c>
      <c r="DE116">
        <v>0</v>
      </c>
      <c r="DF116">
        <v>0</v>
      </c>
      <c r="DG116">
        <v>0</v>
      </c>
      <c r="DH116" s="3">
        <v>659938</v>
      </c>
      <c r="DI116">
        <v>86940</v>
      </c>
      <c r="DJ116">
        <v>0</v>
      </c>
      <c r="DK116">
        <v>86940</v>
      </c>
      <c r="DL116">
        <v>0</v>
      </c>
      <c r="DM116">
        <v>0</v>
      </c>
      <c r="DN116">
        <v>0</v>
      </c>
      <c r="DO116">
        <v>0</v>
      </c>
      <c r="DP116">
        <v>0</v>
      </c>
      <c r="DQ116">
        <v>63917</v>
      </c>
      <c r="DR116">
        <v>0</v>
      </c>
      <c r="DS116">
        <v>14000</v>
      </c>
      <c r="DT116">
        <v>49917</v>
      </c>
      <c r="DU116">
        <v>0</v>
      </c>
      <c r="DV116">
        <v>0</v>
      </c>
      <c r="DW116">
        <v>0</v>
      </c>
      <c r="DX116">
        <v>0</v>
      </c>
      <c r="DY116">
        <v>0</v>
      </c>
      <c r="DZ116">
        <v>0</v>
      </c>
      <c r="EA116">
        <v>0</v>
      </c>
      <c r="EB116">
        <v>0</v>
      </c>
      <c r="EC116">
        <v>0</v>
      </c>
      <c r="ED116">
        <v>0</v>
      </c>
      <c r="EE116">
        <v>0</v>
      </c>
      <c r="EF116">
        <v>34792</v>
      </c>
      <c r="EG116">
        <v>0</v>
      </c>
      <c r="EH116">
        <v>532726.24</v>
      </c>
      <c r="EI116">
        <v>1040456.78</v>
      </c>
      <c r="EJ116">
        <v>0</v>
      </c>
      <c r="EK116">
        <v>0</v>
      </c>
      <c r="EL116">
        <v>0</v>
      </c>
      <c r="EM116">
        <v>0</v>
      </c>
      <c r="EN116">
        <v>0</v>
      </c>
      <c r="EO116">
        <v>0</v>
      </c>
      <c r="EP116">
        <v>0</v>
      </c>
      <c r="EQ116">
        <v>0</v>
      </c>
      <c r="ER116">
        <v>73884.3750000678</v>
      </c>
      <c r="ES116">
        <v>0</v>
      </c>
      <c r="ET116">
        <v>0</v>
      </c>
      <c r="EU116">
        <v>3180</v>
      </c>
      <c r="EV116" s="4">
        <v>246.527777778004</v>
      </c>
      <c r="EW116">
        <v>0</v>
      </c>
      <c r="EX116">
        <v>0</v>
      </c>
      <c r="EY116" s="4">
        <v>246.527777778004</v>
      </c>
      <c r="EZ116">
        <v>0</v>
      </c>
      <c r="FA116">
        <v>0</v>
      </c>
      <c r="FB116">
        <v>0</v>
      </c>
      <c r="FC116">
        <v>0</v>
      </c>
      <c r="FD116">
        <v>0</v>
      </c>
      <c r="FE116">
        <v>0</v>
      </c>
      <c r="FF116">
        <v>0</v>
      </c>
      <c r="FG116">
        <v>0</v>
      </c>
      <c r="FH116">
        <v>0</v>
      </c>
      <c r="FI116" s="4">
        <v>1321552.67486</v>
      </c>
      <c r="FJ116">
        <v>135762.8319</v>
      </c>
      <c r="FK116">
        <v>0</v>
      </c>
      <c r="FL116">
        <v>135762.8319</v>
      </c>
      <c r="FM116" s="4">
        <v>24875.6831683168</v>
      </c>
      <c r="FN116">
        <v>0</v>
      </c>
      <c r="FO116">
        <v>0</v>
      </c>
      <c r="FP116">
        <v>17011</v>
      </c>
      <c r="FQ116">
        <v>0</v>
      </c>
      <c r="FR116">
        <v>7864.68316831684</v>
      </c>
      <c r="FS116">
        <v>0</v>
      </c>
      <c r="FT116">
        <v>153896.744491943</v>
      </c>
      <c r="FU116">
        <v>384741.861229858</v>
      </c>
      <c r="FV116">
        <v>57711.2791844787</v>
      </c>
      <c r="FY116">
        <v>19237093.0614929</v>
      </c>
      <c r="FZ116">
        <v>12968163.3704352</v>
      </c>
      <c r="GA116">
        <v>2106079.21666833</v>
      </c>
      <c r="GB116">
        <v>10862084.1537669</v>
      </c>
      <c r="GC116">
        <v>8375008.90772603</v>
      </c>
      <c r="GD116">
        <v>0.435357300656323</v>
      </c>
      <c r="GE116">
        <v>6268929.6910577</v>
      </c>
      <c r="GF116">
        <v>0.325877182743701</v>
      </c>
      <c r="GJ116">
        <v>46051.3333333333</v>
      </c>
      <c r="GL116">
        <v>46062.0833333333</v>
      </c>
      <c r="GO116">
        <v>46065.8541666667</v>
      </c>
      <c r="GR116">
        <v>46080.9791666667</v>
      </c>
      <c r="HA116">
        <v>46116.2916666667</v>
      </c>
      <c r="HB116">
        <v>46125.2916666667</v>
      </c>
      <c r="HF116">
        <v>37</v>
      </c>
      <c r="HG116">
        <v>12</v>
      </c>
      <c r="HH116">
        <v>1</v>
      </c>
      <c r="HI116">
        <v>24</v>
      </c>
      <c r="HL116">
        <v>417</v>
      </c>
      <c r="HM116">
        <v>206</v>
      </c>
      <c r="HN116">
        <v>33</v>
      </c>
      <c r="HO116">
        <v>98</v>
      </c>
      <c r="HP116">
        <v>0</v>
      </c>
      <c r="HQ116">
        <v>84</v>
      </c>
      <c r="HR116">
        <v>246</v>
      </c>
      <c r="HS116">
        <v>433</v>
      </c>
    </row>
    <row r="117" spans="1:227">
      <c r="A117" s="1">
        <f t="shared" si="1"/>
        <v>116</v>
      </c>
      <c r="B117" s="2">
        <v>2026</v>
      </c>
      <c r="C117" s="2" t="s">
        <v>35</v>
      </c>
      <c r="D117" s="2" t="s">
        <v>27</v>
      </c>
      <c r="E117" s="9">
        <v>70316</v>
      </c>
      <c r="F117" s="2" t="s">
        <v>706</v>
      </c>
      <c r="G117" s="2" t="s">
        <v>28</v>
      </c>
      <c r="H117" s="2" t="s">
        <v>711</v>
      </c>
      <c r="I117" s="2" t="s">
        <v>410</v>
      </c>
      <c r="J117" t="s">
        <v>325</v>
      </c>
      <c r="K117" t="s">
        <v>41</v>
      </c>
      <c r="L117" t="s">
        <v>32</v>
      </c>
      <c r="M117">
        <v>3</v>
      </c>
      <c r="N117">
        <v>4004</v>
      </c>
      <c r="O117" s="3">
        <v>4016</v>
      </c>
      <c r="P117" s="4">
        <v>14.9791666667006</v>
      </c>
      <c r="R117" s="4">
        <v>16.6875</v>
      </c>
      <c r="S117" s="4">
        <v>10.1666666667006</v>
      </c>
      <c r="T117" s="4">
        <v>26.8541666667006</v>
      </c>
      <c r="U117" s="4">
        <v>41.8333333334012</v>
      </c>
      <c r="W117" s="4">
        <v>0.895138888890021</v>
      </c>
      <c r="X117" s="4">
        <v>1.39444444444671</v>
      </c>
      <c r="Y117" s="3">
        <v>13305814.88</v>
      </c>
      <c r="Z117">
        <v>1445241.93311027</v>
      </c>
      <c r="AA117">
        <v>11860572.9468897</v>
      </c>
      <c r="AB117">
        <v>1245930.18555716</v>
      </c>
      <c r="AC117">
        <v>418333.333334012</v>
      </c>
      <c r="AD117">
        <v>418333.333334012</v>
      </c>
      <c r="AE117">
        <v>0</v>
      </c>
      <c r="AF117">
        <v>245501.78</v>
      </c>
      <c r="AG117">
        <v>245501.78</v>
      </c>
      <c r="AH117">
        <v>0</v>
      </c>
      <c r="AI117">
        <v>10372.85</v>
      </c>
      <c r="AJ117">
        <v>10372.85</v>
      </c>
      <c r="AK117">
        <v>0</v>
      </c>
      <c r="AL117">
        <v>0</v>
      </c>
      <c r="AM117">
        <v>0</v>
      </c>
      <c r="AN117">
        <v>0</v>
      </c>
      <c r="AO117">
        <v>0</v>
      </c>
      <c r="AP117">
        <v>0</v>
      </c>
      <c r="AQ117">
        <v>0</v>
      </c>
      <c r="AR117">
        <v>0</v>
      </c>
      <c r="AS117">
        <v>0</v>
      </c>
      <c r="AT117">
        <v>0</v>
      </c>
      <c r="AU117">
        <v>0</v>
      </c>
      <c r="AV117">
        <v>0</v>
      </c>
      <c r="AW117">
        <v>0</v>
      </c>
      <c r="AX117">
        <v>0</v>
      </c>
      <c r="AY117">
        <v>571722.22222315</v>
      </c>
      <c r="AZ117">
        <v>10614642.7613326</v>
      </c>
      <c r="BA117">
        <v>4421088.02352364</v>
      </c>
      <c r="BB117">
        <v>139347.79</v>
      </c>
      <c r="BC117">
        <v>139347.79</v>
      </c>
      <c r="BD117">
        <v>0</v>
      </c>
      <c r="BE117">
        <v>0</v>
      </c>
      <c r="BF117">
        <v>1411325</v>
      </c>
      <c r="BG117">
        <v>1411325</v>
      </c>
      <c r="BH117">
        <v>0</v>
      </c>
      <c r="BI117">
        <v>104414.901</v>
      </c>
      <c r="BJ117">
        <v>923678.7</v>
      </c>
      <c r="BK117">
        <v>0</v>
      </c>
      <c r="BL117">
        <v>0</v>
      </c>
      <c r="BM117">
        <v>0</v>
      </c>
      <c r="BN117">
        <v>889804.165856921</v>
      </c>
      <c r="BO117">
        <v>496084.666666721</v>
      </c>
      <c r="BP117">
        <v>42966.666666721</v>
      </c>
      <c r="BQ117">
        <v>0</v>
      </c>
      <c r="BR117">
        <v>0</v>
      </c>
      <c r="BS117">
        <v>453118</v>
      </c>
      <c r="BT117">
        <v>456432.8</v>
      </c>
      <c r="BU117">
        <v>417664</v>
      </c>
      <c r="BV117">
        <v>38768.8</v>
      </c>
      <c r="BW117">
        <v>0</v>
      </c>
      <c r="BX117">
        <v>0</v>
      </c>
      <c r="BY117">
        <v>48520.46</v>
      </c>
      <c r="BZ117">
        <v>48520.46</v>
      </c>
      <c r="CA117">
        <v>48520.46</v>
      </c>
      <c r="CB117">
        <v>0</v>
      </c>
      <c r="CC117">
        <v>0</v>
      </c>
      <c r="CD117">
        <v>0</v>
      </c>
      <c r="CE117">
        <v>0</v>
      </c>
      <c r="CF117">
        <v>0</v>
      </c>
      <c r="CG117">
        <v>0</v>
      </c>
      <c r="CH117">
        <v>6145034.27780893</v>
      </c>
      <c r="CI117">
        <v>253004</v>
      </c>
      <c r="CJ117">
        <v>0</v>
      </c>
      <c r="CK117">
        <v>0</v>
      </c>
      <c r="CL117">
        <v>111830</v>
      </c>
      <c r="CM117">
        <v>63958</v>
      </c>
      <c r="CN117">
        <v>33972</v>
      </c>
      <c r="CO117">
        <v>43244</v>
      </c>
      <c r="CP117">
        <v>543833.333334216</v>
      </c>
      <c r="CQ117">
        <v>4129.92</v>
      </c>
      <c r="CR117">
        <v>2843.1</v>
      </c>
      <c r="CS117">
        <v>1286.82</v>
      </c>
      <c r="CT117">
        <v>0</v>
      </c>
      <c r="CU117">
        <v>0</v>
      </c>
      <c r="CV117">
        <v>0</v>
      </c>
      <c r="CW117">
        <v>0</v>
      </c>
      <c r="CX117">
        <v>0</v>
      </c>
      <c r="CY117">
        <v>3500</v>
      </c>
      <c r="CZ117">
        <v>0</v>
      </c>
      <c r="DA117">
        <v>0</v>
      </c>
      <c r="DB117">
        <v>0</v>
      </c>
      <c r="DC117">
        <v>0</v>
      </c>
      <c r="DD117">
        <v>0</v>
      </c>
      <c r="DE117">
        <v>0</v>
      </c>
      <c r="DF117">
        <v>3500</v>
      </c>
      <c r="DG117">
        <v>0</v>
      </c>
      <c r="DH117" s="3">
        <v>316198.99</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54871</v>
      </c>
      <c r="EG117">
        <v>0</v>
      </c>
      <c r="EH117">
        <v>257001.14</v>
      </c>
      <c r="EI117">
        <v>1957768</v>
      </c>
      <c r="EJ117">
        <v>0</v>
      </c>
      <c r="EK117">
        <v>0</v>
      </c>
      <c r="EL117">
        <v>0</v>
      </c>
      <c r="EM117">
        <v>0</v>
      </c>
      <c r="EN117">
        <v>0</v>
      </c>
      <c r="EO117">
        <v>21582.8</v>
      </c>
      <c r="EP117">
        <v>0</v>
      </c>
      <c r="EQ117">
        <v>21582.8</v>
      </c>
      <c r="ER117">
        <v>42921.0000000697</v>
      </c>
      <c r="ES117">
        <v>0</v>
      </c>
      <c r="ET117">
        <v>0</v>
      </c>
      <c r="EU117">
        <v>1800</v>
      </c>
      <c r="EV117" s="4">
        <v>139.444444444671</v>
      </c>
      <c r="EW117">
        <v>0</v>
      </c>
      <c r="EX117">
        <v>0</v>
      </c>
      <c r="EY117" s="4">
        <v>139.444444444671</v>
      </c>
      <c r="EZ117">
        <v>0</v>
      </c>
      <c r="FA117">
        <v>0</v>
      </c>
      <c r="FB117">
        <v>0</v>
      </c>
      <c r="FC117">
        <v>0</v>
      </c>
      <c r="FD117">
        <v>0</v>
      </c>
      <c r="FE117">
        <v>0</v>
      </c>
      <c r="FF117">
        <v>0</v>
      </c>
      <c r="FG117">
        <v>0</v>
      </c>
      <c r="FH117">
        <v>0</v>
      </c>
      <c r="FI117" s="4">
        <v>2071004.80587</v>
      </c>
      <c r="FJ117">
        <v>143730.0809</v>
      </c>
      <c r="FK117">
        <v>0</v>
      </c>
      <c r="FL117">
        <v>143730.0809</v>
      </c>
      <c r="FM117" s="4">
        <v>61069.501980198</v>
      </c>
      <c r="FN117">
        <v>0</v>
      </c>
      <c r="FO117">
        <v>0</v>
      </c>
      <c r="FP117">
        <v>49326.7</v>
      </c>
      <c r="FQ117">
        <v>0</v>
      </c>
      <c r="FR117">
        <v>11742.801980198</v>
      </c>
      <c r="FS117">
        <v>0</v>
      </c>
      <c r="FT117">
        <v>106446.51904</v>
      </c>
      <c r="FU117">
        <v>266116.2976</v>
      </c>
      <c r="FV117">
        <v>39917.44464</v>
      </c>
      <c r="FY117">
        <v>13305814.88</v>
      </c>
      <c r="FZ117">
        <v>3937102.30422459</v>
      </c>
      <c r="GA117">
        <v>1245930.18555716</v>
      </c>
      <c r="GB117">
        <v>10614642.7613326</v>
      </c>
      <c r="GC117">
        <v>2691172.11866743</v>
      </c>
      <c r="GD117">
        <v>0.20225534046115</v>
      </c>
      <c r="GE117">
        <v>9368712.57577541</v>
      </c>
      <c r="GF117">
        <v>0.704106637606806</v>
      </c>
      <c r="GJ117">
        <v>46080.3333333333</v>
      </c>
      <c r="GL117">
        <v>46095.3125</v>
      </c>
      <c r="GO117">
        <v>46097.2083333333</v>
      </c>
      <c r="GR117">
        <v>46108.0416666667</v>
      </c>
      <c r="HA117">
        <v>46112</v>
      </c>
      <c r="HB117">
        <v>46122.1666666667</v>
      </c>
      <c r="HF117">
        <v>38</v>
      </c>
      <c r="HG117">
        <v>10</v>
      </c>
      <c r="HH117">
        <v>2</v>
      </c>
      <c r="HI117">
        <v>26</v>
      </c>
      <c r="HL117">
        <v>121</v>
      </c>
      <c r="HM117">
        <v>72</v>
      </c>
      <c r="HN117">
        <v>30</v>
      </c>
      <c r="HO117">
        <v>10</v>
      </c>
      <c r="HP117">
        <v>0</v>
      </c>
      <c r="HQ117">
        <v>19</v>
      </c>
      <c r="HR117">
        <v>196</v>
      </c>
      <c r="HS117">
        <v>196</v>
      </c>
    </row>
    <row r="118" spans="1:227">
      <c r="A118" s="1">
        <f t="shared" si="1"/>
        <v>117</v>
      </c>
      <c r="B118" s="2">
        <v>2026</v>
      </c>
      <c r="C118" s="2" t="s">
        <v>35</v>
      </c>
      <c r="D118" s="2" t="s">
        <v>27</v>
      </c>
      <c r="E118" s="9">
        <v>50537</v>
      </c>
      <c r="F118" s="2" t="s">
        <v>837</v>
      </c>
      <c r="G118" s="2" t="s">
        <v>36</v>
      </c>
      <c r="H118" s="2" t="s">
        <v>711</v>
      </c>
      <c r="I118" s="2" t="s">
        <v>338</v>
      </c>
      <c r="J118" t="s">
        <v>313</v>
      </c>
      <c r="K118" t="s">
        <v>41</v>
      </c>
      <c r="L118" t="s">
        <v>32</v>
      </c>
      <c r="M118">
        <v>2</v>
      </c>
      <c r="N118">
        <v>1625</v>
      </c>
      <c r="O118" s="3">
        <v>1659</v>
      </c>
      <c r="P118" s="4">
        <v>7.64583333340124</v>
      </c>
      <c r="R118" s="4">
        <v>15.1875</v>
      </c>
      <c r="S118" s="4">
        <v>5.625</v>
      </c>
      <c r="T118" s="4">
        <v>20.8125</v>
      </c>
      <c r="U118" s="4">
        <v>28.4583333334012</v>
      </c>
      <c r="W118" s="4">
        <v>0.69375</v>
      </c>
      <c r="X118" s="4">
        <v>0.948611111113375</v>
      </c>
      <c r="Y118" s="3">
        <v>2952578.97954</v>
      </c>
      <c r="Z118">
        <v>-416101.215672199</v>
      </c>
      <c r="AA118">
        <v>3368680.1952122</v>
      </c>
      <c r="AB118">
        <v>625286.615556993</v>
      </c>
      <c r="AC118">
        <v>213437.500000509</v>
      </c>
      <c r="AD118">
        <v>213437.500000509</v>
      </c>
      <c r="AE118">
        <v>0</v>
      </c>
      <c r="AF118">
        <v>18668.49</v>
      </c>
      <c r="AG118">
        <v>18668.49</v>
      </c>
      <c r="AH118">
        <v>0</v>
      </c>
      <c r="AI118">
        <v>4250.07</v>
      </c>
      <c r="AJ118">
        <v>2765.5</v>
      </c>
      <c r="AK118">
        <v>1484.57</v>
      </c>
      <c r="AL118">
        <v>0</v>
      </c>
      <c r="AM118">
        <v>0</v>
      </c>
      <c r="AN118">
        <v>0</v>
      </c>
      <c r="AO118">
        <v>0</v>
      </c>
      <c r="AP118">
        <v>0</v>
      </c>
      <c r="AQ118">
        <v>0</v>
      </c>
      <c r="AR118">
        <v>0</v>
      </c>
      <c r="AS118">
        <v>0</v>
      </c>
      <c r="AT118">
        <v>0</v>
      </c>
      <c r="AU118">
        <v>0</v>
      </c>
      <c r="AV118">
        <v>0</v>
      </c>
      <c r="AW118">
        <v>0</v>
      </c>
      <c r="AX118">
        <v>0</v>
      </c>
      <c r="AY118">
        <v>388930.555556484</v>
      </c>
      <c r="AZ118">
        <v>2743393.57965521</v>
      </c>
      <c r="BA118">
        <v>916478.509535469</v>
      </c>
      <c r="BB118">
        <v>78260.18</v>
      </c>
      <c r="BC118">
        <v>78260.18</v>
      </c>
      <c r="BD118">
        <v>0</v>
      </c>
      <c r="BE118">
        <v>0</v>
      </c>
      <c r="BF118">
        <v>260179.565</v>
      </c>
      <c r="BG118">
        <v>260179.565</v>
      </c>
      <c r="BH118">
        <v>0</v>
      </c>
      <c r="BI118">
        <v>9860.3689</v>
      </c>
      <c r="BJ118">
        <v>157329.6</v>
      </c>
      <c r="BK118">
        <v>0</v>
      </c>
      <c r="BL118">
        <v>0</v>
      </c>
      <c r="BM118">
        <v>0</v>
      </c>
      <c r="BN118">
        <v>171128.195635469</v>
      </c>
      <c r="BO118">
        <v>116486.8</v>
      </c>
      <c r="BP118">
        <v>33300</v>
      </c>
      <c r="BQ118">
        <v>0</v>
      </c>
      <c r="BR118">
        <v>0</v>
      </c>
      <c r="BS118">
        <v>83186.8</v>
      </c>
      <c r="BT118">
        <v>123233.8</v>
      </c>
      <c r="BU118">
        <v>104517</v>
      </c>
      <c r="BV118">
        <v>18716.8</v>
      </c>
      <c r="BW118">
        <v>0</v>
      </c>
      <c r="BX118">
        <v>0</v>
      </c>
      <c r="BY118">
        <v>2243.36</v>
      </c>
      <c r="BZ118">
        <v>2243.36</v>
      </c>
      <c r="CA118">
        <v>2243.36</v>
      </c>
      <c r="CB118">
        <v>0</v>
      </c>
      <c r="CC118">
        <v>0</v>
      </c>
      <c r="CD118">
        <v>0</v>
      </c>
      <c r="CE118">
        <v>0</v>
      </c>
      <c r="CF118">
        <v>0</v>
      </c>
      <c r="CG118">
        <v>0</v>
      </c>
      <c r="CH118">
        <v>1824671.71011974</v>
      </c>
      <c r="CI118">
        <v>203408</v>
      </c>
      <c r="CJ118">
        <v>0</v>
      </c>
      <c r="CK118">
        <v>0</v>
      </c>
      <c r="CL118">
        <v>128742</v>
      </c>
      <c r="CM118">
        <v>26868</v>
      </c>
      <c r="CN118">
        <v>2174</v>
      </c>
      <c r="CO118">
        <v>45624</v>
      </c>
      <c r="CP118">
        <v>327270.833334114</v>
      </c>
      <c r="CQ118">
        <v>2843.1</v>
      </c>
      <c r="CR118">
        <v>2843.1</v>
      </c>
      <c r="CS118">
        <v>0</v>
      </c>
      <c r="CT118">
        <v>0</v>
      </c>
      <c r="CU118">
        <v>0</v>
      </c>
      <c r="CV118">
        <v>0</v>
      </c>
      <c r="CW118">
        <v>0</v>
      </c>
      <c r="CX118">
        <v>0</v>
      </c>
      <c r="CY118">
        <v>21400</v>
      </c>
      <c r="CZ118">
        <v>21400</v>
      </c>
      <c r="DA118">
        <v>0</v>
      </c>
      <c r="DB118">
        <v>0</v>
      </c>
      <c r="DC118">
        <v>0</v>
      </c>
      <c r="DD118">
        <v>0</v>
      </c>
      <c r="DE118">
        <v>0</v>
      </c>
      <c r="DF118">
        <v>0</v>
      </c>
      <c r="DG118">
        <v>0</v>
      </c>
      <c r="DH118" s="3">
        <v>261534.56946</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16589</v>
      </c>
      <c r="EG118">
        <v>0</v>
      </c>
      <c r="EH118">
        <v>4800</v>
      </c>
      <c r="EI118">
        <v>328156.56</v>
      </c>
      <c r="EJ118">
        <v>0</v>
      </c>
      <c r="EK118">
        <v>0</v>
      </c>
      <c r="EL118">
        <v>0</v>
      </c>
      <c r="EM118">
        <v>0</v>
      </c>
      <c r="EN118">
        <v>0</v>
      </c>
      <c r="EO118">
        <v>0</v>
      </c>
      <c r="EP118">
        <v>0</v>
      </c>
      <c r="EQ118">
        <v>0</v>
      </c>
      <c r="ER118">
        <v>24588.0000000587</v>
      </c>
      <c r="ES118">
        <v>0</v>
      </c>
      <c r="ET118">
        <v>0</v>
      </c>
      <c r="EU118">
        <v>16020</v>
      </c>
      <c r="EV118" s="4">
        <v>94.8611111113375</v>
      </c>
      <c r="EW118">
        <v>0</v>
      </c>
      <c r="EX118">
        <v>0</v>
      </c>
      <c r="EY118" s="4">
        <v>94.8611111113375</v>
      </c>
      <c r="EZ118">
        <v>0</v>
      </c>
      <c r="FA118">
        <v>0</v>
      </c>
      <c r="FB118">
        <v>0</v>
      </c>
      <c r="FC118">
        <v>0</v>
      </c>
      <c r="FD118">
        <v>0</v>
      </c>
      <c r="FE118">
        <v>0</v>
      </c>
      <c r="FF118">
        <v>0</v>
      </c>
      <c r="FG118">
        <v>0</v>
      </c>
      <c r="FH118">
        <v>0</v>
      </c>
      <c r="FI118" s="4">
        <v>486513.89072</v>
      </c>
      <c r="FJ118">
        <v>36525.66</v>
      </c>
      <c r="FK118">
        <v>0</v>
      </c>
      <c r="FL118">
        <v>36525.66</v>
      </c>
      <c r="FM118" s="4">
        <v>3397.28712871287</v>
      </c>
      <c r="FN118">
        <v>0</v>
      </c>
      <c r="FO118">
        <v>0</v>
      </c>
      <c r="FP118">
        <v>2526</v>
      </c>
      <c r="FQ118">
        <v>0</v>
      </c>
      <c r="FR118">
        <v>871.287128712871</v>
      </c>
      <c r="FS118">
        <v>0</v>
      </c>
      <c r="FT118">
        <v>23620.63183632</v>
      </c>
      <c r="FU118">
        <v>59051.5795908</v>
      </c>
      <c r="FV118">
        <v>8857.73693862</v>
      </c>
      <c r="FY118">
        <v>2952578.97954</v>
      </c>
      <c r="FZ118">
        <v>3368680.1952122</v>
      </c>
      <c r="GA118">
        <v>625286.615556993</v>
      </c>
      <c r="GB118">
        <v>2743393.57965521</v>
      </c>
      <c r="GC118">
        <v>209185.399884794</v>
      </c>
      <c r="GD118">
        <v>0.0708483672526127</v>
      </c>
      <c r="GE118">
        <v>-416101.215672199</v>
      </c>
      <c r="GF118">
        <v>-0.140928055965848</v>
      </c>
      <c r="GJ118">
        <v>46099.3333333333</v>
      </c>
      <c r="GL118">
        <v>46106.9791666667</v>
      </c>
      <c r="GO118">
        <v>46110.25</v>
      </c>
      <c r="HA118">
        <v>46122.1666666667</v>
      </c>
      <c r="HB118">
        <v>46127.7916666667</v>
      </c>
      <c r="HF118">
        <v>32</v>
      </c>
      <c r="HG118">
        <v>8</v>
      </c>
      <c r="HH118">
        <v>1</v>
      </c>
      <c r="HI118">
        <v>23</v>
      </c>
      <c r="HL118">
        <v>68</v>
      </c>
      <c r="HM118">
        <v>38</v>
      </c>
      <c r="HN118">
        <v>19</v>
      </c>
      <c r="HO118">
        <v>19</v>
      </c>
      <c r="HP118">
        <v>0</v>
      </c>
      <c r="HQ118">
        <v>15</v>
      </c>
      <c r="HR118">
        <v>118</v>
      </c>
      <c r="HS118">
        <v>222</v>
      </c>
    </row>
    <row r="119" spans="1:227">
      <c r="A119" s="1">
        <f t="shared" si="1"/>
        <v>118</v>
      </c>
      <c r="B119" s="2">
        <v>2026</v>
      </c>
      <c r="C119" s="2" t="s">
        <v>35</v>
      </c>
      <c r="D119" s="2" t="s">
        <v>27</v>
      </c>
      <c r="E119" s="9">
        <v>70152</v>
      </c>
      <c r="F119" s="2" t="s">
        <v>811</v>
      </c>
      <c r="G119" s="2" t="s">
        <v>28</v>
      </c>
      <c r="H119" s="2" t="s">
        <v>692</v>
      </c>
      <c r="I119" s="2" t="s">
        <v>411</v>
      </c>
      <c r="J119" t="s">
        <v>324</v>
      </c>
      <c r="K119" t="s">
        <v>834</v>
      </c>
      <c r="L119" t="s">
        <v>32</v>
      </c>
      <c r="M119">
        <v>3</v>
      </c>
      <c r="N119">
        <v>3676</v>
      </c>
      <c r="O119" s="3">
        <v>3741</v>
      </c>
      <c r="P119" s="4">
        <v>1.625</v>
      </c>
      <c r="R119" s="4">
        <v>16.3333333334012</v>
      </c>
      <c r="S119" s="4">
        <v>4.66666666659876</v>
      </c>
      <c r="T119" s="4">
        <v>21</v>
      </c>
      <c r="U119" s="4">
        <v>22.625</v>
      </c>
      <c r="W119" s="4">
        <v>0.7</v>
      </c>
      <c r="X119" s="4">
        <v>0.754166666666667</v>
      </c>
      <c r="Y119" s="3">
        <v>8886619.1</v>
      </c>
      <c r="Z119">
        <v>1287654.34279667</v>
      </c>
      <c r="AA119">
        <v>7598964.75720333</v>
      </c>
      <c r="AB119">
        <v>581339.656666666</v>
      </c>
      <c r="AC119">
        <v>263958.333333333</v>
      </c>
      <c r="AD119">
        <v>263958.333333333</v>
      </c>
      <c r="AE119">
        <v>0</v>
      </c>
      <c r="AF119">
        <v>1477.07</v>
      </c>
      <c r="AG119">
        <v>1477.07</v>
      </c>
      <c r="AH119">
        <v>0</v>
      </c>
      <c r="AI119">
        <v>6695.92</v>
      </c>
      <c r="AJ119">
        <v>6695.92</v>
      </c>
      <c r="AK119">
        <v>0</v>
      </c>
      <c r="AL119">
        <v>0</v>
      </c>
      <c r="AM119">
        <v>0</v>
      </c>
      <c r="AN119">
        <v>0</v>
      </c>
      <c r="AO119">
        <v>0</v>
      </c>
      <c r="AP119">
        <v>0</v>
      </c>
      <c r="AQ119">
        <v>0</v>
      </c>
      <c r="AR119">
        <v>0</v>
      </c>
      <c r="AS119">
        <v>0</v>
      </c>
      <c r="AT119">
        <v>0</v>
      </c>
      <c r="AU119">
        <v>0</v>
      </c>
      <c r="AV119">
        <v>0</v>
      </c>
      <c r="AW119">
        <v>0</v>
      </c>
      <c r="AX119">
        <v>0</v>
      </c>
      <c r="AY119">
        <v>309208.333333333</v>
      </c>
      <c r="AZ119">
        <v>7017625.10053667</v>
      </c>
      <c r="BA119">
        <v>1986295.1473</v>
      </c>
      <c r="BB119">
        <v>212907.07</v>
      </c>
      <c r="BC119">
        <v>212907.07</v>
      </c>
      <c r="BD119">
        <v>0</v>
      </c>
      <c r="BE119">
        <v>0</v>
      </c>
      <c r="BF119">
        <v>1271038.413</v>
      </c>
      <c r="BG119">
        <v>1271038.413</v>
      </c>
      <c r="BH119">
        <v>0</v>
      </c>
      <c r="BI119">
        <v>9618.6</v>
      </c>
      <c r="BJ119">
        <v>0</v>
      </c>
      <c r="BK119">
        <v>0</v>
      </c>
      <c r="BL119">
        <v>0</v>
      </c>
      <c r="BM119">
        <v>0</v>
      </c>
      <c r="BN119">
        <v>36683.2643</v>
      </c>
      <c r="BO119">
        <v>189628</v>
      </c>
      <c r="BP119">
        <v>33600</v>
      </c>
      <c r="BQ119">
        <v>0</v>
      </c>
      <c r="BR119">
        <v>0</v>
      </c>
      <c r="BS119">
        <v>156028</v>
      </c>
      <c r="BT119">
        <v>266419.8</v>
      </c>
      <c r="BU119">
        <v>235683</v>
      </c>
      <c r="BV119">
        <v>30736.8</v>
      </c>
      <c r="BW119">
        <v>0</v>
      </c>
      <c r="BX119">
        <v>0</v>
      </c>
      <c r="BY119">
        <v>0</v>
      </c>
      <c r="BZ119">
        <v>0</v>
      </c>
      <c r="CA119">
        <v>0</v>
      </c>
      <c r="CB119">
        <v>0</v>
      </c>
      <c r="CC119">
        <v>0</v>
      </c>
      <c r="CD119">
        <v>0</v>
      </c>
      <c r="CE119">
        <v>0</v>
      </c>
      <c r="CF119">
        <v>0</v>
      </c>
      <c r="CG119">
        <v>0</v>
      </c>
      <c r="CH119">
        <v>5031329.95323667</v>
      </c>
      <c r="CI119">
        <v>114826.5</v>
      </c>
      <c r="CJ119">
        <v>0</v>
      </c>
      <c r="CK119">
        <v>14585</v>
      </c>
      <c r="CL119">
        <v>0</v>
      </c>
      <c r="CM119">
        <v>30982</v>
      </c>
      <c r="CN119">
        <v>21922.5</v>
      </c>
      <c r="CO119">
        <v>47337</v>
      </c>
      <c r="CP119">
        <v>260187.5</v>
      </c>
      <c r="CQ119">
        <v>4344.35</v>
      </c>
      <c r="CR119">
        <v>583.7</v>
      </c>
      <c r="CS119">
        <v>3760.65</v>
      </c>
      <c r="CT119">
        <v>0</v>
      </c>
      <c r="CU119">
        <v>0</v>
      </c>
      <c r="CV119">
        <v>0</v>
      </c>
      <c r="CW119">
        <v>0</v>
      </c>
      <c r="CX119">
        <v>0</v>
      </c>
      <c r="CY119">
        <v>21170</v>
      </c>
      <c r="CZ119">
        <v>9600</v>
      </c>
      <c r="DA119">
        <v>0</v>
      </c>
      <c r="DB119">
        <v>0</v>
      </c>
      <c r="DC119">
        <v>0</v>
      </c>
      <c r="DD119">
        <v>0</v>
      </c>
      <c r="DE119">
        <v>0</v>
      </c>
      <c r="DF119">
        <v>11570</v>
      </c>
      <c r="DG119">
        <v>0</v>
      </c>
      <c r="DH119" s="3">
        <v>394908.97443</v>
      </c>
      <c r="DI119">
        <v>48792</v>
      </c>
      <c r="DJ119">
        <v>0</v>
      </c>
      <c r="DK119">
        <v>48792</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59131</v>
      </c>
      <c r="EG119">
        <v>0</v>
      </c>
      <c r="EH119">
        <v>4800</v>
      </c>
      <c r="EI119">
        <v>1136442.54</v>
      </c>
      <c r="EJ119">
        <v>0</v>
      </c>
      <c r="EK119">
        <v>0</v>
      </c>
      <c r="EL119">
        <v>0</v>
      </c>
      <c r="EM119">
        <v>0</v>
      </c>
      <c r="EN119">
        <v>0</v>
      </c>
      <c r="EO119">
        <v>0</v>
      </c>
      <c r="EP119">
        <v>0</v>
      </c>
      <c r="EQ119">
        <v>0</v>
      </c>
      <c r="ER119">
        <v>22602.375</v>
      </c>
      <c r="ES119">
        <v>0</v>
      </c>
      <c r="ET119">
        <v>0</v>
      </c>
      <c r="EU119">
        <v>5640</v>
      </c>
      <c r="EV119" s="4">
        <v>75.4166666666667</v>
      </c>
      <c r="EW119">
        <v>0</v>
      </c>
      <c r="EX119">
        <v>0</v>
      </c>
      <c r="EY119" s="4">
        <v>75.4166666666667</v>
      </c>
      <c r="EZ119">
        <v>0</v>
      </c>
      <c r="FA119">
        <v>0</v>
      </c>
      <c r="FB119">
        <v>0</v>
      </c>
      <c r="FC119">
        <v>0</v>
      </c>
      <c r="FD119">
        <v>0</v>
      </c>
      <c r="FE119">
        <v>0</v>
      </c>
      <c r="FF119">
        <v>0</v>
      </c>
      <c r="FG119">
        <v>0</v>
      </c>
      <c r="FH119">
        <v>0</v>
      </c>
      <c r="FI119" s="4">
        <v>2675969.10504</v>
      </c>
      <c r="FJ119">
        <v>0</v>
      </c>
      <c r="FK119">
        <v>0</v>
      </c>
      <c r="FL119">
        <v>0</v>
      </c>
      <c r="FM119" s="4">
        <v>6955</v>
      </c>
      <c r="FN119">
        <v>0</v>
      </c>
      <c r="FO119">
        <v>0</v>
      </c>
      <c r="FP119">
        <v>4548</v>
      </c>
      <c r="FQ119">
        <v>0</v>
      </c>
      <c r="FR119">
        <v>2407</v>
      </c>
      <c r="FS119">
        <v>0</v>
      </c>
      <c r="FT119">
        <v>71092.9528</v>
      </c>
      <c r="FU119">
        <v>177732.382</v>
      </c>
      <c r="FV119">
        <v>26659.8573</v>
      </c>
      <c r="FY119">
        <v>8886619.1</v>
      </c>
      <c r="FZ119">
        <v>7598964.75720333</v>
      </c>
      <c r="GA119">
        <v>581339.656666666</v>
      </c>
      <c r="GB119">
        <v>7017625.10053667</v>
      </c>
      <c r="GC119">
        <v>1868993.99946333</v>
      </c>
      <c r="GD119">
        <v>0.210315529272919</v>
      </c>
      <c r="GE119">
        <v>1287654.34279667</v>
      </c>
      <c r="GF119">
        <v>0.144898113479024</v>
      </c>
      <c r="GJ119">
        <v>46104.3333333333</v>
      </c>
      <c r="GL119">
        <v>46105.9583333333</v>
      </c>
      <c r="GO119">
        <v>46110.2916666667</v>
      </c>
      <c r="GR119">
        <v>46116.0416666667</v>
      </c>
      <c r="HA119">
        <v>46122.2916666667</v>
      </c>
      <c r="HB119">
        <v>46126.9583333333</v>
      </c>
      <c r="HF119">
        <v>37</v>
      </c>
      <c r="HG119">
        <v>12</v>
      </c>
      <c r="HH119">
        <v>2</v>
      </c>
      <c r="HI119">
        <v>23</v>
      </c>
      <c r="HL119">
        <v>76</v>
      </c>
      <c r="HM119">
        <v>23</v>
      </c>
      <c r="HN119">
        <v>13</v>
      </c>
      <c r="HO119">
        <v>18</v>
      </c>
      <c r="HP119">
        <v>0</v>
      </c>
      <c r="HQ119">
        <v>90</v>
      </c>
      <c r="HR119">
        <v>273</v>
      </c>
      <c r="HS119">
        <v>11</v>
      </c>
    </row>
    <row r="120" spans="1:227">
      <c r="A120" s="1">
        <f t="shared" si="1"/>
        <v>119</v>
      </c>
      <c r="B120" s="2">
        <v>2026</v>
      </c>
      <c r="C120" s="2" t="s">
        <v>35</v>
      </c>
      <c r="D120" s="2" t="s">
        <v>27</v>
      </c>
      <c r="E120" s="9" t="s">
        <v>828</v>
      </c>
      <c r="F120" s="2" t="s">
        <v>829</v>
      </c>
      <c r="G120" s="2" t="s">
        <v>697</v>
      </c>
      <c r="H120" s="2" t="s">
        <v>830</v>
      </c>
      <c r="I120" s="2" t="s">
        <v>838</v>
      </c>
      <c r="J120" t="s">
        <v>832</v>
      </c>
      <c r="K120" t="s">
        <v>833</v>
      </c>
      <c r="L120" t="s">
        <v>32</v>
      </c>
      <c r="M120">
        <v>3</v>
      </c>
      <c r="N120">
        <v>1175</v>
      </c>
      <c r="O120" s="3">
        <v>1169</v>
      </c>
      <c r="P120" s="4">
        <v>17.4583333334012</v>
      </c>
      <c r="Q120" s="4">
        <v>2.41666666670062</v>
      </c>
      <c r="R120" s="4">
        <v>22.4999999998981</v>
      </c>
      <c r="S120" s="4">
        <v>0.416666666700621</v>
      </c>
      <c r="T120" s="4">
        <v>22.9166666665988</v>
      </c>
      <c r="U120" s="4">
        <v>50.9166666667006</v>
      </c>
      <c r="V120" s="4">
        <v>8.125</v>
      </c>
      <c r="W120" s="4">
        <v>0.763888888886625</v>
      </c>
      <c r="X120" s="4">
        <v>1.69722222222335</v>
      </c>
      <c r="Y120" s="3">
        <v>2717633.93871616</v>
      </c>
      <c r="Z120">
        <v>-2019692.48984771</v>
      </c>
      <c r="AA120">
        <v>4737326.42856387</v>
      </c>
      <c r="AB120">
        <v>1816493.30511564</v>
      </c>
      <c r="AC120">
        <v>763750.000000509</v>
      </c>
      <c r="AD120">
        <v>763750.000000509</v>
      </c>
      <c r="AE120">
        <v>0</v>
      </c>
      <c r="AF120">
        <v>0</v>
      </c>
      <c r="AG120">
        <v>0</v>
      </c>
      <c r="AH120">
        <v>0</v>
      </c>
      <c r="AI120">
        <v>0</v>
      </c>
      <c r="AJ120">
        <v>0</v>
      </c>
      <c r="AK120">
        <v>0</v>
      </c>
      <c r="AL120">
        <v>0</v>
      </c>
      <c r="AM120">
        <v>123683.860670063</v>
      </c>
      <c r="AN120">
        <v>0</v>
      </c>
      <c r="AO120">
        <v>0</v>
      </c>
      <c r="AP120">
        <v>0</v>
      </c>
      <c r="AQ120">
        <v>123683.860670063</v>
      </c>
      <c r="AR120">
        <v>0</v>
      </c>
      <c r="AS120">
        <v>233198.333333489</v>
      </c>
      <c r="AT120">
        <v>212152.777777919</v>
      </c>
      <c r="AU120">
        <v>0</v>
      </c>
      <c r="AV120">
        <v>21045.5555555696</v>
      </c>
      <c r="AW120">
        <v>0</v>
      </c>
      <c r="AX120">
        <v>0</v>
      </c>
      <c r="AY120">
        <v>695861.111111575</v>
      </c>
      <c r="AZ120">
        <v>2920833.12344823</v>
      </c>
      <c r="BA120">
        <v>185383.296666558</v>
      </c>
      <c r="BB120">
        <v>0</v>
      </c>
      <c r="BC120">
        <v>0</v>
      </c>
      <c r="BD120">
        <v>0</v>
      </c>
      <c r="BE120">
        <v>0</v>
      </c>
      <c r="BF120">
        <v>0</v>
      </c>
      <c r="BG120">
        <v>0</v>
      </c>
      <c r="BH120">
        <v>0</v>
      </c>
      <c r="BI120">
        <v>0</v>
      </c>
      <c r="BJ120">
        <v>0</v>
      </c>
      <c r="BK120">
        <v>109850</v>
      </c>
      <c r="BL120">
        <v>109850</v>
      </c>
      <c r="BM120">
        <v>0</v>
      </c>
      <c r="BN120">
        <v>38866.63</v>
      </c>
      <c r="BO120">
        <v>36666.666666558</v>
      </c>
      <c r="BP120">
        <v>36666.666666558</v>
      </c>
      <c r="BQ120">
        <v>0</v>
      </c>
      <c r="BR120">
        <v>0</v>
      </c>
      <c r="BS120">
        <v>0</v>
      </c>
      <c r="BT120">
        <v>0</v>
      </c>
      <c r="BU120">
        <v>0</v>
      </c>
      <c r="BV120">
        <v>0</v>
      </c>
      <c r="BW120">
        <v>0</v>
      </c>
      <c r="BX120">
        <v>0</v>
      </c>
      <c r="BY120">
        <v>181764.804</v>
      </c>
      <c r="BZ120">
        <v>0</v>
      </c>
      <c r="CA120">
        <v>0</v>
      </c>
      <c r="CB120">
        <v>0</v>
      </c>
      <c r="CC120">
        <v>0</v>
      </c>
      <c r="CD120">
        <v>181764.804</v>
      </c>
      <c r="CE120">
        <v>181764.804</v>
      </c>
      <c r="CF120">
        <v>0</v>
      </c>
      <c r="CG120">
        <v>0</v>
      </c>
      <c r="CH120">
        <v>2553685.02278168</v>
      </c>
      <c r="CI120">
        <v>326052.5552055</v>
      </c>
      <c r="CJ120">
        <v>23985</v>
      </c>
      <c r="CK120">
        <v>5063</v>
      </c>
      <c r="CL120">
        <v>0</v>
      </c>
      <c r="CM120">
        <v>238289</v>
      </c>
      <c r="CN120">
        <v>37260.5552054998</v>
      </c>
      <c r="CO120">
        <v>21455</v>
      </c>
      <c r="CP120">
        <v>381875.000000255</v>
      </c>
      <c r="CQ120">
        <v>173.8</v>
      </c>
      <c r="CR120">
        <v>0</v>
      </c>
      <c r="CS120">
        <v>173.8</v>
      </c>
      <c r="CT120">
        <v>0</v>
      </c>
      <c r="CU120">
        <v>0</v>
      </c>
      <c r="CV120">
        <v>0</v>
      </c>
      <c r="CW120">
        <v>0</v>
      </c>
      <c r="CX120">
        <v>0</v>
      </c>
      <c r="CY120">
        <v>0</v>
      </c>
      <c r="CZ120">
        <v>0</v>
      </c>
      <c r="DA120">
        <v>0</v>
      </c>
      <c r="DB120">
        <v>0</v>
      </c>
      <c r="DC120">
        <v>0</v>
      </c>
      <c r="DD120">
        <v>0</v>
      </c>
      <c r="DE120">
        <v>0</v>
      </c>
      <c r="DF120">
        <v>0</v>
      </c>
      <c r="DG120">
        <v>0</v>
      </c>
      <c r="DH120" s="3">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120000</v>
      </c>
      <c r="EG120">
        <v>0</v>
      </c>
      <c r="EH120">
        <v>0</v>
      </c>
      <c r="EI120">
        <v>0</v>
      </c>
      <c r="EJ120">
        <v>0</v>
      </c>
      <c r="EK120">
        <v>0</v>
      </c>
      <c r="EL120">
        <v>245000</v>
      </c>
      <c r="EM120">
        <v>0</v>
      </c>
      <c r="EN120">
        <v>0</v>
      </c>
      <c r="EO120">
        <v>40749.6880530973</v>
      </c>
      <c r="EP120">
        <v>40749.6880530973</v>
      </c>
      <c r="EQ120">
        <v>0</v>
      </c>
      <c r="ER120">
        <v>61003.1250000344</v>
      </c>
      <c r="ES120">
        <v>45825.0000000306</v>
      </c>
      <c r="ET120">
        <v>50407.5000000336</v>
      </c>
      <c r="EU120">
        <v>1400</v>
      </c>
      <c r="EV120" s="4">
        <v>130.569863013786</v>
      </c>
      <c r="EW120">
        <v>0</v>
      </c>
      <c r="EX120">
        <v>0</v>
      </c>
      <c r="EY120" s="4">
        <v>130.569863013786</v>
      </c>
      <c r="EZ120">
        <v>0</v>
      </c>
      <c r="FA120">
        <v>0</v>
      </c>
      <c r="FB120">
        <v>0</v>
      </c>
      <c r="FC120">
        <v>0</v>
      </c>
      <c r="FD120">
        <v>0</v>
      </c>
      <c r="FE120">
        <v>0</v>
      </c>
      <c r="FF120">
        <v>0</v>
      </c>
      <c r="FG120">
        <v>0</v>
      </c>
      <c r="FH120">
        <v>386462</v>
      </c>
      <c r="FI120" s="4">
        <v>507003.380347121</v>
      </c>
      <c r="FJ120">
        <v>56807.0796460177</v>
      </c>
      <c r="FK120">
        <v>0</v>
      </c>
      <c r="FL120">
        <v>56807.0796460177</v>
      </c>
      <c r="FM120" s="4">
        <v>246548.672566372</v>
      </c>
      <c r="FN120">
        <v>0</v>
      </c>
      <c r="FO120">
        <v>246548.672566372</v>
      </c>
      <c r="FP120">
        <v>0</v>
      </c>
      <c r="FQ120">
        <v>0</v>
      </c>
      <c r="FR120">
        <v>0</v>
      </c>
      <c r="FS120">
        <v>0</v>
      </c>
      <c r="FT120">
        <v>21741.0715097293</v>
      </c>
      <c r="FU120">
        <v>54352.6787743233</v>
      </c>
      <c r="FV120">
        <v>8152.90181614849</v>
      </c>
      <c r="FY120">
        <v>2717633.93871616</v>
      </c>
      <c r="FZ120">
        <v>4737326.42856387</v>
      </c>
      <c r="GA120">
        <v>1816493.30511564</v>
      </c>
      <c r="GB120">
        <v>2920833.12344823</v>
      </c>
      <c r="GC120">
        <v>-203199.184732073</v>
      </c>
      <c r="GD120">
        <v>-0.0747706237537153</v>
      </c>
      <c r="GE120">
        <v>-2019692.48984771</v>
      </c>
      <c r="GF120">
        <v>-0.74318047808964</v>
      </c>
      <c r="GJ120">
        <v>46046.3333333333</v>
      </c>
      <c r="GK120">
        <v>46110.25</v>
      </c>
      <c r="GL120">
        <v>46063.7916666667</v>
      </c>
      <c r="GM120">
        <v>46066.25</v>
      </c>
      <c r="GN120">
        <v>46066.8958333333</v>
      </c>
      <c r="GO120">
        <v>46070.5416666667</v>
      </c>
      <c r="GP120">
        <v>46071.7083333333</v>
      </c>
      <c r="GQ120">
        <v>46072.9583333333</v>
      </c>
      <c r="GR120">
        <v>46112.6666666667</v>
      </c>
      <c r="GS120">
        <v>46118.875</v>
      </c>
      <c r="GT120">
        <v>46121.4583333333</v>
      </c>
      <c r="GU120">
        <v>46124.6666666667</v>
      </c>
      <c r="GV120">
        <v>46126</v>
      </c>
      <c r="HA120">
        <v>46126</v>
      </c>
      <c r="HB120">
        <v>46126.4166666667</v>
      </c>
      <c r="HC120">
        <v>46134.5416666667</v>
      </c>
      <c r="HF120">
        <v>33</v>
      </c>
      <c r="HG120">
        <v>6</v>
      </c>
      <c r="HH120">
        <v>12</v>
      </c>
      <c r="HI120">
        <v>15</v>
      </c>
    </row>
    <row r="121" spans="1:227">
      <c r="A121" s="1">
        <f t="shared" si="1"/>
        <v>120</v>
      </c>
      <c r="B121" s="2">
        <v>2026</v>
      </c>
      <c r="C121" s="2" t="s">
        <v>39</v>
      </c>
      <c r="D121" s="2" t="s">
        <v>27</v>
      </c>
      <c r="E121" s="9">
        <v>50998</v>
      </c>
      <c r="F121" s="2" t="s">
        <v>805</v>
      </c>
      <c r="G121" s="2" t="s">
        <v>36</v>
      </c>
      <c r="H121" s="2" t="s">
        <v>692</v>
      </c>
      <c r="I121" s="2" t="s">
        <v>412</v>
      </c>
      <c r="J121" s="5" t="s">
        <v>308</v>
      </c>
      <c r="K121" t="s">
        <v>31</v>
      </c>
      <c r="L121" t="s">
        <v>32</v>
      </c>
      <c r="M121">
        <v>2</v>
      </c>
      <c r="N121">
        <v>2968</v>
      </c>
      <c r="O121" s="3">
        <v>3003</v>
      </c>
      <c r="P121" s="4">
        <v>1.66666666670062</v>
      </c>
      <c r="R121" s="4">
        <v>8.41666666659876</v>
      </c>
      <c r="S121" s="4">
        <v>6.22916666670062</v>
      </c>
      <c r="T121" s="4">
        <v>14.6458333332994</v>
      </c>
      <c r="U121" s="4">
        <v>16.3125</v>
      </c>
      <c r="W121" s="4">
        <v>0.488194444443313</v>
      </c>
      <c r="X121" s="4">
        <v>0.54375</v>
      </c>
      <c r="Y121" s="3">
        <v>3929518</v>
      </c>
      <c r="Z121">
        <v>420979.667532942</v>
      </c>
      <c r="AA121">
        <v>3508538.33246706</v>
      </c>
      <c r="AB121">
        <v>548397.87</v>
      </c>
      <c r="AC121">
        <v>231093.75</v>
      </c>
      <c r="AD121">
        <v>231093.75</v>
      </c>
      <c r="AE121">
        <v>0</v>
      </c>
      <c r="AF121">
        <v>94366.62</v>
      </c>
      <c r="AG121">
        <v>7036.95</v>
      </c>
      <c r="AH121">
        <v>87329.67</v>
      </c>
      <c r="AI121">
        <v>0</v>
      </c>
      <c r="AJ121">
        <v>0</v>
      </c>
      <c r="AK121">
        <v>0</v>
      </c>
      <c r="AL121">
        <v>0</v>
      </c>
      <c r="AM121">
        <v>0</v>
      </c>
      <c r="AS121">
        <v>0</v>
      </c>
      <c r="AY121">
        <v>222937.5</v>
      </c>
      <c r="AZ121">
        <v>2960140.46246706</v>
      </c>
      <c r="BA121">
        <v>1287767.31521106</v>
      </c>
      <c r="BB121">
        <v>39130.09</v>
      </c>
      <c r="BC121">
        <v>39130.09</v>
      </c>
      <c r="BF121">
        <v>618532.322777778</v>
      </c>
      <c r="BG121">
        <v>618532.322777778</v>
      </c>
      <c r="BK121">
        <v>209193.85</v>
      </c>
      <c r="BL121">
        <v>209193.85</v>
      </c>
      <c r="BN121">
        <v>11062.5191</v>
      </c>
      <c r="BO121">
        <v>81986.133333279</v>
      </c>
      <c r="BP121">
        <v>23433.333333279</v>
      </c>
      <c r="BS121">
        <v>58552.8</v>
      </c>
      <c r="BT121">
        <v>327862.4</v>
      </c>
      <c r="BU121">
        <v>312312</v>
      </c>
      <c r="BV121">
        <v>15550.4</v>
      </c>
      <c r="BY121">
        <v>0</v>
      </c>
      <c r="BZ121">
        <v>0</v>
      </c>
      <c r="CD121">
        <v>0</v>
      </c>
      <c r="CH121">
        <v>1672373.147256</v>
      </c>
      <c r="CI121">
        <v>78230</v>
      </c>
      <c r="CK121">
        <v>5027</v>
      </c>
      <c r="CM121">
        <v>9020</v>
      </c>
      <c r="CN121">
        <v>9678</v>
      </c>
      <c r="CO121">
        <v>54505</v>
      </c>
      <c r="CP121">
        <v>130500</v>
      </c>
      <c r="CQ121">
        <v>5250.09</v>
      </c>
      <c r="CR121">
        <v>355.39</v>
      </c>
      <c r="CS121">
        <v>4894.7</v>
      </c>
      <c r="CY121">
        <v>7571.51</v>
      </c>
      <c r="CZ121">
        <v>0</v>
      </c>
      <c r="DB121">
        <v>3769.81</v>
      </c>
      <c r="DC121">
        <v>330</v>
      </c>
      <c r="DF121">
        <v>3471.7</v>
      </c>
      <c r="DH121" s="3">
        <v>177159.31071</v>
      </c>
      <c r="DI121">
        <v>22158</v>
      </c>
      <c r="DP121">
        <v>22158</v>
      </c>
      <c r="DQ121">
        <v>0</v>
      </c>
      <c r="DZ121">
        <v>0</v>
      </c>
      <c r="EF121">
        <v>25526</v>
      </c>
      <c r="EI121">
        <v>303731.88</v>
      </c>
      <c r="EO121">
        <v>8413.5</v>
      </c>
      <c r="EQ121">
        <v>8413.5</v>
      </c>
      <c r="ER121">
        <v>14534.4375</v>
      </c>
      <c r="EU121">
        <v>0</v>
      </c>
      <c r="EV121" s="4">
        <v>54.375</v>
      </c>
      <c r="EY121" s="4">
        <v>54.375</v>
      </c>
      <c r="EZ121">
        <v>0</v>
      </c>
      <c r="FE121">
        <v>0</v>
      </c>
      <c r="FI121" s="4">
        <v>733113.05925</v>
      </c>
      <c r="FJ121">
        <v>39447.716796</v>
      </c>
      <c r="FL121">
        <v>39447.716796</v>
      </c>
      <c r="FM121" s="4">
        <v>4868.21</v>
      </c>
      <c r="FP121">
        <v>4548</v>
      </c>
      <c r="FR121">
        <v>320.21</v>
      </c>
      <c r="FT121">
        <v>31436.144</v>
      </c>
      <c r="FU121">
        <v>78590.36</v>
      </c>
      <c r="FV121">
        <v>11788.554</v>
      </c>
      <c r="FY121">
        <v>3929518</v>
      </c>
      <c r="FZ121">
        <v>3508538.33246706</v>
      </c>
      <c r="GA121">
        <v>548397.87</v>
      </c>
      <c r="GB121">
        <v>2960140.46246706</v>
      </c>
      <c r="GC121">
        <v>969377.537532942</v>
      </c>
      <c r="GD121">
        <v>0.246691206792523</v>
      </c>
      <c r="GE121">
        <v>420979.667532942</v>
      </c>
      <c r="GF121">
        <v>0.10713264770207</v>
      </c>
      <c r="GJ121">
        <v>46146.25</v>
      </c>
      <c r="GL121">
        <v>46147.9166666667</v>
      </c>
      <c r="GO121">
        <v>46150.2916666667</v>
      </c>
      <c r="HA121">
        <v>46156.3333333333</v>
      </c>
      <c r="HB121">
        <v>46162.5625</v>
      </c>
      <c r="HF121">
        <v>33</v>
      </c>
      <c r="HG121">
        <v>14</v>
      </c>
      <c r="HH121">
        <v>3</v>
      </c>
      <c r="HI121">
        <v>16</v>
      </c>
      <c r="HL121">
        <v>62</v>
      </c>
      <c r="HM121">
        <v>10</v>
      </c>
      <c r="HN121">
        <v>15</v>
      </c>
      <c r="HO121">
        <v>18</v>
      </c>
      <c r="HP121">
        <v>0</v>
      </c>
      <c r="HQ121">
        <v>20</v>
      </c>
      <c r="HR121">
        <v>110</v>
      </c>
      <c r="HS121">
        <v>71</v>
      </c>
    </row>
    <row r="122" spans="1:227">
      <c r="A122" s="1">
        <f t="shared" si="1"/>
        <v>121</v>
      </c>
      <c r="B122" s="2">
        <v>2026</v>
      </c>
      <c r="C122" s="2" t="s">
        <v>39</v>
      </c>
      <c r="D122" s="2" t="s">
        <v>27</v>
      </c>
      <c r="E122" s="9">
        <v>50998</v>
      </c>
      <c r="F122" s="2" t="s">
        <v>805</v>
      </c>
      <c r="G122" s="2" t="s">
        <v>36</v>
      </c>
      <c r="H122" s="2" t="s">
        <v>692</v>
      </c>
      <c r="I122" s="2" t="s">
        <v>413</v>
      </c>
      <c r="J122" s="5" t="s">
        <v>308</v>
      </c>
      <c r="K122" t="s">
        <v>31</v>
      </c>
      <c r="L122" t="s">
        <v>32</v>
      </c>
      <c r="M122">
        <v>2</v>
      </c>
      <c r="N122">
        <v>2816</v>
      </c>
      <c r="O122" s="3">
        <v>2885</v>
      </c>
      <c r="P122" s="4">
        <v>5.375</v>
      </c>
      <c r="R122" s="4">
        <v>10</v>
      </c>
      <c r="S122" s="4">
        <v>4.625</v>
      </c>
      <c r="T122" s="4">
        <v>14.625</v>
      </c>
      <c r="U122" s="4">
        <v>20</v>
      </c>
      <c r="W122" s="4">
        <v>0.4875</v>
      </c>
      <c r="X122" s="4">
        <v>0.666666666666667</v>
      </c>
      <c r="Y122" s="3">
        <v>3480078.47984</v>
      </c>
      <c r="Z122">
        <v>266076.811345627</v>
      </c>
      <c r="AA122">
        <v>3214001.66849437</v>
      </c>
      <c r="AB122">
        <v>672382.936666667</v>
      </c>
      <c r="AC122">
        <v>283333.333333333</v>
      </c>
      <c r="AD122">
        <v>283333.333333333</v>
      </c>
      <c r="AE122">
        <v>0</v>
      </c>
      <c r="AF122">
        <v>115716.27</v>
      </c>
      <c r="AG122">
        <v>8629</v>
      </c>
      <c r="AH122">
        <v>107087.27</v>
      </c>
      <c r="AI122">
        <v>0</v>
      </c>
      <c r="AJ122">
        <v>0</v>
      </c>
      <c r="AK122">
        <v>0</v>
      </c>
      <c r="AL122">
        <v>0</v>
      </c>
      <c r="AM122">
        <v>0</v>
      </c>
      <c r="AS122">
        <v>0</v>
      </c>
      <c r="AY122">
        <v>273333.333333333</v>
      </c>
      <c r="AZ122">
        <v>2541618.73182771</v>
      </c>
      <c r="BA122">
        <v>808827.7624</v>
      </c>
      <c r="BB122">
        <v>39130.09</v>
      </c>
      <c r="BC122">
        <v>39130.09</v>
      </c>
      <c r="BF122">
        <v>274191.294</v>
      </c>
      <c r="BG122">
        <v>274191.294</v>
      </c>
      <c r="BK122">
        <v>153535.68</v>
      </c>
      <c r="BL122">
        <v>153535.68</v>
      </c>
      <c r="BN122">
        <v>61334.8984</v>
      </c>
      <c r="BO122">
        <v>80352.8</v>
      </c>
      <c r="BP122">
        <v>23400</v>
      </c>
      <c r="BS122">
        <v>56952.8</v>
      </c>
      <c r="BT122">
        <v>200283</v>
      </c>
      <c r="BU122">
        <v>181755</v>
      </c>
      <c r="BV122">
        <v>18528</v>
      </c>
      <c r="BY122">
        <v>13971.04</v>
      </c>
      <c r="BZ122">
        <v>13971.04</v>
      </c>
      <c r="CA122">
        <v>13971.04</v>
      </c>
      <c r="CD122">
        <v>0</v>
      </c>
      <c r="CH122">
        <v>1718819.92942771</v>
      </c>
      <c r="CI122">
        <v>169928</v>
      </c>
      <c r="CL122">
        <v>64875</v>
      </c>
      <c r="CM122">
        <v>30645</v>
      </c>
      <c r="CN122">
        <v>9283</v>
      </c>
      <c r="CO122">
        <v>65125</v>
      </c>
      <c r="CP122">
        <v>160000</v>
      </c>
      <c r="CQ122">
        <v>2610.19</v>
      </c>
      <c r="CR122">
        <v>355.39</v>
      </c>
      <c r="CS122">
        <v>2254.8</v>
      </c>
      <c r="CY122">
        <v>0</v>
      </c>
      <c r="CZ122">
        <v>0</v>
      </c>
      <c r="DB122">
        <v>0</v>
      </c>
      <c r="DC122">
        <v>0</v>
      </c>
      <c r="DF122">
        <v>0</v>
      </c>
      <c r="DH122" s="3">
        <v>176858.76543</v>
      </c>
      <c r="DI122">
        <v>20115</v>
      </c>
      <c r="DP122">
        <v>20115</v>
      </c>
      <c r="DQ122">
        <v>0</v>
      </c>
      <c r="DZ122">
        <v>0</v>
      </c>
      <c r="EF122">
        <v>18102</v>
      </c>
      <c r="EI122">
        <v>289717.81</v>
      </c>
      <c r="EO122">
        <v>9598.5</v>
      </c>
      <c r="EQ122">
        <v>9598.5</v>
      </c>
      <c r="ER122">
        <v>17820</v>
      </c>
      <c r="EU122">
        <v>0</v>
      </c>
      <c r="EV122" s="4">
        <v>66.6666666666667</v>
      </c>
      <c r="EY122" s="4">
        <v>66.6666666666667</v>
      </c>
      <c r="EZ122">
        <v>0</v>
      </c>
      <c r="FE122">
        <v>0</v>
      </c>
      <c r="FI122" s="4">
        <v>698526.91766</v>
      </c>
      <c r="FJ122">
        <v>39447.716796</v>
      </c>
      <c r="FL122">
        <v>39447.716796</v>
      </c>
      <c r="FM122" s="4">
        <v>8145.93</v>
      </c>
      <c r="FP122">
        <v>4928</v>
      </c>
      <c r="FR122">
        <v>3217.93</v>
      </c>
      <c r="FT122">
        <v>27840.62783872</v>
      </c>
      <c r="FU122">
        <v>69601.5695968</v>
      </c>
      <c r="FV122">
        <v>10440.23543952</v>
      </c>
      <c r="FY122">
        <v>3480078.47984</v>
      </c>
      <c r="FZ122">
        <v>3214001.66849437</v>
      </c>
      <c r="GA122">
        <v>672382.936666667</v>
      </c>
      <c r="GB122">
        <v>2541618.73182771</v>
      </c>
      <c r="GC122">
        <v>938459.748012294</v>
      </c>
      <c r="GD122">
        <v>0.269666259956138</v>
      </c>
      <c r="GE122">
        <v>266076.811345627</v>
      </c>
      <c r="GF122">
        <v>0.0764571295983705</v>
      </c>
      <c r="GJ122">
        <v>46126.25</v>
      </c>
      <c r="GL122">
        <v>46131.625</v>
      </c>
      <c r="GO122">
        <v>46134</v>
      </c>
      <c r="HA122">
        <v>46141.625</v>
      </c>
      <c r="HB122">
        <v>46146.25</v>
      </c>
      <c r="HF122">
        <v>33</v>
      </c>
      <c r="HG122">
        <v>14</v>
      </c>
      <c r="HH122">
        <v>3</v>
      </c>
      <c r="HI122">
        <v>16</v>
      </c>
      <c r="HL122">
        <v>92</v>
      </c>
      <c r="HM122">
        <v>44</v>
      </c>
      <c r="HN122">
        <v>22</v>
      </c>
      <c r="HO122">
        <v>23</v>
      </c>
      <c r="HP122">
        <v>0</v>
      </c>
      <c r="HQ122">
        <v>13</v>
      </c>
      <c r="HR122">
        <v>130</v>
      </c>
      <c r="HS122">
        <v>27</v>
      </c>
    </row>
    <row r="123" spans="1:227">
      <c r="A123" s="1">
        <f t="shared" si="1"/>
        <v>122</v>
      </c>
      <c r="B123" s="2">
        <v>2026</v>
      </c>
      <c r="C123" s="2" t="s">
        <v>39</v>
      </c>
      <c r="D123" s="2" t="s">
        <v>27</v>
      </c>
      <c r="E123" s="9">
        <v>50537</v>
      </c>
      <c r="F123" s="2" t="s">
        <v>837</v>
      </c>
      <c r="G123" s="2" t="s">
        <v>36</v>
      </c>
      <c r="H123" s="2" t="s">
        <v>711</v>
      </c>
      <c r="I123" s="2" t="s">
        <v>339</v>
      </c>
      <c r="J123" t="s">
        <v>371</v>
      </c>
      <c r="K123" t="s">
        <v>41</v>
      </c>
      <c r="L123" t="s">
        <v>32</v>
      </c>
      <c r="M123">
        <v>2</v>
      </c>
      <c r="N123">
        <v>2327</v>
      </c>
      <c r="O123" s="3">
        <v>2347</v>
      </c>
      <c r="P123" s="4">
        <v>4.79166666670062</v>
      </c>
      <c r="R123" s="4">
        <v>8.29166666670062</v>
      </c>
      <c r="S123" s="4">
        <v>5.5</v>
      </c>
      <c r="T123" s="4">
        <v>13.7916666667006</v>
      </c>
      <c r="U123" s="4">
        <v>18.5833333334012</v>
      </c>
      <c r="W123" s="4">
        <v>0.459722222223354</v>
      </c>
      <c r="X123" s="4">
        <v>0.619444444446708</v>
      </c>
      <c r="Y123" s="3">
        <v>3353059.77018</v>
      </c>
      <c r="Z123">
        <v>317097.309664312</v>
      </c>
      <c r="AA123">
        <v>3035962.46051569</v>
      </c>
      <c r="AB123">
        <v>423312.923334827</v>
      </c>
      <c r="AC123">
        <v>154861.111111677</v>
      </c>
      <c r="AD123">
        <v>154861.111111677</v>
      </c>
      <c r="AE123">
        <v>0</v>
      </c>
      <c r="AF123">
        <v>11794.46</v>
      </c>
      <c r="AG123">
        <v>11794.46</v>
      </c>
      <c r="AH123">
        <v>0</v>
      </c>
      <c r="AI123">
        <v>2685.13</v>
      </c>
      <c r="AJ123">
        <v>1747.2</v>
      </c>
      <c r="AK123">
        <v>937.93</v>
      </c>
      <c r="AL123">
        <v>0</v>
      </c>
      <c r="AM123">
        <v>0</v>
      </c>
      <c r="AS123">
        <v>0</v>
      </c>
      <c r="AY123">
        <v>253972.22222315</v>
      </c>
      <c r="AZ123">
        <v>2612649.53718086</v>
      </c>
      <c r="BA123">
        <v>802426.039100066</v>
      </c>
      <c r="BB123">
        <v>9026.55</v>
      </c>
      <c r="BC123">
        <v>9026.55</v>
      </c>
      <c r="BF123">
        <v>287206.573333345</v>
      </c>
      <c r="BG123">
        <v>287206.573333345</v>
      </c>
      <c r="BK123">
        <v>83498</v>
      </c>
      <c r="BL123">
        <v>83498</v>
      </c>
      <c r="BN123">
        <v>54785.0491</v>
      </c>
      <c r="BO123">
        <v>109487.466666721</v>
      </c>
      <c r="BP123">
        <v>22066.666666721</v>
      </c>
      <c r="BS123">
        <v>87420.8</v>
      </c>
      <c r="BT123">
        <v>258422.4</v>
      </c>
      <c r="BU123">
        <v>244088</v>
      </c>
      <c r="BV123">
        <v>14334.4</v>
      </c>
      <c r="BY123">
        <v>1554.84</v>
      </c>
      <c r="BZ123">
        <v>1554.84</v>
      </c>
      <c r="CA123">
        <v>1554.84</v>
      </c>
      <c r="CD123">
        <v>0</v>
      </c>
      <c r="CH123">
        <v>1808668.65808079</v>
      </c>
      <c r="CI123">
        <v>170081</v>
      </c>
      <c r="CL123">
        <v>106651</v>
      </c>
      <c r="CM123">
        <v>23423</v>
      </c>
      <c r="CN123">
        <v>3773</v>
      </c>
      <c r="CO123">
        <v>36234</v>
      </c>
      <c r="CP123">
        <v>195125.000000713</v>
      </c>
      <c r="CQ123">
        <v>11270.5</v>
      </c>
      <c r="CR123">
        <v>3674.7</v>
      </c>
      <c r="CS123">
        <v>7595.8</v>
      </c>
      <c r="CY123">
        <v>3471.7</v>
      </c>
      <c r="CZ123">
        <v>0</v>
      </c>
      <c r="DB123">
        <v>0</v>
      </c>
      <c r="DC123">
        <v>0</v>
      </c>
      <c r="DF123">
        <v>3471.7</v>
      </c>
      <c r="DH123" s="3">
        <v>188703.57408</v>
      </c>
      <c r="DI123">
        <v>0</v>
      </c>
      <c r="DQ123">
        <v>0</v>
      </c>
      <c r="DZ123">
        <v>0</v>
      </c>
      <c r="EF123">
        <v>22064</v>
      </c>
      <c r="EH123">
        <v>2400</v>
      </c>
      <c r="EI123">
        <v>401353.08</v>
      </c>
      <c r="EN123">
        <v>40000</v>
      </c>
      <c r="EO123">
        <v>0</v>
      </c>
      <c r="ER123">
        <v>15554.2500000568</v>
      </c>
      <c r="EU123">
        <v>13800</v>
      </c>
      <c r="EV123" s="4">
        <v>61.9444444446708</v>
      </c>
      <c r="EY123" s="4">
        <v>61.9444444446708</v>
      </c>
      <c r="EZ123">
        <v>0</v>
      </c>
      <c r="FE123">
        <v>0</v>
      </c>
      <c r="FI123" s="4">
        <v>595239.01668</v>
      </c>
      <c r="FJ123">
        <v>40250.54</v>
      </c>
      <c r="FL123">
        <v>40250.54</v>
      </c>
      <c r="FM123" s="4">
        <v>5349.2</v>
      </c>
      <c r="FP123">
        <v>1200</v>
      </c>
      <c r="FR123">
        <v>4149.2</v>
      </c>
      <c r="FT123">
        <v>26824.47816144</v>
      </c>
      <c r="FU123">
        <v>67061.1954036</v>
      </c>
      <c r="FV123">
        <v>10059.17931054</v>
      </c>
      <c r="FY123">
        <v>3353059.77018</v>
      </c>
      <c r="FZ123">
        <v>3035962.46051569</v>
      </c>
      <c r="GA123">
        <v>423312.923334827</v>
      </c>
      <c r="GB123">
        <v>2612649.53718086</v>
      </c>
      <c r="GC123">
        <v>740410.232999139</v>
      </c>
      <c r="GD123">
        <v>0.220816294294507</v>
      </c>
      <c r="GE123">
        <v>317097.309664312</v>
      </c>
      <c r="GF123">
        <v>0.0945695369001101</v>
      </c>
      <c r="GJ123">
        <v>46134.3333333333</v>
      </c>
      <c r="GL123">
        <v>46139.125</v>
      </c>
      <c r="GO123">
        <v>46142.0833333333</v>
      </c>
      <c r="HA123">
        <v>46147.4166666667</v>
      </c>
      <c r="HB123">
        <v>46152.9166666667</v>
      </c>
      <c r="HF123">
        <v>31</v>
      </c>
      <c r="HG123">
        <v>9</v>
      </c>
      <c r="HH123">
        <v>1</v>
      </c>
      <c r="HI123">
        <v>21</v>
      </c>
      <c r="HL123">
        <v>74</v>
      </c>
      <c r="HM123">
        <v>40</v>
      </c>
      <c r="HN123">
        <v>14</v>
      </c>
      <c r="HO123">
        <v>17</v>
      </c>
      <c r="HP123">
        <v>2</v>
      </c>
      <c r="HQ123">
        <v>14</v>
      </c>
      <c r="HR123">
        <v>134</v>
      </c>
      <c r="HS123">
        <v>36</v>
      </c>
    </row>
    <row r="124" spans="1:227">
      <c r="A124" s="1">
        <f t="shared" si="1"/>
        <v>123</v>
      </c>
      <c r="B124" s="2">
        <v>2026</v>
      </c>
      <c r="C124" s="2" t="s">
        <v>39</v>
      </c>
      <c r="D124" s="2" t="s">
        <v>27</v>
      </c>
      <c r="E124" s="9">
        <v>70111</v>
      </c>
      <c r="F124" s="2" t="s">
        <v>790</v>
      </c>
      <c r="G124" s="2" t="s">
        <v>28</v>
      </c>
      <c r="H124" s="2" t="s">
        <v>711</v>
      </c>
      <c r="I124" s="2" t="s">
        <v>415</v>
      </c>
      <c r="J124" s="5" t="s">
        <v>328</v>
      </c>
      <c r="K124" t="s">
        <v>730</v>
      </c>
      <c r="L124" t="s">
        <v>32</v>
      </c>
      <c r="M124">
        <v>3</v>
      </c>
      <c r="N124">
        <v>6127</v>
      </c>
      <c r="O124" s="3">
        <v>5607</v>
      </c>
      <c r="P124" s="4">
        <v>11.5833333334012</v>
      </c>
      <c r="R124" s="4">
        <v>35.875</v>
      </c>
      <c r="S124" s="4">
        <v>14.9166666665988</v>
      </c>
      <c r="T124" s="4">
        <v>50.7916666665988</v>
      </c>
      <c r="U124" s="4">
        <v>62.375</v>
      </c>
      <c r="W124" s="4">
        <v>1.69305555555329</v>
      </c>
      <c r="X124" s="4">
        <v>2.07916666666667</v>
      </c>
      <c r="Y124" s="3">
        <v>15692685.1903734</v>
      </c>
      <c r="Z124">
        <v>-1205471.87541674</v>
      </c>
      <c r="AA124">
        <v>16898157.0657901</v>
      </c>
      <c r="AB124">
        <v>1907830.64333333</v>
      </c>
      <c r="AC124">
        <v>779687.5</v>
      </c>
      <c r="AD124">
        <v>779687.5</v>
      </c>
      <c r="AE124">
        <v>0</v>
      </c>
      <c r="AF124">
        <v>269253.76</v>
      </c>
      <c r="AG124">
        <v>0</v>
      </c>
      <c r="AH124">
        <v>269253.76</v>
      </c>
      <c r="AI124">
        <v>6431.05</v>
      </c>
      <c r="AJ124">
        <v>6431.05</v>
      </c>
      <c r="AK124">
        <v>0</v>
      </c>
      <c r="AL124">
        <v>0</v>
      </c>
      <c r="AM124">
        <v>0</v>
      </c>
      <c r="AS124">
        <v>0</v>
      </c>
      <c r="AY124">
        <v>852458.333333333</v>
      </c>
      <c r="AZ124">
        <v>14990326.4224568</v>
      </c>
      <c r="BA124">
        <v>4959149.39096656</v>
      </c>
      <c r="BB124">
        <v>278695.58</v>
      </c>
      <c r="BC124">
        <v>278695.58</v>
      </c>
      <c r="BF124">
        <v>2086813</v>
      </c>
      <c r="BG124">
        <v>2086813</v>
      </c>
      <c r="BI124">
        <v>14267.59</v>
      </c>
      <c r="BJ124">
        <v>1662023.35</v>
      </c>
      <c r="BK124">
        <v>0</v>
      </c>
      <c r="BN124">
        <v>178220.7043</v>
      </c>
      <c r="BO124">
        <v>278714.666666558</v>
      </c>
      <c r="BP124">
        <v>81266.666666558</v>
      </c>
      <c r="BS124">
        <v>197448</v>
      </c>
      <c r="BT124">
        <v>460414.5</v>
      </c>
      <c r="BU124">
        <v>353241</v>
      </c>
      <c r="BV124">
        <v>107173.5</v>
      </c>
      <c r="BY124">
        <v>19847.91</v>
      </c>
      <c r="BZ124">
        <v>19847.91</v>
      </c>
      <c r="CA124">
        <v>19847.91</v>
      </c>
      <c r="CD124">
        <v>0</v>
      </c>
      <c r="CH124">
        <v>10011329.1214902</v>
      </c>
      <c r="CI124">
        <v>456860</v>
      </c>
      <c r="CL124">
        <v>252140</v>
      </c>
      <c r="CM124">
        <v>60630</v>
      </c>
      <c r="CN124">
        <v>3358</v>
      </c>
      <c r="CO124">
        <v>140732</v>
      </c>
      <c r="CP124">
        <v>530187.5</v>
      </c>
      <c r="CQ124">
        <v>9248</v>
      </c>
      <c r="CR124">
        <v>2843.1</v>
      </c>
      <c r="CS124">
        <v>6404.9</v>
      </c>
      <c r="CY124">
        <v>11845.66</v>
      </c>
      <c r="CZ124">
        <v>100</v>
      </c>
      <c r="DB124">
        <v>333.96</v>
      </c>
      <c r="DC124">
        <v>440</v>
      </c>
      <c r="DF124">
        <v>10971.7</v>
      </c>
      <c r="DH124" s="3">
        <v>668586.3</v>
      </c>
      <c r="DI124">
        <v>0</v>
      </c>
      <c r="DQ124">
        <v>54541.8</v>
      </c>
      <c r="DS124">
        <v>54541.8</v>
      </c>
      <c r="DZ124">
        <v>0</v>
      </c>
      <c r="EF124">
        <v>70983</v>
      </c>
      <c r="EH124">
        <v>594845.64</v>
      </c>
      <c r="EI124">
        <v>1564925.08</v>
      </c>
      <c r="EK124">
        <v>700000</v>
      </c>
      <c r="EL124">
        <v>1334716</v>
      </c>
      <c r="EO124">
        <v>24418.9</v>
      </c>
      <c r="EQ124">
        <v>24418.9</v>
      </c>
      <c r="ER124">
        <v>53892</v>
      </c>
      <c r="EU124">
        <v>1140</v>
      </c>
      <c r="EV124" s="4">
        <v>207.916666666667</v>
      </c>
      <c r="EY124" s="4">
        <v>207.916666666667</v>
      </c>
      <c r="EZ124">
        <v>0</v>
      </c>
      <c r="FE124">
        <v>0</v>
      </c>
      <c r="FI124" s="4">
        <v>3215188.32657</v>
      </c>
      <c r="FJ124">
        <v>209874.576852</v>
      </c>
      <c r="FL124">
        <v>209874.576852</v>
      </c>
      <c r="FM124" s="4">
        <v>23395.1805</v>
      </c>
      <c r="FP124">
        <v>15497.5405</v>
      </c>
      <c r="FR124">
        <v>7897.64</v>
      </c>
      <c r="FT124">
        <v>125541.481522987</v>
      </c>
      <c r="FU124">
        <v>313853.703807468</v>
      </c>
      <c r="FV124">
        <v>47078.0555711202</v>
      </c>
      <c r="FY124">
        <v>15692685.1903734</v>
      </c>
      <c r="FZ124">
        <v>16898157.0657901</v>
      </c>
      <c r="GA124">
        <v>1907830.64333333</v>
      </c>
      <c r="GB124">
        <v>14990326.4224568</v>
      </c>
      <c r="GC124">
        <v>702358.767916599</v>
      </c>
      <c r="GD124">
        <v>0.044757080091523</v>
      </c>
      <c r="GE124">
        <v>-1205471.87541674</v>
      </c>
      <c r="GF124">
        <v>-0.0768174382390737</v>
      </c>
      <c r="GJ124">
        <v>46107.3333333333</v>
      </c>
      <c r="GL124">
        <v>46118.9166666667</v>
      </c>
      <c r="GO124">
        <v>46123</v>
      </c>
      <c r="GR124">
        <v>46138</v>
      </c>
      <c r="HA124">
        <v>46154.7916666667</v>
      </c>
      <c r="HB124">
        <v>46169.7083333333</v>
      </c>
      <c r="HF124">
        <v>32</v>
      </c>
      <c r="HG124">
        <v>9</v>
      </c>
      <c r="HH124">
        <v>6</v>
      </c>
      <c r="HI124">
        <v>17</v>
      </c>
      <c r="HL124">
        <v>245</v>
      </c>
      <c r="HM124">
        <v>189</v>
      </c>
      <c r="HN124">
        <v>19</v>
      </c>
      <c r="HO124">
        <v>30</v>
      </c>
      <c r="HP124">
        <v>2</v>
      </c>
      <c r="HQ124">
        <v>85</v>
      </c>
      <c r="HR124">
        <v>376</v>
      </c>
      <c r="HS124">
        <v>273</v>
      </c>
    </row>
    <row r="125" customFormat="1" spans="1:227">
      <c r="A125" s="1">
        <f t="shared" ref="A125:A134" si="2">ROW()-1</f>
        <v>124</v>
      </c>
      <c r="B125" s="2">
        <v>2026</v>
      </c>
      <c r="C125" s="2" t="s">
        <v>45</v>
      </c>
      <c r="D125" s="2" t="s">
        <v>27</v>
      </c>
      <c r="E125" s="9">
        <v>50998</v>
      </c>
      <c r="F125" s="2" t="s">
        <v>805</v>
      </c>
      <c r="G125" s="2" t="s">
        <v>36</v>
      </c>
      <c r="H125" s="2" t="s">
        <v>692</v>
      </c>
      <c r="I125" s="2" t="s">
        <v>341</v>
      </c>
      <c r="J125" t="s">
        <v>839</v>
      </c>
      <c r="K125" t="s">
        <v>31</v>
      </c>
      <c r="L125" t="s">
        <v>38</v>
      </c>
      <c r="M125">
        <v>3</v>
      </c>
      <c r="N125">
        <v>2695</v>
      </c>
      <c r="O125">
        <v>2703</v>
      </c>
      <c r="P125">
        <v>6.35416666670062</v>
      </c>
      <c r="R125">
        <v>24.1458333332994</v>
      </c>
      <c r="S125">
        <v>4.02083333340124</v>
      </c>
      <c r="T125">
        <v>28.1666666667006</v>
      </c>
      <c r="U125">
        <v>34.5208333334012</v>
      </c>
      <c r="W125">
        <v>0.938888888890021</v>
      </c>
      <c r="X125">
        <v>1.15069444444671</v>
      </c>
      <c r="Y125">
        <v>5000000</v>
      </c>
      <c r="Z125">
        <v>-173165.309992991</v>
      </c>
      <c r="AA125">
        <v>5173165.30999299</v>
      </c>
      <c r="AB125">
        <v>1169300.941113</v>
      </c>
      <c r="AC125">
        <v>489045.138889851</v>
      </c>
      <c r="AD125">
        <v>489045.138889851</v>
      </c>
      <c r="AE125">
        <v>0</v>
      </c>
      <c r="AF125">
        <v>205116.73</v>
      </c>
      <c r="AG125">
        <v>15390.13</v>
      </c>
      <c r="AH125">
        <v>189726.6</v>
      </c>
      <c r="AI125">
        <v>3354.35</v>
      </c>
      <c r="AJ125">
        <v>3354.35</v>
      </c>
      <c r="AK125">
        <v>0</v>
      </c>
      <c r="AL125">
        <v>0</v>
      </c>
      <c r="AM125">
        <v>0</v>
      </c>
      <c r="AN125">
        <v>0</v>
      </c>
      <c r="AO125">
        <v>0</v>
      </c>
      <c r="AP125">
        <v>0</v>
      </c>
      <c r="AQ125">
        <v>0</v>
      </c>
      <c r="AR125">
        <v>0</v>
      </c>
      <c r="AS125">
        <v>0</v>
      </c>
      <c r="AT125">
        <v>0</v>
      </c>
      <c r="AU125">
        <v>0</v>
      </c>
      <c r="AV125">
        <v>0</v>
      </c>
      <c r="AW125">
        <v>0</v>
      </c>
      <c r="AX125">
        <v>0</v>
      </c>
      <c r="AY125">
        <v>471784.72222315</v>
      </c>
      <c r="AZ125">
        <v>4003864.36887999</v>
      </c>
      <c r="BA125">
        <v>2004155.06171672</v>
      </c>
      <c r="BB125">
        <v>50066.11</v>
      </c>
      <c r="BC125">
        <v>50066.11</v>
      </c>
      <c r="BD125">
        <v>0</v>
      </c>
      <c r="BE125">
        <v>0</v>
      </c>
      <c r="BF125">
        <v>827427</v>
      </c>
      <c r="BG125">
        <v>827427</v>
      </c>
      <c r="BH125">
        <v>0</v>
      </c>
      <c r="BI125">
        <v>0</v>
      </c>
      <c r="BJ125">
        <v>0</v>
      </c>
      <c r="BK125">
        <v>594733.99</v>
      </c>
      <c r="BL125">
        <v>594733.99</v>
      </c>
      <c r="BM125">
        <v>0</v>
      </c>
      <c r="BN125">
        <v>90556.09505</v>
      </c>
      <c r="BO125">
        <v>121913.466666721</v>
      </c>
      <c r="BP125">
        <v>45066.666666721</v>
      </c>
      <c r="BQ125">
        <v>0</v>
      </c>
      <c r="BR125">
        <v>0</v>
      </c>
      <c r="BS125">
        <v>76846.8</v>
      </c>
      <c r="BT125">
        <v>319458.4</v>
      </c>
      <c r="BU125">
        <v>281112</v>
      </c>
      <c r="BV125">
        <v>38346.4</v>
      </c>
      <c r="BW125">
        <v>0</v>
      </c>
      <c r="BX125">
        <v>0</v>
      </c>
      <c r="BY125">
        <v>7212.51</v>
      </c>
      <c r="BZ125">
        <v>7212.51</v>
      </c>
      <c r="CA125">
        <v>7212.51</v>
      </c>
      <c r="CB125">
        <v>0</v>
      </c>
      <c r="CC125">
        <v>0</v>
      </c>
      <c r="CD125">
        <v>0</v>
      </c>
      <c r="CE125">
        <v>0</v>
      </c>
      <c r="CF125">
        <v>0</v>
      </c>
      <c r="CG125">
        <v>0</v>
      </c>
      <c r="CH125">
        <v>1992496.79716327</v>
      </c>
      <c r="CI125">
        <v>185416</v>
      </c>
      <c r="CJ125">
        <v>0</v>
      </c>
      <c r="CK125">
        <v>0</v>
      </c>
      <c r="CL125">
        <v>76097</v>
      </c>
      <c r="CM125">
        <v>40784</v>
      </c>
      <c r="CN125">
        <v>10073</v>
      </c>
      <c r="CO125">
        <v>58462</v>
      </c>
      <c r="CP125">
        <v>293427.083333911</v>
      </c>
      <c r="CQ125">
        <v>1776.94</v>
      </c>
      <c r="CR125">
        <v>1776.94</v>
      </c>
      <c r="CS125">
        <v>0</v>
      </c>
      <c r="CT125">
        <v>0</v>
      </c>
      <c r="CU125">
        <v>0</v>
      </c>
      <c r="CV125">
        <v>0</v>
      </c>
      <c r="CW125">
        <v>0</v>
      </c>
      <c r="CX125">
        <v>0</v>
      </c>
      <c r="CY125">
        <v>7830</v>
      </c>
      <c r="CZ125">
        <v>0</v>
      </c>
      <c r="DA125">
        <v>0</v>
      </c>
      <c r="DB125">
        <v>0</v>
      </c>
      <c r="DC125">
        <v>0</v>
      </c>
      <c r="DD125">
        <v>0</v>
      </c>
      <c r="DE125">
        <v>0</v>
      </c>
      <c r="DF125">
        <v>7830</v>
      </c>
      <c r="DG125">
        <v>0</v>
      </c>
      <c r="DH125">
        <v>620515.98987</v>
      </c>
      <c r="DI125">
        <v>0</v>
      </c>
      <c r="DJ125">
        <v>0</v>
      </c>
      <c r="DK125">
        <v>0</v>
      </c>
      <c r="DL125">
        <v>0</v>
      </c>
      <c r="DM125">
        <v>0</v>
      </c>
      <c r="DN125">
        <v>0</v>
      </c>
      <c r="DO125">
        <v>0</v>
      </c>
      <c r="DP125">
        <v>0</v>
      </c>
      <c r="DQ125">
        <v>9720</v>
      </c>
      <c r="DR125">
        <v>0</v>
      </c>
      <c r="DS125">
        <v>0</v>
      </c>
      <c r="DT125">
        <v>0</v>
      </c>
      <c r="DU125">
        <v>0</v>
      </c>
      <c r="DV125">
        <v>0</v>
      </c>
      <c r="DW125">
        <v>0</v>
      </c>
      <c r="DX125">
        <v>0</v>
      </c>
      <c r="DY125">
        <v>9720</v>
      </c>
      <c r="DZ125">
        <v>0</v>
      </c>
      <c r="EA125">
        <v>0</v>
      </c>
      <c r="EB125">
        <v>0</v>
      </c>
      <c r="EC125">
        <v>0</v>
      </c>
      <c r="ED125">
        <v>0</v>
      </c>
      <c r="EE125">
        <v>0</v>
      </c>
      <c r="EF125">
        <v>36803</v>
      </c>
      <c r="EG125">
        <v>0</v>
      </c>
      <c r="EH125">
        <v>1500</v>
      </c>
      <c r="EI125">
        <v>430184.17</v>
      </c>
      <c r="EJ125">
        <v>0</v>
      </c>
      <c r="EK125">
        <v>0</v>
      </c>
      <c r="EL125">
        <v>0</v>
      </c>
      <c r="EM125">
        <v>0</v>
      </c>
      <c r="EN125">
        <v>0</v>
      </c>
      <c r="EO125">
        <v>56313.5</v>
      </c>
      <c r="EP125">
        <v>40000</v>
      </c>
      <c r="EQ125">
        <v>16313.5</v>
      </c>
      <c r="ER125">
        <v>31690.1250000623</v>
      </c>
      <c r="ES125">
        <v>0</v>
      </c>
      <c r="ET125">
        <v>0</v>
      </c>
      <c r="EU125">
        <v>0</v>
      </c>
      <c r="EV125">
        <v>47341.0694444447</v>
      </c>
      <c r="EW125">
        <v>47226</v>
      </c>
      <c r="EX125">
        <v>0</v>
      </c>
      <c r="EY125">
        <v>115.069444444671</v>
      </c>
      <c r="EZ125">
        <v>0</v>
      </c>
      <c r="FA125">
        <v>0</v>
      </c>
      <c r="FB125">
        <v>0</v>
      </c>
      <c r="FC125">
        <v>0</v>
      </c>
      <c r="FD125">
        <v>0</v>
      </c>
      <c r="FE125">
        <v>0</v>
      </c>
      <c r="FF125">
        <v>0</v>
      </c>
      <c r="FG125">
        <v>0</v>
      </c>
      <c r="FH125">
        <v>0</v>
      </c>
      <c r="FI125">
        <v>0</v>
      </c>
      <c r="FJ125">
        <v>112378.991</v>
      </c>
      <c r="FK125">
        <v>0</v>
      </c>
      <c r="FL125">
        <v>112378.991</v>
      </c>
      <c r="FM125">
        <v>2599.92851485149</v>
      </c>
      <c r="FN125">
        <v>0</v>
      </c>
      <c r="FO125">
        <v>0</v>
      </c>
      <c r="FP125">
        <v>0</v>
      </c>
      <c r="FQ125">
        <v>0</v>
      </c>
      <c r="FR125">
        <v>2599.92851485149</v>
      </c>
      <c r="FS125">
        <v>0</v>
      </c>
      <c r="FT125">
        <v>40000</v>
      </c>
      <c r="FU125">
        <v>100000</v>
      </c>
      <c r="FV125">
        <v>15000</v>
      </c>
      <c r="FY125">
        <v>5000000</v>
      </c>
      <c r="FZ125">
        <v>5173165.30999299</v>
      </c>
      <c r="GA125">
        <v>1169300.941113</v>
      </c>
      <c r="GB125">
        <v>4003864.36887999</v>
      </c>
      <c r="GC125">
        <v>996135.631120009</v>
      </c>
      <c r="GD125">
        <v>0.199227126224002</v>
      </c>
      <c r="GE125">
        <v>-173165.309992991</v>
      </c>
      <c r="GF125">
        <v>-0.0346330619985983</v>
      </c>
      <c r="GJ125">
        <v>46166.3333333333</v>
      </c>
      <c r="GL125">
        <v>46172.6875</v>
      </c>
      <c r="GO125">
        <v>46176.1666666667</v>
      </c>
      <c r="GR125">
        <v>46195.5416666667</v>
      </c>
      <c r="HA125">
        <v>46196.8333333333</v>
      </c>
      <c r="HB125">
        <v>46200.8541666667</v>
      </c>
      <c r="HF125">
        <v>34</v>
      </c>
      <c r="HG125">
        <v>14</v>
      </c>
      <c r="HH125">
        <v>3</v>
      </c>
      <c r="HI125">
        <v>17</v>
      </c>
      <c r="HL125">
        <v>138</v>
      </c>
      <c r="HM125">
        <v>70</v>
      </c>
      <c r="HN125">
        <v>27</v>
      </c>
      <c r="HO125">
        <v>66</v>
      </c>
      <c r="HP125">
        <v>0</v>
      </c>
      <c r="HQ125">
        <v>36</v>
      </c>
      <c r="HR125">
        <v>280</v>
      </c>
      <c r="HS125">
        <v>59</v>
      </c>
    </row>
    <row r="126" customFormat="1" spans="1:227">
      <c r="A126" s="1">
        <f t="shared" si="2"/>
        <v>125</v>
      </c>
      <c r="B126" s="2">
        <v>2026</v>
      </c>
      <c r="C126" s="2" t="s">
        <v>45</v>
      </c>
      <c r="D126" s="2" t="s">
        <v>27</v>
      </c>
      <c r="E126" s="9">
        <v>50537</v>
      </c>
      <c r="F126" s="2" t="s">
        <v>837</v>
      </c>
      <c r="G126" s="2" t="s">
        <v>36</v>
      </c>
      <c r="H126" s="2" t="s">
        <v>737</v>
      </c>
      <c r="I126" s="2" t="s">
        <v>340</v>
      </c>
      <c r="J126" t="s">
        <v>316</v>
      </c>
      <c r="K126" t="s">
        <v>31</v>
      </c>
      <c r="L126" t="s">
        <v>32</v>
      </c>
      <c r="M126">
        <v>2</v>
      </c>
      <c r="N126">
        <v>3092</v>
      </c>
      <c r="O126">
        <v>3087</v>
      </c>
      <c r="P126">
        <v>6.70833333340124</v>
      </c>
      <c r="R126">
        <v>18.125</v>
      </c>
      <c r="S126">
        <v>5.45833333329938</v>
      </c>
      <c r="T126">
        <v>23.5833333332994</v>
      </c>
      <c r="U126">
        <v>30.2916666667006</v>
      </c>
      <c r="W126">
        <v>0.786111111109979</v>
      </c>
      <c r="X126">
        <v>1.00972222222335</v>
      </c>
      <c r="Y126">
        <v>2800000</v>
      </c>
      <c r="Z126">
        <v>-537871.954905692</v>
      </c>
      <c r="AA126">
        <v>3337871.95490569</v>
      </c>
      <c r="AB126">
        <v>791781.078889749</v>
      </c>
      <c r="AC126">
        <v>353402.777778174</v>
      </c>
      <c r="AD126">
        <v>353402.777778174</v>
      </c>
      <c r="AE126">
        <v>0</v>
      </c>
      <c r="AF126">
        <v>19868.87</v>
      </c>
      <c r="AG126">
        <v>19868.87</v>
      </c>
      <c r="AH126">
        <v>0</v>
      </c>
      <c r="AI126">
        <v>4523.32</v>
      </c>
      <c r="AJ126">
        <v>2943.31</v>
      </c>
      <c r="AK126">
        <v>1580.01</v>
      </c>
      <c r="AL126">
        <v>0</v>
      </c>
      <c r="AM126">
        <v>0</v>
      </c>
      <c r="AN126">
        <v>0</v>
      </c>
      <c r="AO126">
        <v>0</v>
      </c>
      <c r="AP126">
        <v>0</v>
      </c>
      <c r="AQ126">
        <v>0</v>
      </c>
      <c r="AR126">
        <v>0</v>
      </c>
      <c r="AS126">
        <v>0</v>
      </c>
      <c r="AT126">
        <v>0</v>
      </c>
      <c r="AU126">
        <v>0</v>
      </c>
      <c r="AV126">
        <v>0</v>
      </c>
      <c r="AW126">
        <v>0</v>
      </c>
      <c r="AX126">
        <v>0</v>
      </c>
      <c r="AY126">
        <v>413986.111111575</v>
      </c>
      <c r="AZ126">
        <v>2546090.87601594</v>
      </c>
      <c r="BA126">
        <v>926105.484683279</v>
      </c>
      <c r="BB126">
        <v>54877.26</v>
      </c>
      <c r="BC126">
        <v>54877.26</v>
      </c>
      <c r="BD126">
        <v>0</v>
      </c>
      <c r="BE126">
        <v>0</v>
      </c>
      <c r="BF126">
        <v>244444</v>
      </c>
      <c r="BG126">
        <v>244444</v>
      </c>
      <c r="BH126">
        <v>0</v>
      </c>
      <c r="BI126">
        <v>0</v>
      </c>
      <c r="BJ126">
        <v>74336.325</v>
      </c>
      <c r="BK126">
        <v>208456.36</v>
      </c>
      <c r="BL126">
        <v>208456.36</v>
      </c>
      <c r="BM126">
        <v>0</v>
      </c>
      <c r="BN126">
        <v>21186.80635</v>
      </c>
      <c r="BO126">
        <v>94366.133333279</v>
      </c>
      <c r="BP126">
        <v>37733.333333279</v>
      </c>
      <c r="BQ126">
        <v>0</v>
      </c>
      <c r="BR126">
        <v>0</v>
      </c>
      <c r="BS126">
        <v>56632.8</v>
      </c>
      <c r="BT126">
        <v>228438.6</v>
      </c>
      <c r="BU126">
        <v>194481</v>
      </c>
      <c r="BV126">
        <v>33957.6</v>
      </c>
      <c r="BW126">
        <v>0</v>
      </c>
      <c r="BX126">
        <v>0</v>
      </c>
      <c r="BY126">
        <v>14019.51</v>
      </c>
      <c r="BZ126">
        <v>14019.51</v>
      </c>
      <c r="CA126">
        <v>14019.51</v>
      </c>
      <c r="CB126">
        <v>0</v>
      </c>
      <c r="CC126">
        <v>0</v>
      </c>
      <c r="CD126">
        <v>0</v>
      </c>
      <c r="CE126">
        <v>0</v>
      </c>
      <c r="CF126">
        <v>0</v>
      </c>
      <c r="CG126">
        <v>0</v>
      </c>
      <c r="CH126">
        <v>1605965.88133266</v>
      </c>
      <c r="CI126">
        <v>140416</v>
      </c>
      <c r="CJ126">
        <v>0</v>
      </c>
      <c r="CK126">
        <v>0</v>
      </c>
      <c r="CL126">
        <v>59864</v>
      </c>
      <c r="CM126">
        <v>31066</v>
      </c>
      <c r="CN126">
        <v>1976</v>
      </c>
      <c r="CO126">
        <v>47510</v>
      </c>
      <c r="CP126">
        <v>363500.000000407</v>
      </c>
      <c r="CQ126">
        <v>6921.41</v>
      </c>
      <c r="CR126">
        <v>5512.02</v>
      </c>
      <c r="CS126">
        <v>1409.39</v>
      </c>
      <c r="CT126">
        <v>0</v>
      </c>
      <c r="CU126">
        <v>0</v>
      </c>
      <c r="CV126">
        <v>0</v>
      </c>
      <c r="CW126">
        <v>0</v>
      </c>
      <c r="CX126">
        <v>0</v>
      </c>
      <c r="CY126">
        <v>3769.82</v>
      </c>
      <c r="CZ126">
        <v>0</v>
      </c>
      <c r="DA126">
        <v>0</v>
      </c>
      <c r="DB126">
        <v>1884.91</v>
      </c>
      <c r="DC126">
        <v>0</v>
      </c>
      <c r="DD126">
        <v>0</v>
      </c>
      <c r="DE126">
        <v>0</v>
      </c>
      <c r="DF126">
        <v>1884.91</v>
      </c>
      <c r="DG126">
        <v>0</v>
      </c>
      <c r="DH126">
        <v>266375.48361</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27352</v>
      </c>
      <c r="EG126">
        <v>0</v>
      </c>
      <c r="EH126">
        <v>0</v>
      </c>
      <c r="EI126">
        <v>500482.54</v>
      </c>
      <c r="EJ126">
        <v>0</v>
      </c>
      <c r="EK126">
        <v>0</v>
      </c>
      <c r="EL126">
        <v>0</v>
      </c>
      <c r="EM126">
        <v>0</v>
      </c>
      <c r="EN126">
        <v>0</v>
      </c>
      <c r="EO126">
        <v>100000</v>
      </c>
      <c r="EP126">
        <v>100000</v>
      </c>
      <c r="EQ126">
        <v>0</v>
      </c>
      <c r="ER126">
        <v>31079.2500000348</v>
      </c>
      <c r="ES126">
        <v>0</v>
      </c>
      <c r="ET126">
        <v>0</v>
      </c>
      <c r="EU126">
        <v>600</v>
      </c>
      <c r="EV126">
        <v>37910.9722222223</v>
      </c>
      <c r="EW126">
        <v>37810</v>
      </c>
      <c r="EX126">
        <v>0</v>
      </c>
      <c r="EY126">
        <v>100.972222222335</v>
      </c>
      <c r="EZ126">
        <v>0</v>
      </c>
      <c r="FA126">
        <v>0</v>
      </c>
      <c r="FB126">
        <v>0</v>
      </c>
      <c r="FC126">
        <v>0</v>
      </c>
      <c r="FD126">
        <v>0</v>
      </c>
      <c r="FE126">
        <v>0</v>
      </c>
      <c r="FF126">
        <v>0</v>
      </c>
      <c r="FG126">
        <v>0</v>
      </c>
      <c r="FH126">
        <v>0</v>
      </c>
      <c r="FI126">
        <v>0</v>
      </c>
      <c r="FJ126">
        <v>38200.7455</v>
      </c>
      <c r="FK126">
        <v>0</v>
      </c>
      <c r="FL126">
        <v>38200.7455</v>
      </c>
      <c r="FM126">
        <v>2557.66</v>
      </c>
      <c r="FN126">
        <v>0</v>
      </c>
      <c r="FO126">
        <v>0</v>
      </c>
      <c r="FP126">
        <v>0</v>
      </c>
      <c r="FQ126">
        <v>0</v>
      </c>
      <c r="FR126">
        <v>2557.66</v>
      </c>
      <c r="FS126">
        <v>0</v>
      </c>
      <c r="FT126">
        <v>22400</v>
      </c>
      <c r="FU126">
        <v>56000</v>
      </c>
      <c r="FV126">
        <v>8400</v>
      </c>
      <c r="FY126">
        <v>2800000</v>
      </c>
      <c r="FZ126">
        <v>3337871.95490569</v>
      </c>
      <c r="GA126">
        <v>791781.078889749</v>
      </c>
      <c r="GB126">
        <v>2546090.87601594</v>
      </c>
      <c r="GC126">
        <v>253909.123984057</v>
      </c>
      <c r="GD126">
        <v>0.0906818299943061</v>
      </c>
      <c r="GE126">
        <v>-537871.954905692</v>
      </c>
      <c r="GF126">
        <v>-0.192097126752033</v>
      </c>
      <c r="GJ126">
        <v>46156.3333333333</v>
      </c>
      <c r="GL126">
        <v>46163.0416666667</v>
      </c>
      <c r="GO126">
        <v>46166.875</v>
      </c>
      <c r="HA126">
        <v>46181.1666666667</v>
      </c>
      <c r="HB126">
        <v>46186.625</v>
      </c>
      <c r="HF126">
        <v>38</v>
      </c>
      <c r="HG126">
        <v>11</v>
      </c>
      <c r="HH126">
        <v>3</v>
      </c>
      <c r="HI126">
        <v>24</v>
      </c>
      <c r="HL126">
        <v>160</v>
      </c>
      <c r="HM126">
        <v>118</v>
      </c>
      <c r="HN126">
        <v>27</v>
      </c>
      <c r="HO126">
        <v>29</v>
      </c>
      <c r="HP126">
        <v>1</v>
      </c>
      <c r="HQ126">
        <v>39</v>
      </c>
      <c r="HR126">
        <v>153</v>
      </c>
      <c r="HS126">
        <v>39</v>
      </c>
    </row>
    <row r="127" customFormat="1" spans="1:227">
      <c r="A127" s="1">
        <f t="shared" si="2"/>
        <v>126</v>
      </c>
      <c r="B127" s="2">
        <v>2026</v>
      </c>
      <c r="C127" s="2" t="s">
        <v>45</v>
      </c>
      <c r="D127" s="2" t="s">
        <v>27</v>
      </c>
      <c r="E127" s="9">
        <v>70316</v>
      </c>
      <c r="F127" s="2" t="s">
        <v>706</v>
      </c>
      <c r="G127" s="2" t="s">
        <v>28</v>
      </c>
      <c r="H127" s="2" t="s">
        <v>711</v>
      </c>
      <c r="I127" s="2" t="s">
        <v>416</v>
      </c>
      <c r="J127" t="s">
        <v>327</v>
      </c>
      <c r="K127" t="s">
        <v>31</v>
      </c>
      <c r="L127" t="s">
        <v>32</v>
      </c>
      <c r="M127">
        <v>3</v>
      </c>
      <c r="N127">
        <v>4355</v>
      </c>
      <c r="O127">
        <v>4382</v>
      </c>
      <c r="P127">
        <v>6.79166666670062</v>
      </c>
      <c r="R127">
        <v>31.9375</v>
      </c>
      <c r="S127">
        <v>9.875</v>
      </c>
      <c r="T127">
        <v>41.8125</v>
      </c>
      <c r="U127">
        <v>48.6041666667006</v>
      </c>
      <c r="W127">
        <v>1.39375</v>
      </c>
      <c r="X127">
        <v>1.62013888889002</v>
      </c>
      <c r="Y127">
        <v>10500000</v>
      </c>
      <c r="Z127">
        <v>-84338.5140808914</v>
      </c>
      <c r="AA127">
        <v>10584338.5140809</v>
      </c>
      <c r="AB127">
        <v>1479601.80333417</v>
      </c>
      <c r="AC127">
        <v>526545.138889257</v>
      </c>
      <c r="AD127">
        <v>526545.138889257</v>
      </c>
      <c r="AE127">
        <v>0</v>
      </c>
      <c r="AF127">
        <v>285235.16</v>
      </c>
      <c r="AG127">
        <v>285235.16</v>
      </c>
      <c r="AH127">
        <v>0</v>
      </c>
      <c r="AI127">
        <v>3564.56</v>
      </c>
      <c r="AJ127">
        <v>3564.56</v>
      </c>
      <c r="AK127">
        <v>0</v>
      </c>
      <c r="AL127">
        <v>0</v>
      </c>
      <c r="AM127">
        <v>0</v>
      </c>
      <c r="AN127">
        <v>0</v>
      </c>
      <c r="AO127">
        <v>0</v>
      </c>
      <c r="AP127">
        <v>0</v>
      </c>
      <c r="AQ127">
        <v>0</v>
      </c>
      <c r="AR127">
        <v>0</v>
      </c>
      <c r="AS127">
        <v>0</v>
      </c>
      <c r="AT127">
        <v>0</v>
      </c>
      <c r="AU127">
        <v>0</v>
      </c>
      <c r="AV127">
        <v>0</v>
      </c>
      <c r="AW127">
        <v>0</v>
      </c>
      <c r="AX127">
        <v>0</v>
      </c>
      <c r="AY127">
        <v>664256.944444909</v>
      </c>
      <c r="AZ127">
        <v>9104736.71074673</v>
      </c>
      <c r="BA127">
        <v>3290355.536</v>
      </c>
      <c r="BB127">
        <v>139347.79</v>
      </c>
      <c r="BC127">
        <v>139347.79</v>
      </c>
      <c r="BD127">
        <v>0</v>
      </c>
      <c r="BE127">
        <v>0</v>
      </c>
      <c r="BF127">
        <v>1100000</v>
      </c>
      <c r="BG127">
        <v>1100000</v>
      </c>
      <c r="BH127">
        <v>0</v>
      </c>
      <c r="BI127">
        <v>5530.695</v>
      </c>
      <c r="BJ127">
        <v>254434.9</v>
      </c>
      <c r="BK127">
        <v>889359.51</v>
      </c>
      <c r="BL127">
        <v>889359.51</v>
      </c>
      <c r="BM127">
        <v>0</v>
      </c>
      <c r="BN127">
        <v>86682.041</v>
      </c>
      <c r="BO127">
        <v>295130.52</v>
      </c>
      <c r="BP127">
        <v>66900</v>
      </c>
      <c r="BQ127">
        <v>0</v>
      </c>
      <c r="BR127">
        <v>0</v>
      </c>
      <c r="BS127">
        <v>228230.52</v>
      </c>
      <c r="BT127">
        <v>519870.08</v>
      </c>
      <c r="BU127">
        <v>455728</v>
      </c>
      <c r="BV127">
        <v>64142.08</v>
      </c>
      <c r="BW127">
        <v>0</v>
      </c>
      <c r="BX127">
        <v>0</v>
      </c>
      <c r="BY127">
        <v>194278.17</v>
      </c>
      <c r="BZ127">
        <v>194278.17</v>
      </c>
      <c r="CA127">
        <v>194278.17</v>
      </c>
      <c r="CB127">
        <v>0</v>
      </c>
      <c r="CC127">
        <v>0</v>
      </c>
      <c r="CD127">
        <v>0</v>
      </c>
      <c r="CE127">
        <v>0</v>
      </c>
      <c r="CF127">
        <v>0</v>
      </c>
      <c r="CG127">
        <v>0</v>
      </c>
      <c r="CH127">
        <v>5620103.00474673</v>
      </c>
      <c r="CI127">
        <v>385186</v>
      </c>
      <c r="CJ127">
        <v>0</v>
      </c>
      <c r="CK127">
        <v>0</v>
      </c>
      <c r="CL127">
        <v>126914</v>
      </c>
      <c r="CM127">
        <v>100584</v>
      </c>
      <c r="CN127">
        <v>4543</v>
      </c>
      <c r="CO127">
        <v>153145</v>
      </c>
      <c r="CP127">
        <v>631854.166667108</v>
      </c>
      <c r="CQ127">
        <v>5417.07</v>
      </c>
      <c r="CR127">
        <v>2843.1</v>
      </c>
      <c r="CS127">
        <v>2573.97</v>
      </c>
      <c r="CT127">
        <v>0</v>
      </c>
      <c r="CU127">
        <v>0</v>
      </c>
      <c r="CV127">
        <v>0</v>
      </c>
      <c r="CW127">
        <v>0</v>
      </c>
      <c r="CX127">
        <v>0</v>
      </c>
      <c r="CY127">
        <v>4227.54</v>
      </c>
      <c r="CZ127">
        <v>0</v>
      </c>
      <c r="DA127">
        <v>0</v>
      </c>
      <c r="DB127">
        <v>2003.77</v>
      </c>
      <c r="DC127">
        <v>110</v>
      </c>
      <c r="DD127">
        <v>0</v>
      </c>
      <c r="DE127">
        <v>0</v>
      </c>
      <c r="DF127">
        <v>2113.77</v>
      </c>
      <c r="DG127">
        <v>0</v>
      </c>
      <c r="DH127">
        <v>852453.92976</v>
      </c>
      <c r="DI127">
        <v>0</v>
      </c>
      <c r="DJ127">
        <v>0</v>
      </c>
      <c r="DK127">
        <v>0</v>
      </c>
      <c r="DL127">
        <v>0</v>
      </c>
      <c r="DM127">
        <v>0</v>
      </c>
      <c r="DN127">
        <v>0</v>
      </c>
      <c r="DO127">
        <v>0</v>
      </c>
      <c r="DP127">
        <v>0</v>
      </c>
      <c r="DQ127">
        <v>31063</v>
      </c>
      <c r="DR127">
        <v>0</v>
      </c>
      <c r="DS127">
        <v>0</v>
      </c>
      <c r="DT127">
        <v>0</v>
      </c>
      <c r="DU127">
        <v>0</v>
      </c>
      <c r="DV127">
        <v>0</v>
      </c>
      <c r="DW127">
        <v>0</v>
      </c>
      <c r="DX127">
        <v>0</v>
      </c>
      <c r="DY127">
        <v>31063</v>
      </c>
      <c r="DZ127">
        <v>0</v>
      </c>
      <c r="EA127">
        <v>0</v>
      </c>
      <c r="EB127">
        <v>0</v>
      </c>
      <c r="EC127">
        <v>0</v>
      </c>
      <c r="ED127">
        <v>0</v>
      </c>
      <c r="EE127">
        <v>0</v>
      </c>
      <c r="EF127">
        <v>61008</v>
      </c>
      <c r="EG127">
        <v>0</v>
      </c>
      <c r="EH127">
        <v>718223.58</v>
      </c>
      <c r="EI127">
        <v>1452346.56</v>
      </c>
      <c r="EJ127">
        <v>0</v>
      </c>
      <c r="EK127">
        <v>500000</v>
      </c>
      <c r="EL127">
        <v>0</v>
      </c>
      <c r="EM127">
        <v>500000</v>
      </c>
      <c r="EN127">
        <v>0</v>
      </c>
      <c r="EO127">
        <v>20698</v>
      </c>
      <c r="EP127">
        <v>0</v>
      </c>
      <c r="EQ127">
        <v>20698</v>
      </c>
      <c r="ER127">
        <v>51180.1875000358</v>
      </c>
      <c r="ES127">
        <v>0</v>
      </c>
      <c r="ET127">
        <v>0</v>
      </c>
      <c r="EU127">
        <v>14340</v>
      </c>
      <c r="EV127">
        <v>60335.013888889</v>
      </c>
      <c r="EW127">
        <v>60173</v>
      </c>
      <c r="EX127">
        <v>0</v>
      </c>
      <c r="EY127">
        <v>162.013888889002</v>
      </c>
      <c r="EZ127">
        <v>0</v>
      </c>
      <c r="FA127">
        <v>0</v>
      </c>
      <c r="FB127">
        <v>0</v>
      </c>
      <c r="FC127">
        <v>0</v>
      </c>
      <c r="FD127">
        <v>0</v>
      </c>
      <c r="FE127">
        <v>0</v>
      </c>
      <c r="FF127">
        <v>0</v>
      </c>
      <c r="FG127">
        <v>0</v>
      </c>
      <c r="FH127">
        <v>0</v>
      </c>
      <c r="FI127">
        <v>0</v>
      </c>
      <c r="FJ127">
        <v>0</v>
      </c>
      <c r="FK127">
        <v>0</v>
      </c>
      <c r="FL127">
        <v>0</v>
      </c>
      <c r="FM127">
        <v>6269.95693069307</v>
      </c>
      <c r="FN127">
        <v>0</v>
      </c>
      <c r="FO127">
        <v>0</v>
      </c>
      <c r="FP127">
        <v>0</v>
      </c>
      <c r="FQ127">
        <v>0</v>
      </c>
      <c r="FR127">
        <v>6269.95693069307</v>
      </c>
      <c r="FS127">
        <v>0</v>
      </c>
      <c r="FT127">
        <v>84000</v>
      </c>
      <c r="FU127">
        <v>210000</v>
      </c>
      <c r="FV127">
        <v>31500</v>
      </c>
      <c r="FY127">
        <v>10500000</v>
      </c>
      <c r="FZ127">
        <v>10584338.5140809</v>
      </c>
      <c r="GA127">
        <v>1479601.80333417</v>
      </c>
      <c r="GB127">
        <v>9104736.71074673</v>
      </c>
      <c r="GC127">
        <v>1395263.28925327</v>
      </c>
      <c r="GD127">
        <v>0.132882218024121</v>
      </c>
      <c r="GE127">
        <v>-84338.5140808914</v>
      </c>
      <c r="GF127">
        <v>-0.00803223943627537</v>
      </c>
      <c r="GJ127">
        <v>46135.3333333333</v>
      </c>
      <c r="GL127">
        <v>46142.125</v>
      </c>
      <c r="GO127">
        <v>46145.2083333333</v>
      </c>
      <c r="GR127">
        <v>46154.6041666667</v>
      </c>
      <c r="HA127">
        <v>46174.0625</v>
      </c>
      <c r="HB127">
        <v>46183.9375</v>
      </c>
      <c r="HF127">
        <v>39</v>
      </c>
      <c r="HG127">
        <v>11</v>
      </c>
      <c r="HH127">
        <v>2</v>
      </c>
      <c r="HI127">
        <v>26</v>
      </c>
      <c r="HL127">
        <v>166</v>
      </c>
      <c r="HM127">
        <v>237</v>
      </c>
      <c r="HN127">
        <v>37</v>
      </c>
      <c r="HO127">
        <v>8</v>
      </c>
      <c r="HP127">
        <v>0</v>
      </c>
      <c r="HQ127">
        <v>118</v>
      </c>
      <c r="HR127">
        <v>170</v>
      </c>
      <c r="HS127">
        <v>267</v>
      </c>
    </row>
    <row r="128" customFormat="1" spans="1:227">
      <c r="A128" s="1">
        <f t="shared" si="2"/>
        <v>127</v>
      </c>
      <c r="B128" s="2">
        <v>2026</v>
      </c>
      <c r="C128" s="2" t="s">
        <v>45</v>
      </c>
      <c r="D128" s="2" t="s">
        <v>27</v>
      </c>
      <c r="E128" s="9">
        <v>70318</v>
      </c>
      <c r="F128" s="2" t="s">
        <v>709</v>
      </c>
      <c r="G128" s="2" t="s">
        <v>28</v>
      </c>
      <c r="H128" s="2" t="s">
        <v>711</v>
      </c>
      <c r="I128" s="2" t="s">
        <v>417</v>
      </c>
      <c r="J128" t="s">
        <v>328</v>
      </c>
      <c r="K128" t="s">
        <v>730</v>
      </c>
      <c r="L128" t="s">
        <v>32</v>
      </c>
      <c r="M128">
        <v>3</v>
      </c>
      <c r="N128">
        <v>5393</v>
      </c>
      <c r="O128">
        <v>5393</v>
      </c>
      <c r="P128">
        <v>10.6666666667006</v>
      </c>
      <c r="R128">
        <v>30.125</v>
      </c>
      <c r="S128">
        <v>13.7083333332994</v>
      </c>
      <c r="T128">
        <v>43.8333333332994</v>
      </c>
      <c r="U128">
        <v>54.5</v>
      </c>
      <c r="W128">
        <v>1.46111111110998</v>
      </c>
      <c r="X128">
        <v>1.81666666666667</v>
      </c>
      <c r="Y128">
        <v>16500000</v>
      </c>
      <c r="Z128">
        <v>797095.264226489</v>
      </c>
      <c r="AA128">
        <v>15702904.7357735</v>
      </c>
      <c r="AB128">
        <v>1565890.29</v>
      </c>
      <c r="AC128">
        <v>590416.666666667</v>
      </c>
      <c r="AD128">
        <v>590416.666666667</v>
      </c>
      <c r="AE128">
        <v>0</v>
      </c>
      <c r="AF128">
        <v>204321.48</v>
      </c>
      <c r="AG128">
        <v>204321.48</v>
      </c>
      <c r="AH128">
        <v>0</v>
      </c>
      <c r="AI128">
        <v>26318.81</v>
      </c>
      <c r="AJ128">
        <v>26318.81</v>
      </c>
      <c r="AK128">
        <v>0</v>
      </c>
      <c r="AL128">
        <v>0</v>
      </c>
      <c r="AM128">
        <v>0</v>
      </c>
      <c r="AN128">
        <v>0</v>
      </c>
      <c r="AO128">
        <v>0</v>
      </c>
      <c r="AP128">
        <v>0</v>
      </c>
      <c r="AQ128">
        <v>0</v>
      </c>
      <c r="AR128">
        <v>0</v>
      </c>
      <c r="AS128">
        <v>0</v>
      </c>
      <c r="AT128">
        <v>0</v>
      </c>
      <c r="AU128">
        <v>0</v>
      </c>
      <c r="AV128">
        <v>0</v>
      </c>
      <c r="AW128">
        <v>0</v>
      </c>
      <c r="AX128">
        <v>0</v>
      </c>
      <c r="AY128">
        <v>744833.333333333</v>
      </c>
      <c r="AZ128">
        <v>14137014.4457735</v>
      </c>
      <c r="BA128">
        <v>4466428.16788328</v>
      </c>
      <c r="BB128">
        <v>278695.58</v>
      </c>
      <c r="BC128">
        <v>278695.58</v>
      </c>
      <c r="BD128">
        <v>0</v>
      </c>
      <c r="BE128">
        <v>0</v>
      </c>
      <c r="BF128">
        <v>2255145</v>
      </c>
      <c r="BG128">
        <v>2255145</v>
      </c>
      <c r="BH128">
        <v>0</v>
      </c>
      <c r="BI128">
        <v>17473.79</v>
      </c>
      <c r="BJ128">
        <v>1029557.55</v>
      </c>
      <c r="BK128">
        <v>135641</v>
      </c>
      <c r="BL128">
        <v>135641</v>
      </c>
      <c r="BM128">
        <v>0</v>
      </c>
      <c r="BN128">
        <v>130087.41455</v>
      </c>
      <c r="BO128">
        <v>200358.333333279</v>
      </c>
      <c r="BP128">
        <v>70133.333333279</v>
      </c>
      <c r="BQ128">
        <v>0</v>
      </c>
      <c r="BR128">
        <v>0</v>
      </c>
      <c r="BS128">
        <v>130225</v>
      </c>
      <c r="BT128">
        <v>419469.5</v>
      </c>
      <c r="BU128">
        <v>339759</v>
      </c>
      <c r="BV128">
        <v>79710.5</v>
      </c>
      <c r="BW128">
        <v>0</v>
      </c>
      <c r="BX128">
        <v>0</v>
      </c>
      <c r="BY128">
        <v>25165.48</v>
      </c>
      <c r="BZ128">
        <v>25165.48</v>
      </c>
      <c r="CA128">
        <v>25165.48</v>
      </c>
      <c r="CB128">
        <v>0</v>
      </c>
      <c r="CC128">
        <v>0</v>
      </c>
      <c r="CD128">
        <v>0</v>
      </c>
      <c r="CE128">
        <v>0</v>
      </c>
      <c r="CF128">
        <v>0</v>
      </c>
      <c r="CG128">
        <v>0</v>
      </c>
      <c r="CH128">
        <v>9645420.79789023</v>
      </c>
      <c r="CI128">
        <v>557336</v>
      </c>
      <c r="CJ128">
        <v>0</v>
      </c>
      <c r="CK128">
        <v>0</v>
      </c>
      <c r="CL128">
        <v>290807</v>
      </c>
      <c r="CM128">
        <v>61127</v>
      </c>
      <c r="CN128">
        <v>36145</v>
      </c>
      <c r="CO128">
        <v>169257</v>
      </c>
      <c r="CP128">
        <v>654000</v>
      </c>
      <c r="CQ128">
        <v>6555.47</v>
      </c>
      <c r="CR128">
        <v>2487.72</v>
      </c>
      <c r="CS128">
        <v>4067.75</v>
      </c>
      <c r="CT128">
        <v>0</v>
      </c>
      <c r="CU128">
        <v>0</v>
      </c>
      <c r="CV128">
        <v>0</v>
      </c>
      <c r="CW128">
        <v>0</v>
      </c>
      <c r="CX128">
        <v>0</v>
      </c>
      <c r="CY128">
        <v>7479.24</v>
      </c>
      <c r="CZ128">
        <v>0</v>
      </c>
      <c r="DA128">
        <v>0</v>
      </c>
      <c r="DB128">
        <v>2003.77</v>
      </c>
      <c r="DC128">
        <v>0</v>
      </c>
      <c r="DD128">
        <v>0</v>
      </c>
      <c r="DE128">
        <v>0</v>
      </c>
      <c r="DF128">
        <v>5475.47</v>
      </c>
      <c r="DG128">
        <v>0</v>
      </c>
      <c r="DH128">
        <v>587837</v>
      </c>
      <c r="DI128">
        <v>181790</v>
      </c>
      <c r="DJ128">
        <v>0</v>
      </c>
      <c r="DK128">
        <v>92890</v>
      </c>
      <c r="DL128">
        <v>0</v>
      </c>
      <c r="DM128">
        <v>0</v>
      </c>
      <c r="DN128">
        <v>0</v>
      </c>
      <c r="DO128">
        <v>0</v>
      </c>
      <c r="DP128">
        <v>88900</v>
      </c>
      <c r="DQ128">
        <v>46173</v>
      </c>
      <c r="DR128">
        <v>0</v>
      </c>
      <c r="DS128">
        <v>0</v>
      </c>
      <c r="DT128">
        <v>46173</v>
      </c>
      <c r="DU128">
        <v>0</v>
      </c>
      <c r="DV128">
        <v>0</v>
      </c>
      <c r="DW128">
        <v>0</v>
      </c>
      <c r="DX128">
        <v>0</v>
      </c>
      <c r="DY128">
        <v>0</v>
      </c>
      <c r="DZ128">
        <v>0</v>
      </c>
      <c r="EA128">
        <v>0</v>
      </c>
      <c r="EB128">
        <v>0</v>
      </c>
      <c r="EC128">
        <v>0</v>
      </c>
      <c r="ED128">
        <v>0</v>
      </c>
      <c r="EE128">
        <v>0</v>
      </c>
      <c r="EF128">
        <v>95793</v>
      </c>
      <c r="EG128">
        <v>0</v>
      </c>
      <c r="EH128">
        <v>300000</v>
      </c>
      <c r="EI128">
        <v>1918227</v>
      </c>
      <c r="EJ128">
        <v>0</v>
      </c>
      <c r="EK128">
        <v>700000</v>
      </c>
      <c r="EL128">
        <v>0</v>
      </c>
      <c r="EM128">
        <v>500000</v>
      </c>
      <c r="EN128">
        <v>0</v>
      </c>
      <c r="EO128">
        <v>25240.5</v>
      </c>
      <c r="EP128">
        <v>0</v>
      </c>
      <c r="EQ128">
        <v>25240.5</v>
      </c>
      <c r="ER128">
        <v>54445.5</v>
      </c>
      <c r="ES128">
        <v>0</v>
      </c>
      <c r="ET128">
        <v>0</v>
      </c>
      <c r="EU128">
        <v>2880</v>
      </c>
      <c r="EV128">
        <v>67416.6666666667</v>
      </c>
      <c r="EW128">
        <v>67235</v>
      </c>
      <c r="EX128">
        <v>0</v>
      </c>
      <c r="EY128">
        <v>181.666666666667</v>
      </c>
      <c r="EZ128">
        <v>0</v>
      </c>
      <c r="FA128">
        <v>0</v>
      </c>
      <c r="FB128">
        <v>0</v>
      </c>
      <c r="FC128">
        <v>0</v>
      </c>
      <c r="FD128">
        <v>0</v>
      </c>
      <c r="FE128">
        <v>0</v>
      </c>
      <c r="FF128">
        <v>0</v>
      </c>
      <c r="FG128">
        <v>0</v>
      </c>
      <c r="FH128">
        <v>0</v>
      </c>
      <c r="FI128">
        <v>3244209.23783</v>
      </c>
      <c r="FJ128">
        <v>177149.01775</v>
      </c>
      <c r="FK128">
        <v>0</v>
      </c>
      <c r="FL128">
        <v>177149.01775</v>
      </c>
      <c r="FM128">
        <v>7389.16564356436</v>
      </c>
      <c r="FN128">
        <v>0</v>
      </c>
      <c r="FO128">
        <v>0</v>
      </c>
      <c r="FP128">
        <v>0</v>
      </c>
      <c r="FQ128">
        <v>0</v>
      </c>
      <c r="FR128">
        <v>7389.16564356436</v>
      </c>
      <c r="FS128">
        <v>0</v>
      </c>
      <c r="FT128">
        <v>132000</v>
      </c>
      <c r="FU128">
        <v>330000</v>
      </c>
      <c r="FV128">
        <v>49500</v>
      </c>
      <c r="FY128">
        <v>16500000</v>
      </c>
      <c r="FZ128">
        <v>15702904.7357735</v>
      </c>
      <c r="GA128">
        <v>1565890.29</v>
      </c>
      <c r="GB128">
        <v>14137014.4457735</v>
      </c>
      <c r="GC128">
        <v>2362985.55422649</v>
      </c>
      <c r="GD128">
        <v>0.143211245710696</v>
      </c>
      <c r="GE128">
        <v>797095.264226489</v>
      </c>
      <c r="GF128">
        <v>0.0483088038925145</v>
      </c>
      <c r="GJ128">
        <v>46130.3333333333</v>
      </c>
      <c r="GL128">
        <v>46141</v>
      </c>
      <c r="GO128">
        <v>46146</v>
      </c>
      <c r="GR128">
        <v>46159.8125</v>
      </c>
      <c r="HA128">
        <v>46171.125</v>
      </c>
      <c r="HB128">
        <v>46184.8333333333</v>
      </c>
      <c r="HF128">
        <v>37</v>
      </c>
      <c r="HG128">
        <v>12</v>
      </c>
      <c r="HH128">
        <v>1</v>
      </c>
      <c r="HI128">
        <v>24</v>
      </c>
      <c r="HL128">
        <v>247</v>
      </c>
      <c r="HM128">
        <v>98</v>
      </c>
      <c r="HN128">
        <v>25</v>
      </c>
      <c r="HO128">
        <v>76</v>
      </c>
      <c r="HP128">
        <v>0</v>
      </c>
      <c r="HQ128">
        <v>27</v>
      </c>
      <c r="HR128">
        <v>287</v>
      </c>
      <c r="HS128">
        <v>292</v>
      </c>
    </row>
    <row r="129" customFormat="1" spans="1:227">
      <c r="A129" s="1">
        <f t="shared" si="2"/>
        <v>128</v>
      </c>
      <c r="B129" s="2">
        <v>2026</v>
      </c>
      <c r="C129" s="2" t="s">
        <v>45</v>
      </c>
      <c r="D129" s="2" t="s">
        <v>27</v>
      </c>
      <c r="E129" s="9">
        <v>70315</v>
      </c>
      <c r="F129" s="2" t="s">
        <v>736</v>
      </c>
      <c r="G129" s="2" t="s">
        <v>28</v>
      </c>
      <c r="H129" s="2" t="s">
        <v>711</v>
      </c>
      <c r="I129" s="2" t="s">
        <v>418</v>
      </c>
      <c r="J129" t="s">
        <v>318</v>
      </c>
      <c r="K129" t="s">
        <v>730</v>
      </c>
      <c r="L129" t="s">
        <v>32</v>
      </c>
      <c r="M129">
        <v>3</v>
      </c>
      <c r="N129">
        <v>6176</v>
      </c>
      <c r="O129">
        <v>6275</v>
      </c>
      <c r="P129">
        <v>10.3541666667006</v>
      </c>
      <c r="R129">
        <v>59.6</v>
      </c>
      <c r="S129">
        <v>22.9791666667006</v>
      </c>
      <c r="T129">
        <v>82.5791666667006</v>
      </c>
      <c r="U129">
        <v>92.9333333334012</v>
      </c>
      <c r="W129">
        <v>2.75263888889002</v>
      </c>
      <c r="X129">
        <v>3.09777777778004</v>
      </c>
      <c r="Y129">
        <v>19094825</v>
      </c>
      <c r="Z129">
        <v>-5531891.78628384</v>
      </c>
      <c r="AA129">
        <v>24626716.7862838</v>
      </c>
      <c r="AB129">
        <v>3626564.40111283</v>
      </c>
      <c r="AC129">
        <v>1084222.22222301</v>
      </c>
      <c r="AD129">
        <v>1084222.22222301</v>
      </c>
      <c r="AE129">
        <v>0</v>
      </c>
      <c r="AF129">
        <v>1272253.29</v>
      </c>
      <c r="AG129">
        <v>1272253.29</v>
      </c>
      <c r="AH129">
        <v>0</v>
      </c>
      <c r="AI129">
        <v>0</v>
      </c>
      <c r="AJ129">
        <v>0</v>
      </c>
      <c r="AK129">
        <v>0</v>
      </c>
      <c r="AL129">
        <v>0</v>
      </c>
      <c r="AM129">
        <v>0</v>
      </c>
      <c r="AN129">
        <v>0</v>
      </c>
      <c r="AO129">
        <v>0</v>
      </c>
      <c r="AP129">
        <v>0</v>
      </c>
      <c r="AQ129">
        <v>0</v>
      </c>
      <c r="AR129">
        <v>0</v>
      </c>
      <c r="AS129">
        <v>0</v>
      </c>
      <c r="AT129">
        <v>0</v>
      </c>
      <c r="AU129">
        <v>0</v>
      </c>
      <c r="AV129">
        <v>0</v>
      </c>
      <c r="AW129">
        <v>0</v>
      </c>
      <c r="AX129">
        <v>0</v>
      </c>
      <c r="AY129">
        <v>1270088.88888982</v>
      </c>
      <c r="AZ129">
        <v>21000152.385171</v>
      </c>
      <c r="BA129">
        <v>5454886.96131672</v>
      </c>
      <c r="BB129">
        <v>488539.85</v>
      </c>
      <c r="BC129">
        <v>488539.85</v>
      </c>
      <c r="BD129">
        <v>0</v>
      </c>
      <c r="BE129">
        <v>0</v>
      </c>
      <c r="BF129">
        <v>2500000</v>
      </c>
      <c r="BG129">
        <v>2500000</v>
      </c>
      <c r="BH129">
        <v>0</v>
      </c>
      <c r="BI129">
        <v>25649.6</v>
      </c>
      <c r="BJ129">
        <v>60176.99115</v>
      </c>
      <c r="BK129">
        <v>1210150</v>
      </c>
      <c r="BL129">
        <v>1210150</v>
      </c>
      <c r="BM129">
        <v>0</v>
      </c>
      <c r="BN129">
        <v>380269.8035</v>
      </c>
      <c r="BO129">
        <v>291047.756666721</v>
      </c>
      <c r="BP129">
        <v>132126.666666721</v>
      </c>
      <c r="BQ129">
        <v>0</v>
      </c>
      <c r="BR129">
        <v>0</v>
      </c>
      <c r="BS129">
        <v>158921.09</v>
      </c>
      <c r="BT129">
        <v>499052.96</v>
      </c>
      <c r="BU129">
        <v>395325</v>
      </c>
      <c r="BV129">
        <v>103727.96</v>
      </c>
      <c r="BW129">
        <v>0</v>
      </c>
      <c r="BX129">
        <v>0</v>
      </c>
      <c r="BY129">
        <v>46139.16</v>
      </c>
      <c r="BZ129">
        <v>46139.16</v>
      </c>
      <c r="CA129">
        <v>46139.16</v>
      </c>
      <c r="CB129">
        <v>0</v>
      </c>
      <c r="CC129">
        <v>0</v>
      </c>
      <c r="CD129">
        <v>0</v>
      </c>
      <c r="CE129">
        <v>0</v>
      </c>
      <c r="CF129">
        <v>0</v>
      </c>
      <c r="CG129">
        <v>0</v>
      </c>
      <c r="CH129">
        <v>15499126.2638543</v>
      </c>
      <c r="CI129">
        <v>1308068</v>
      </c>
      <c r="CJ129">
        <v>0</v>
      </c>
      <c r="CK129">
        <v>0</v>
      </c>
      <c r="CL129">
        <v>1076839</v>
      </c>
      <c r="CM129">
        <v>142467</v>
      </c>
      <c r="CN129">
        <v>7808</v>
      </c>
      <c r="CO129">
        <v>80954</v>
      </c>
      <c r="CP129">
        <v>836400.000000611</v>
      </c>
      <c r="CQ129">
        <v>31049.79</v>
      </c>
      <c r="CR129">
        <v>11024.04</v>
      </c>
      <c r="CS129">
        <v>20025.75</v>
      </c>
      <c r="CT129">
        <v>0</v>
      </c>
      <c r="CU129">
        <v>0</v>
      </c>
      <c r="CV129">
        <v>0</v>
      </c>
      <c r="CW129">
        <v>0</v>
      </c>
      <c r="CX129">
        <v>0</v>
      </c>
      <c r="CY129">
        <v>25009.24</v>
      </c>
      <c r="CZ129">
        <v>14700</v>
      </c>
      <c r="DA129">
        <v>0</v>
      </c>
      <c r="DB129">
        <v>2003.77</v>
      </c>
      <c r="DC129">
        <v>110</v>
      </c>
      <c r="DD129">
        <v>0</v>
      </c>
      <c r="DE129">
        <v>0</v>
      </c>
      <c r="DF129">
        <v>8195.47</v>
      </c>
      <c r="DG129">
        <v>0</v>
      </c>
      <c r="DH129">
        <v>2100000</v>
      </c>
      <c r="DI129">
        <v>422572.5</v>
      </c>
      <c r="DJ129">
        <v>0</v>
      </c>
      <c r="DK129">
        <v>422572.5</v>
      </c>
      <c r="DL129">
        <v>0</v>
      </c>
      <c r="DM129">
        <v>0</v>
      </c>
      <c r="DN129">
        <v>0</v>
      </c>
      <c r="DO129">
        <v>0</v>
      </c>
      <c r="DP129">
        <v>0</v>
      </c>
      <c r="DQ129">
        <v>170822.59</v>
      </c>
      <c r="DR129">
        <v>0</v>
      </c>
      <c r="DS129">
        <v>91175</v>
      </c>
      <c r="DT129">
        <v>12540.99</v>
      </c>
      <c r="DU129">
        <v>0</v>
      </c>
      <c r="DV129">
        <v>0</v>
      </c>
      <c r="DW129">
        <v>0</v>
      </c>
      <c r="DX129">
        <v>0</v>
      </c>
      <c r="DY129">
        <v>67106.6</v>
      </c>
      <c r="DZ129">
        <v>0</v>
      </c>
      <c r="EA129">
        <v>0</v>
      </c>
      <c r="EB129">
        <v>0</v>
      </c>
      <c r="EC129">
        <v>0</v>
      </c>
      <c r="ED129">
        <v>0</v>
      </c>
      <c r="EE129">
        <v>0</v>
      </c>
      <c r="EF129">
        <v>80216</v>
      </c>
      <c r="EG129">
        <v>0</v>
      </c>
      <c r="EH129">
        <v>672983.74</v>
      </c>
      <c r="EI129">
        <v>1856375.04</v>
      </c>
      <c r="EJ129">
        <v>0</v>
      </c>
      <c r="EK129">
        <v>900000</v>
      </c>
      <c r="EL129">
        <v>0</v>
      </c>
      <c r="EM129">
        <v>1000000</v>
      </c>
      <c r="EN129">
        <v>600000</v>
      </c>
      <c r="EO129">
        <v>0</v>
      </c>
      <c r="EP129">
        <v>0</v>
      </c>
      <c r="EQ129">
        <v>0</v>
      </c>
      <c r="ER129">
        <v>80294.4000000587</v>
      </c>
      <c r="ES129">
        <v>0</v>
      </c>
      <c r="ET129">
        <v>0</v>
      </c>
      <c r="EU129">
        <v>1440</v>
      </c>
      <c r="EV129">
        <v>121832.777777778</v>
      </c>
      <c r="EW129">
        <v>121523</v>
      </c>
      <c r="EX129">
        <v>0</v>
      </c>
      <c r="EY129">
        <v>309.777777778004</v>
      </c>
      <c r="EZ129">
        <v>0</v>
      </c>
      <c r="FA129">
        <v>0</v>
      </c>
      <c r="FB129">
        <v>0</v>
      </c>
      <c r="FC129">
        <v>0</v>
      </c>
      <c r="FD129">
        <v>0</v>
      </c>
      <c r="FE129">
        <v>0</v>
      </c>
      <c r="FF129">
        <v>0</v>
      </c>
      <c r="FG129">
        <v>0</v>
      </c>
      <c r="FH129">
        <v>1646736</v>
      </c>
      <c r="FI129">
        <v>2710105.80291</v>
      </c>
      <c r="FJ129">
        <v>335789.98975</v>
      </c>
      <c r="FK129">
        <v>0</v>
      </c>
      <c r="FL129">
        <v>335789.98975</v>
      </c>
      <c r="FM129">
        <v>7490.81841584158</v>
      </c>
      <c r="FN129">
        <v>0</v>
      </c>
      <c r="FO129">
        <v>0</v>
      </c>
      <c r="FP129">
        <v>0</v>
      </c>
      <c r="FQ129">
        <v>0</v>
      </c>
      <c r="FR129">
        <v>7490.81841584158</v>
      </c>
      <c r="FS129">
        <v>0</v>
      </c>
      <c r="FT129">
        <v>152758.6</v>
      </c>
      <c r="FU129">
        <v>381896.5</v>
      </c>
      <c r="FV129">
        <v>57284.475</v>
      </c>
      <c r="FY129">
        <v>19094825</v>
      </c>
      <c r="FZ129">
        <v>24626716.7862838</v>
      </c>
      <c r="GA129">
        <v>3626564.40111283</v>
      </c>
      <c r="GB129">
        <v>21000152.385171</v>
      </c>
      <c r="GC129">
        <v>-1905327.38517101</v>
      </c>
      <c r="GD129">
        <v>-0.0997823957627792</v>
      </c>
      <c r="GE129">
        <v>-5531891.78628384</v>
      </c>
      <c r="GF129">
        <v>-0.289706335946197</v>
      </c>
      <c r="GJ129">
        <v>46003.3333333333</v>
      </c>
      <c r="GL129">
        <v>46013.6875</v>
      </c>
      <c r="GO129">
        <v>46016.75</v>
      </c>
      <c r="GR129">
        <v>46117.9166666667</v>
      </c>
      <c r="HA129">
        <v>46168.1875</v>
      </c>
      <c r="HB129">
        <v>46191.1666666667</v>
      </c>
      <c r="HF129">
        <v>32</v>
      </c>
      <c r="HG129">
        <v>13</v>
      </c>
      <c r="HH129">
        <v>1</v>
      </c>
      <c r="HI129">
        <v>18</v>
      </c>
      <c r="HL129">
        <v>568</v>
      </c>
      <c r="HM129">
        <v>452</v>
      </c>
      <c r="HN129">
        <v>52</v>
      </c>
      <c r="HO129">
        <v>71</v>
      </c>
      <c r="HP129">
        <v>0</v>
      </c>
      <c r="HQ129">
        <v>150</v>
      </c>
      <c r="HR129">
        <v>248</v>
      </c>
      <c r="HS129">
        <v>441</v>
      </c>
    </row>
    <row r="130" customFormat="1" spans="1:227">
      <c r="A130" s="1">
        <f t="shared" si="2"/>
        <v>129</v>
      </c>
      <c r="B130" s="2">
        <v>2026</v>
      </c>
      <c r="C130" s="2" t="s">
        <v>45</v>
      </c>
      <c r="D130" s="2" t="s">
        <v>27</v>
      </c>
      <c r="E130" s="9">
        <v>70152</v>
      </c>
      <c r="F130" s="2" t="s">
        <v>811</v>
      </c>
      <c r="G130" s="2" t="s">
        <v>28</v>
      </c>
      <c r="H130" s="2" t="s">
        <v>692</v>
      </c>
      <c r="I130" s="2" t="s">
        <v>420</v>
      </c>
      <c r="J130" t="s">
        <v>421</v>
      </c>
      <c r="K130" t="s">
        <v>41</v>
      </c>
      <c r="L130" t="s">
        <v>32</v>
      </c>
      <c r="M130">
        <v>3</v>
      </c>
      <c r="N130">
        <v>4113</v>
      </c>
      <c r="O130">
        <v>4121</v>
      </c>
      <c r="P130">
        <v>0.708333333401242</v>
      </c>
      <c r="R130">
        <v>35.3958333332994</v>
      </c>
      <c r="S130">
        <v>7.91666666670062</v>
      </c>
      <c r="T130">
        <v>43.3125</v>
      </c>
      <c r="U130">
        <v>44.0208333334012</v>
      </c>
      <c r="W130">
        <v>1.44375</v>
      </c>
      <c r="X130">
        <v>1.46736111111337</v>
      </c>
      <c r="Y130">
        <v>13600000</v>
      </c>
      <c r="Z130">
        <v>2773685.08486854</v>
      </c>
      <c r="AA130">
        <v>10826314.9151315</v>
      </c>
      <c r="AB130">
        <v>1142920.45444616</v>
      </c>
      <c r="AC130">
        <v>513576.388889681</v>
      </c>
      <c r="AD130">
        <v>513576.388889681</v>
      </c>
      <c r="AE130">
        <v>0</v>
      </c>
      <c r="AF130">
        <v>8469.8</v>
      </c>
      <c r="AG130">
        <v>8469.8</v>
      </c>
      <c r="AH130">
        <v>0</v>
      </c>
      <c r="AI130">
        <v>19256.21</v>
      </c>
      <c r="AJ130">
        <v>13024.93</v>
      </c>
      <c r="AK130">
        <v>0</v>
      </c>
      <c r="AL130">
        <v>6231.28</v>
      </c>
      <c r="AM130">
        <v>0</v>
      </c>
      <c r="AN130">
        <v>0</v>
      </c>
      <c r="AO130">
        <v>0</v>
      </c>
      <c r="AP130">
        <v>0</v>
      </c>
      <c r="AQ130">
        <v>0</v>
      </c>
      <c r="AR130">
        <v>0</v>
      </c>
      <c r="AS130">
        <v>0</v>
      </c>
      <c r="AT130">
        <v>0</v>
      </c>
      <c r="AU130">
        <v>0</v>
      </c>
      <c r="AV130">
        <v>0</v>
      </c>
      <c r="AW130">
        <v>0</v>
      </c>
      <c r="AX130">
        <v>0</v>
      </c>
      <c r="AY130">
        <v>601618.055556484</v>
      </c>
      <c r="AZ130">
        <v>9683394.46068529</v>
      </c>
      <c r="BA130">
        <v>3719787.6612</v>
      </c>
      <c r="BB130">
        <v>175633.05</v>
      </c>
      <c r="BC130">
        <v>175633.05</v>
      </c>
      <c r="BD130">
        <v>0</v>
      </c>
      <c r="BE130">
        <v>0</v>
      </c>
      <c r="BF130">
        <v>2108069.847</v>
      </c>
      <c r="BG130">
        <v>2108069.847</v>
      </c>
      <c r="BH130">
        <v>0</v>
      </c>
      <c r="BI130">
        <v>0</v>
      </c>
      <c r="BJ130">
        <v>74336.325</v>
      </c>
      <c r="BK130">
        <v>608782.5</v>
      </c>
      <c r="BL130">
        <v>608782.5</v>
      </c>
      <c r="BM130">
        <v>0</v>
      </c>
      <c r="BN130">
        <v>43409.5392</v>
      </c>
      <c r="BO130">
        <v>221383.28</v>
      </c>
      <c r="BP130">
        <v>69300</v>
      </c>
      <c r="BQ130">
        <v>0</v>
      </c>
      <c r="BR130">
        <v>0</v>
      </c>
      <c r="BS130">
        <v>152083.28</v>
      </c>
      <c r="BT130">
        <v>488173.12</v>
      </c>
      <c r="BU130">
        <v>428584</v>
      </c>
      <c r="BV130">
        <v>59589.12</v>
      </c>
      <c r="BW130">
        <v>0</v>
      </c>
      <c r="BX130">
        <v>0</v>
      </c>
      <c r="BY130">
        <v>21224.56</v>
      </c>
      <c r="BZ130">
        <v>21224.56</v>
      </c>
      <c r="CA130">
        <v>21224.56</v>
      </c>
      <c r="CB130">
        <v>0</v>
      </c>
      <c r="CC130">
        <v>0</v>
      </c>
      <c r="CD130">
        <v>0</v>
      </c>
      <c r="CE130">
        <v>0</v>
      </c>
      <c r="CF130">
        <v>0</v>
      </c>
      <c r="CG130">
        <v>0</v>
      </c>
      <c r="CH130">
        <v>5942382.23948529</v>
      </c>
      <c r="CI130">
        <v>118696</v>
      </c>
      <c r="CJ130">
        <v>0</v>
      </c>
      <c r="CK130">
        <v>10263</v>
      </c>
      <c r="CL130">
        <v>0</v>
      </c>
      <c r="CM130">
        <v>20044</v>
      </c>
      <c r="CN130">
        <v>37726</v>
      </c>
      <c r="CO130">
        <v>50663</v>
      </c>
      <c r="CP130">
        <v>506239.583334114</v>
      </c>
      <c r="CQ130">
        <v>2267.25</v>
      </c>
      <c r="CR130">
        <v>1421.55</v>
      </c>
      <c r="CS130">
        <v>845.7</v>
      </c>
      <c r="CT130">
        <v>0</v>
      </c>
      <c r="CU130">
        <v>0</v>
      </c>
      <c r="CV130">
        <v>0</v>
      </c>
      <c r="CW130">
        <v>0</v>
      </c>
      <c r="CX130">
        <v>0</v>
      </c>
      <c r="CY130">
        <v>9816.98</v>
      </c>
      <c r="CZ130">
        <v>0</v>
      </c>
      <c r="DA130">
        <v>0</v>
      </c>
      <c r="DB130">
        <v>3172.64</v>
      </c>
      <c r="DC130">
        <v>0</v>
      </c>
      <c r="DD130">
        <v>0</v>
      </c>
      <c r="DE130">
        <v>0</v>
      </c>
      <c r="DF130">
        <v>6644.34</v>
      </c>
      <c r="DG130">
        <v>0</v>
      </c>
      <c r="DH130">
        <v>1229048.79288</v>
      </c>
      <c r="DI130">
        <v>116565</v>
      </c>
      <c r="DJ130">
        <v>0</v>
      </c>
      <c r="DK130">
        <v>116565</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60322</v>
      </c>
      <c r="EG130">
        <v>0</v>
      </c>
      <c r="EH130">
        <v>0</v>
      </c>
      <c r="EI130">
        <v>1285225.79</v>
      </c>
      <c r="EJ130">
        <v>0</v>
      </c>
      <c r="EK130">
        <v>700000</v>
      </c>
      <c r="EL130">
        <v>0</v>
      </c>
      <c r="EM130">
        <v>0</v>
      </c>
      <c r="EN130">
        <v>300000</v>
      </c>
      <c r="EO130">
        <v>0</v>
      </c>
      <c r="EP130">
        <v>0</v>
      </c>
      <c r="EQ130">
        <v>0</v>
      </c>
      <c r="ER130">
        <v>43976.8125000678</v>
      </c>
      <c r="ES130">
        <v>0</v>
      </c>
      <c r="ET130">
        <v>0</v>
      </c>
      <c r="EU130">
        <v>1200</v>
      </c>
      <c r="EV130">
        <v>71943.7361111113</v>
      </c>
      <c r="EW130">
        <v>71797</v>
      </c>
      <c r="EX130">
        <v>0</v>
      </c>
      <c r="EY130">
        <v>146.736111111337</v>
      </c>
      <c r="EZ130">
        <v>0</v>
      </c>
      <c r="FA130">
        <v>0</v>
      </c>
      <c r="FB130">
        <v>0</v>
      </c>
      <c r="FC130">
        <v>0</v>
      </c>
      <c r="FD130">
        <v>0</v>
      </c>
      <c r="FE130">
        <v>0</v>
      </c>
      <c r="FF130">
        <v>0</v>
      </c>
      <c r="FG130">
        <v>0</v>
      </c>
      <c r="FH130">
        <v>0</v>
      </c>
      <c r="FI130">
        <v>1069570.52466</v>
      </c>
      <c r="FJ130">
        <v>0</v>
      </c>
      <c r="FK130">
        <v>0</v>
      </c>
      <c r="FL130">
        <v>0</v>
      </c>
      <c r="FM130">
        <v>5909.77</v>
      </c>
      <c r="FN130">
        <v>0</v>
      </c>
      <c r="FO130">
        <v>0</v>
      </c>
      <c r="FP130">
        <v>0</v>
      </c>
      <c r="FQ130">
        <v>0</v>
      </c>
      <c r="FR130">
        <v>5909.77</v>
      </c>
      <c r="FS130">
        <v>0</v>
      </c>
      <c r="FT130">
        <v>108800</v>
      </c>
      <c r="FU130">
        <v>272000</v>
      </c>
      <c r="FV130">
        <v>40800</v>
      </c>
      <c r="FY130">
        <v>13600000</v>
      </c>
      <c r="FZ130">
        <v>10826314.9151315</v>
      </c>
      <c r="GA130">
        <v>1142920.45444616</v>
      </c>
      <c r="GB130">
        <v>9683394.46068529</v>
      </c>
      <c r="GC130">
        <v>3916605.53931471</v>
      </c>
      <c r="GD130">
        <v>0.287985701420199</v>
      </c>
      <c r="GE130">
        <v>2773685.08486854</v>
      </c>
      <c r="GF130">
        <v>0.203947432710922</v>
      </c>
      <c r="GJ130">
        <v>46139.3333333333</v>
      </c>
      <c r="GL130">
        <v>46140.0416666667</v>
      </c>
      <c r="GO130">
        <v>46144</v>
      </c>
      <c r="GR130">
        <v>46152.3333333333</v>
      </c>
      <c r="HA130">
        <v>46175.4375</v>
      </c>
      <c r="HB130">
        <v>46183.3541666667</v>
      </c>
      <c r="HF130">
        <v>37</v>
      </c>
      <c r="HG130">
        <v>12</v>
      </c>
      <c r="HH130">
        <v>2</v>
      </c>
      <c r="HI130">
        <v>23</v>
      </c>
      <c r="HL130">
        <v>205</v>
      </c>
      <c r="HM130">
        <v>49</v>
      </c>
      <c r="HN130">
        <v>43</v>
      </c>
      <c r="HO130">
        <v>39</v>
      </c>
      <c r="HP130">
        <v>0</v>
      </c>
      <c r="HQ130">
        <v>30</v>
      </c>
      <c r="HR130">
        <v>206</v>
      </c>
      <c r="HS130">
        <v>185</v>
      </c>
    </row>
    <row r="131" customFormat="1" spans="1:227">
      <c r="A131" s="1">
        <f t="shared" si="2"/>
        <v>130</v>
      </c>
      <c r="B131" s="2">
        <v>2026</v>
      </c>
      <c r="C131" s="2" t="s">
        <v>45</v>
      </c>
      <c r="D131" s="2" t="s">
        <v>27</v>
      </c>
      <c r="E131" s="9">
        <v>70520</v>
      </c>
      <c r="F131" s="2" t="s">
        <v>699</v>
      </c>
      <c r="G131" s="2" t="s">
        <v>28</v>
      </c>
      <c r="H131" s="2" t="s">
        <v>711</v>
      </c>
      <c r="I131" s="2" t="s">
        <v>422</v>
      </c>
      <c r="J131" t="s">
        <v>327</v>
      </c>
      <c r="K131" t="s">
        <v>31</v>
      </c>
      <c r="L131" t="s">
        <v>32</v>
      </c>
      <c r="M131">
        <v>3</v>
      </c>
      <c r="N131">
        <v>4326</v>
      </c>
      <c r="O131">
        <v>4330</v>
      </c>
      <c r="P131">
        <v>8.75</v>
      </c>
      <c r="R131">
        <v>16.25</v>
      </c>
      <c r="S131">
        <v>3.60416666670062</v>
      </c>
      <c r="T131">
        <v>19.8541666667006</v>
      </c>
      <c r="U131">
        <v>28.6041666667006</v>
      </c>
      <c r="W131">
        <v>0.661805555556687</v>
      </c>
      <c r="X131">
        <v>0.953472222223354</v>
      </c>
      <c r="Y131">
        <v>10500000</v>
      </c>
      <c r="Z131">
        <v>2327425.08261746</v>
      </c>
      <c r="AA131">
        <v>8172574.91738254</v>
      </c>
      <c r="AB131">
        <v>850658.0055565</v>
      </c>
      <c r="AC131">
        <v>405225.694444925</v>
      </c>
      <c r="AD131">
        <v>405225.694444925</v>
      </c>
      <c r="AE131">
        <v>0</v>
      </c>
      <c r="AF131">
        <v>48157.61</v>
      </c>
      <c r="AG131">
        <v>48157.61</v>
      </c>
      <c r="AH131">
        <v>0</v>
      </c>
      <c r="AI131">
        <v>6351.09</v>
      </c>
      <c r="AJ131">
        <v>3047.28</v>
      </c>
      <c r="AK131">
        <v>1491.87</v>
      </c>
      <c r="AL131">
        <v>1811.94</v>
      </c>
      <c r="AM131">
        <v>0</v>
      </c>
      <c r="AN131">
        <v>0</v>
      </c>
      <c r="AO131">
        <v>0</v>
      </c>
      <c r="AP131">
        <v>0</v>
      </c>
      <c r="AQ131">
        <v>0</v>
      </c>
      <c r="AR131">
        <v>0</v>
      </c>
      <c r="AS131">
        <v>0</v>
      </c>
      <c r="AT131">
        <v>0</v>
      </c>
      <c r="AU131">
        <v>0</v>
      </c>
      <c r="AV131">
        <v>0</v>
      </c>
      <c r="AW131">
        <v>0</v>
      </c>
      <c r="AX131">
        <v>0</v>
      </c>
      <c r="AY131">
        <v>390923.611111575</v>
      </c>
      <c r="AZ131">
        <v>7321916.91182604</v>
      </c>
      <c r="BA131">
        <v>2427916.52656672</v>
      </c>
      <c r="BB131">
        <v>139347.79</v>
      </c>
      <c r="BC131">
        <v>139347.79</v>
      </c>
      <c r="BD131">
        <v>0</v>
      </c>
      <c r="BE131">
        <v>0</v>
      </c>
      <c r="BF131">
        <v>1100000</v>
      </c>
      <c r="BG131">
        <v>1100000</v>
      </c>
      <c r="BH131">
        <v>0</v>
      </c>
      <c r="BI131">
        <v>13842.42</v>
      </c>
      <c r="BJ131">
        <v>553526.7402</v>
      </c>
      <c r="BK131">
        <v>0</v>
      </c>
      <c r="BL131">
        <v>0</v>
      </c>
      <c r="BM131">
        <v>0</v>
      </c>
      <c r="BN131">
        <v>57658.1097</v>
      </c>
      <c r="BO131">
        <v>207177.066666721</v>
      </c>
      <c r="BP131">
        <v>31766.666666721</v>
      </c>
      <c r="BQ131">
        <v>0</v>
      </c>
      <c r="BR131">
        <v>0</v>
      </c>
      <c r="BS131">
        <v>175410.4</v>
      </c>
      <c r="BT131">
        <v>356364.4</v>
      </c>
      <c r="BU131">
        <v>272790</v>
      </c>
      <c r="BV131">
        <v>83574.4</v>
      </c>
      <c r="BW131">
        <v>0</v>
      </c>
      <c r="BX131">
        <v>0</v>
      </c>
      <c r="BY131">
        <v>18544.91</v>
      </c>
      <c r="BZ131">
        <v>18544.91</v>
      </c>
      <c r="CA131">
        <v>18544.91</v>
      </c>
      <c r="CB131">
        <v>0</v>
      </c>
      <c r="CC131">
        <v>0</v>
      </c>
      <c r="CD131">
        <v>0</v>
      </c>
      <c r="CE131">
        <v>0</v>
      </c>
      <c r="CF131">
        <v>0</v>
      </c>
      <c r="CG131">
        <v>0</v>
      </c>
      <c r="CH131">
        <v>4875455.47525932</v>
      </c>
      <c r="CI131">
        <v>410519</v>
      </c>
      <c r="CJ131">
        <v>0</v>
      </c>
      <c r="CK131">
        <v>0</v>
      </c>
      <c r="CL131">
        <v>174811</v>
      </c>
      <c r="CM131">
        <v>102638</v>
      </c>
      <c r="CN131">
        <v>4149</v>
      </c>
      <c r="CO131">
        <v>128921</v>
      </c>
      <c r="CP131">
        <v>328947.916667057</v>
      </c>
      <c r="CQ131">
        <v>4068.6</v>
      </c>
      <c r="CR131">
        <v>1066.16</v>
      </c>
      <c r="CS131">
        <v>3002.44</v>
      </c>
      <c r="CT131">
        <v>0</v>
      </c>
      <c r="CU131">
        <v>0</v>
      </c>
      <c r="CV131">
        <v>0</v>
      </c>
      <c r="CW131">
        <v>0</v>
      </c>
      <c r="CX131">
        <v>0</v>
      </c>
      <c r="CY131">
        <v>0</v>
      </c>
      <c r="CZ131">
        <v>0</v>
      </c>
      <c r="DA131">
        <v>0</v>
      </c>
      <c r="DB131">
        <v>0</v>
      </c>
      <c r="DC131">
        <v>0</v>
      </c>
      <c r="DD131">
        <v>0</v>
      </c>
      <c r="DE131">
        <v>0</v>
      </c>
      <c r="DF131">
        <v>0</v>
      </c>
      <c r="DG131">
        <v>0</v>
      </c>
      <c r="DH131">
        <v>845029.75137</v>
      </c>
      <c r="DI131">
        <v>53865</v>
      </c>
      <c r="DJ131">
        <v>0</v>
      </c>
      <c r="DK131">
        <v>53865</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62549</v>
      </c>
      <c r="EG131">
        <v>0</v>
      </c>
      <c r="EH131">
        <v>270223.58</v>
      </c>
      <c r="EI131">
        <v>1472437.12</v>
      </c>
      <c r="EJ131">
        <v>0</v>
      </c>
      <c r="EK131">
        <v>500000</v>
      </c>
      <c r="EL131">
        <v>0</v>
      </c>
      <c r="EM131">
        <v>500000</v>
      </c>
      <c r="EN131">
        <v>0</v>
      </c>
      <c r="EO131">
        <v>16195</v>
      </c>
      <c r="EP131">
        <v>0</v>
      </c>
      <c r="EQ131">
        <v>16195</v>
      </c>
      <c r="ER131">
        <v>30892.5000000367</v>
      </c>
      <c r="ES131">
        <v>0</v>
      </c>
      <c r="ET131">
        <v>0</v>
      </c>
      <c r="EU131">
        <v>17760</v>
      </c>
      <c r="EV131">
        <v>35551.3472222223</v>
      </c>
      <c r="EW131">
        <v>35456</v>
      </c>
      <c r="EX131">
        <v>0</v>
      </c>
      <c r="EY131">
        <v>95.3472222223354</v>
      </c>
      <c r="EZ131">
        <v>0</v>
      </c>
      <c r="FA131">
        <v>0</v>
      </c>
      <c r="FB131">
        <v>0</v>
      </c>
      <c r="FC131">
        <v>0</v>
      </c>
      <c r="FD131">
        <v>0</v>
      </c>
      <c r="FE131">
        <v>0</v>
      </c>
      <c r="FF131">
        <v>0</v>
      </c>
      <c r="FG131">
        <v>0</v>
      </c>
      <c r="FH131">
        <v>0</v>
      </c>
      <c r="FI131">
        <v>0</v>
      </c>
      <c r="FJ131">
        <v>0</v>
      </c>
      <c r="FK131">
        <v>0</v>
      </c>
      <c r="FL131">
        <v>0</v>
      </c>
      <c r="FM131">
        <v>1916.66</v>
      </c>
      <c r="FN131">
        <v>0</v>
      </c>
      <c r="FO131">
        <v>0</v>
      </c>
      <c r="FP131">
        <v>0</v>
      </c>
      <c r="FQ131">
        <v>0</v>
      </c>
      <c r="FR131">
        <v>1916.66</v>
      </c>
      <c r="FS131">
        <v>0</v>
      </c>
      <c r="FT131">
        <v>84000</v>
      </c>
      <c r="FU131">
        <v>210000</v>
      </c>
      <c r="FV131">
        <v>31500</v>
      </c>
      <c r="FY131">
        <v>10500000</v>
      </c>
      <c r="FZ131">
        <v>8172574.91738254</v>
      </c>
      <c r="GA131">
        <v>850658.0055565</v>
      </c>
      <c r="GB131">
        <v>7321916.91182604</v>
      </c>
      <c r="GC131">
        <v>3178083.08817396</v>
      </c>
      <c r="GD131">
        <v>0.302674579826092</v>
      </c>
      <c r="GE131">
        <v>2327425.08261746</v>
      </c>
      <c r="GF131">
        <v>0.221659531677854</v>
      </c>
      <c r="GJ131">
        <v>46147.3333333333</v>
      </c>
      <c r="GL131">
        <v>46156.0833333333</v>
      </c>
      <c r="GO131">
        <v>46158.5833333333</v>
      </c>
      <c r="GR131">
        <v>46167.3333333333</v>
      </c>
      <c r="HA131">
        <v>46172.3333333333</v>
      </c>
      <c r="HB131">
        <v>46175.9375</v>
      </c>
      <c r="HF131">
        <v>40</v>
      </c>
      <c r="HG131">
        <v>16</v>
      </c>
      <c r="HH131">
        <v>1</v>
      </c>
      <c r="HI131">
        <v>23</v>
      </c>
      <c r="HL131">
        <v>164.5</v>
      </c>
      <c r="HM131">
        <v>24.5</v>
      </c>
      <c r="HN131">
        <v>13.5</v>
      </c>
      <c r="HO131">
        <v>19.5</v>
      </c>
      <c r="HQ131">
        <v>19.5</v>
      </c>
      <c r="HR131">
        <v>179.5</v>
      </c>
      <c r="HS131">
        <v>55.5</v>
      </c>
    </row>
    <row r="132" customFormat="1" spans="1:227">
      <c r="A132" s="1">
        <f t="shared" si="2"/>
        <v>131</v>
      </c>
      <c r="B132" s="2">
        <v>2026</v>
      </c>
      <c r="C132" s="2" t="s">
        <v>45</v>
      </c>
      <c r="D132" s="2" t="s">
        <v>27</v>
      </c>
      <c r="E132" s="9" t="s">
        <v>840</v>
      </c>
      <c r="F132" s="2" t="s">
        <v>723</v>
      </c>
      <c r="G132" s="2" t="s">
        <v>697</v>
      </c>
      <c r="H132" s="2" t="s">
        <v>830</v>
      </c>
      <c r="I132" s="2" t="s">
        <v>841</v>
      </c>
      <c r="J132" t="s">
        <v>832</v>
      </c>
      <c r="K132" t="s">
        <v>842</v>
      </c>
      <c r="L132" t="s">
        <v>366</v>
      </c>
      <c r="M132">
        <v>4</v>
      </c>
      <c r="N132">
        <v>570</v>
      </c>
      <c r="O132">
        <v>573.34</v>
      </c>
      <c r="P132">
        <v>0</v>
      </c>
      <c r="Q132">
        <v>4.85416666670062</v>
      </c>
      <c r="R132">
        <v>52.4166666665988</v>
      </c>
      <c r="S132">
        <v>3</v>
      </c>
      <c r="T132">
        <v>55.4166666665988</v>
      </c>
      <c r="U132">
        <v>60.2708333332994</v>
      </c>
      <c r="W132">
        <v>1.84722222221996</v>
      </c>
      <c r="X132">
        <v>2.00902777777665</v>
      </c>
      <c r="Y132">
        <v>23178011.5513717</v>
      </c>
      <c r="Z132">
        <v>5417149.80339566</v>
      </c>
      <c r="AA132">
        <v>17760861.747976</v>
      </c>
      <c r="AB132">
        <v>1956287.89101307</v>
      </c>
      <c r="AC132">
        <v>652934.02777741</v>
      </c>
      <c r="AD132">
        <v>652934.02777741</v>
      </c>
      <c r="AE132">
        <v>0</v>
      </c>
      <c r="AF132">
        <v>142599.867513895</v>
      </c>
      <c r="AG132">
        <v>142599.867513895</v>
      </c>
      <c r="AH132">
        <v>0</v>
      </c>
      <c r="AI132">
        <v>14945.7201666673</v>
      </c>
      <c r="AJ132">
        <v>14945.7201666673</v>
      </c>
      <c r="AK132">
        <v>0</v>
      </c>
      <c r="AL132">
        <v>0</v>
      </c>
      <c r="AM132">
        <v>0</v>
      </c>
      <c r="AN132">
        <v>0</v>
      </c>
      <c r="AO132">
        <v>0</v>
      </c>
      <c r="AP132">
        <v>0</v>
      </c>
      <c r="AQ132">
        <v>0</v>
      </c>
      <c r="AR132">
        <v>0</v>
      </c>
      <c r="AS132">
        <v>322106.886666677</v>
      </c>
      <c r="AT132">
        <v>251128.472222232</v>
      </c>
      <c r="AU132">
        <v>48929.6644444444</v>
      </c>
      <c r="AV132">
        <v>22048.7500000004</v>
      </c>
      <c r="AW132">
        <v>0</v>
      </c>
      <c r="AX132">
        <v>0</v>
      </c>
      <c r="AY132">
        <v>823701.388888425</v>
      </c>
      <c r="AZ132">
        <v>15804573.856963</v>
      </c>
      <c r="BA132">
        <v>1438347.12041662</v>
      </c>
      <c r="BB132">
        <v>145000</v>
      </c>
      <c r="BC132">
        <v>145000</v>
      </c>
      <c r="BD132">
        <v>0</v>
      </c>
      <c r="BE132">
        <v>0</v>
      </c>
      <c r="BF132">
        <v>409500</v>
      </c>
      <c r="BG132">
        <v>409500</v>
      </c>
      <c r="BH132">
        <v>0</v>
      </c>
      <c r="BI132">
        <v>42261</v>
      </c>
      <c r="BJ132">
        <v>0</v>
      </c>
      <c r="BK132">
        <v>270244</v>
      </c>
      <c r="BL132">
        <v>270244</v>
      </c>
      <c r="BM132">
        <v>0</v>
      </c>
      <c r="BN132">
        <v>261249.2</v>
      </c>
      <c r="BO132">
        <v>246195.466666616</v>
      </c>
      <c r="BP132">
        <v>88666.6666666162</v>
      </c>
      <c r="BQ132">
        <v>0</v>
      </c>
      <c r="BR132">
        <v>0</v>
      </c>
      <c r="BS132">
        <v>157528.8</v>
      </c>
      <c r="BT132">
        <v>63897.45375</v>
      </c>
      <c r="BU132">
        <v>0</v>
      </c>
      <c r="BV132">
        <v>63897.45375</v>
      </c>
      <c r="BW132">
        <v>0</v>
      </c>
      <c r="BX132">
        <v>0</v>
      </c>
      <c r="BY132">
        <v>82998.5525</v>
      </c>
      <c r="BZ132">
        <v>82998.5525</v>
      </c>
      <c r="CA132">
        <v>82998.5525</v>
      </c>
      <c r="CB132">
        <v>0</v>
      </c>
      <c r="CC132">
        <v>0</v>
      </c>
      <c r="CD132">
        <v>0</v>
      </c>
      <c r="CE132">
        <v>0</v>
      </c>
      <c r="CF132">
        <v>0</v>
      </c>
      <c r="CG132">
        <v>0</v>
      </c>
      <c r="CH132">
        <v>14283228.1840464</v>
      </c>
      <c r="CI132">
        <v>218278.996944446</v>
      </c>
      <c r="CJ132">
        <v>0</v>
      </c>
      <c r="CK132">
        <v>9465</v>
      </c>
      <c r="CL132">
        <v>0</v>
      </c>
      <c r="CM132">
        <v>161015</v>
      </c>
      <c r="CN132">
        <v>41938.9969444459</v>
      </c>
      <c r="CO132">
        <v>5860</v>
      </c>
      <c r="CP132">
        <v>632843.749999644</v>
      </c>
      <c r="CQ132">
        <v>189.6</v>
      </c>
      <c r="CR132">
        <v>0</v>
      </c>
      <c r="CS132">
        <v>189.6</v>
      </c>
      <c r="CT132">
        <v>0</v>
      </c>
      <c r="CU132">
        <v>0</v>
      </c>
      <c r="CV132">
        <v>0</v>
      </c>
      <c r="CW132">
        <v>0</v>
      </c>
      <c r="CX132">
        <v>0</v>
      </c>
      <c r="CY132">
        <v>2452.85</v>
      </c>
      <c r="CZ132">
        <v>540</v>
      </c>
      <c r="DA132">
        <v>0</v>
      </c>
      <c r="DB132">
        <v>735.85</v>
      </c>
      <c r="DC132">
        <v>110</v>
      </c>
      <c r="DD132">
        <v>0</v>
      </c>
      <c r="DE132">
        <v>0</v>
      </c>
      <c r="DF132">
        <v>1067</v>
      </c>
      <c r="DG132">
        <v>0</v>
      </c>
      <c r="DH132">
        <v>677605.11975</v>
      </c>
      <c r="DI132">
        <v>0</v>
      </c>
      <c r="DJ132">
        <v>0</v>
      </c>
      <c r="DK132">
        <v>0</v>
      </c>
      <c r="DL132">
        <v>0</v>
      </c>
      <c r="DM132">
        <v>0</v>
      </c>
      <c r="DN132">
        <v>0</v>
      </c>
      <c r="DO132">
        <v>0</v>
      </c>
      <c r="DP132">
        <v>0</v>
      </c>
      <c r="DQ132">
        <v>817202.327433628</v>
      </c>
      <c r="DR132">
        <v>0</v>
      </c>
      <c r="DS132">
        <v>0</v>
      </c>
      <c r="DT132">
        <v>93751</v>
      </c>
      <c r="DU132">
        <v>0</v>
      </c>
      <c r="DV132">
        <v>0</v>
      </c>
      <c r="DW132">
        <v>723451.327433628</v>
      </c>
      <c r="DX132">
        <v>0</v>
      </c>
      <c r="DY132">
        <v>0</v>
      </c>
      <c r="DZ132">
        <v>0</v>
      </c>
      <c r="EA132">
        <v>0</v>
      </c>
      <c r="EB132">
        <v>0</v>
      </c>
      <c r="EC132">
        <v>0</v>
      </c>
      <c r="ED132">
        <v>0</v>
      </c>
      <c r="EE132">
        <v>0</v>
      </c>
      <c r="EF132">
        <v>657664.8</v>
      </c>
      <c r="EG132">
        <v>0</v>
      </c>
      <c r="EH132">
        <v>0</v>
      </c>
      <c r="EI132">
        <v>1033037.09925</v>
      </c>
      <c r="EJ132">
        <v>0</v>
      </c>
      <c r="EK132">
        <v>174745.9935</v>
      </c>
      <c r="EL132">
        <v>420000</v>
      </c>
      <c r="EM132">
        <v>33333.3333333333</v>
      </c>
      <c r="EN132">
        <v>0</v>
      </c>
      <c r="EO132">
        <v>37924.25</v>
      </c>
      <c r="EP132">
        <v>37924.25</v>
      </c>
      <c r="EQ132">
        <v>0</v>
      </c>
      <c r="ER132">
        <v>72650.2500000024</v>
      </c>
      <c r="ES132">
        <v>39176.0416666682</v>
      </c>
      <c r="ET132">
        <v>61476.2500000025</v>
      </c>
      <c r="EU132">
        <v>0</v>
      </c>
      <c r="EV132">
        <v>154.557534246582</v>
      </c>
      <c r="EW132">
        <v>0</v>
      </c>
      <c r="EX132">
        <v>0</v>
      </c>
      <c r="EY132">
        <v>154.557534246582</v>
      </c>
      <c r="EZ132">
        <v>0</v>
      </c>
      <c r="FA132">
        <v>0</v>
      </c>
      <c r="FB132">
        <v>0</v>
      </c>
      <c r="FC132">
        <v>0</v>
      </c>
      <c r="FD132">
        <v>0</v>
      </c>
      <c r="FE132">
        <v>0</v>
      </c>
      <c r="FF132">
        <v>0</v>
      </c>
      <c r="FG132">
        <v>0</v>
      </c>
      <c r="FH132">
        <v>773400</v>
      </c>
      <c r="FI132">
        <v>6809877.71052416</v>
      </c>
      <c r="FJ132">
        <v>127079.646017699</v>
      </c>
      <c r="FK132">
        <v>0</v>
      </c>
      <c r="FL132">
        <v>127079.646017699</v>
      </c>
      <c r="FM132">
        <v>975617.25</v>
      </c>
      <c r="FN132">
        <v>100000</v>
      </c>
      <c r="FO132">
        <v>874867.25</v>
      </c>
      <c r="FP132">
        <v>0</v>
      </c>
      <c r="FQ132">
        <v>0</v>
      </c>
      <c r="FR132">
        <v>750</v>
      </c>
      <c r="FS132">
        <v>0</v>
      </c>
      <c r="FT132">
        <v>185424.092410974</v>
      </c>
      <c r="FU132">
        <v>463560.231027434</v>
      </c>
      <c r="FV132">
        <v>69534.0346541151</v>
      </c>
      <c r="FY132">
        <v>23178011.5513717</v>
      </c>
      <c r="FZ132">
        <v>17760861.747976</v>
      </c>
      <c r="GA132">
        <v>1956287.89101307</v>
      </c>
      <c r="GB132">
        <v>15804573.856963</v>
      </c>
      <c r="GC132">
        <v>7373437.69440873</v>
      </c>
      <c r="GD132">
        <v>0.31812209939003</v>
      </c>
      <c r="GE132">
        <v>5417149.80339566</v>
      </c>
      <c r="GF132">
        <v>0.233719350401957</v>
      </c>
      <c r="GK132">
        <v>46138.8125</v>
      </c>
      <c r="GL132">
        <v>46143.6666666667</v>
      </c>
      <c r="GM132">
        <v>46150.0208333333</v>
      </c>
      <c r="GN132">
        <v>46157.1666666667</v>
      </c>
      <c r="GO132">
        <v>46158.75</v>
      </c>
      <c r="GP132">
        <v>46175.25</v>
      </c>
      <c r="GQ132">
        <v>46179.4791666667</v>
      </c>
      <c r="GR132">
        <v>46183.75</v>
      </c>
      <c r="GS132">
        <v>46187.7916666667</v>
      </c>
      <c r="GT132">
        <v>46191</v>
      </c>
      <c r="GU132">
        <v>46194.9166666667</v>
      </c>
      <c r="GV132">
        <v>46196.0833333333</v>
      </c>
      <c r="GW132">
        <v>46199.0833333333</v>
      </c>
      <c r="HA132">
        <v>46196.0833333333</v>
      </c>
      <c r="HB132">
        <v>46199.0833333333</v>
      </c>
      <c r="HF132">
        <v>34</v>
      </c>
      <c r="HG132">
        <v>4</v>
      </c>
      <c r="HH132">
        <v>9</v>
      </c>
      <c r="HI132">
        <v>21</v>
      </c>
      <c r="HL132">
        <v>160</v>
      </c>
      <c r="HM132">
        <v>118</v>
      </c>
      <c r="HN132">
        <v>27</v>
      </c>
      <c r="HO132">
        <v>29</v>
      </c>
      <c r="HP132">
        <v>1</v>
      </c>
      <c r="HQ132">
        <v>39</v>
      </c>
      <c r="HR132">
        <v>153</v>
      </c>
      <c r="HS132">
        <v>39</v>
      </c>
    </row>
    <row r="133" spans="1:227">
      <c r="A133" s="1">
        <f t="shared" si="2"/>
        <v>132</v>
      </c>
      <c r="B133" s="2">
        <v>2026</v>
      </c>
      <c r="C133" s="2" t="s">
        <v>47</v>
      </c>
      <c r="D133" s="2" t="s">
        <v>27</v>
      </c>
      <c r="E133" s="16" t="s">
        <v>468</v>
      </c>
      <c r="F133" s="2" t="s">
        <v>746</v>
      </c>
      <c r="G133" s="2" t="s">
        <v>28</v>
      </c>
      <c r="H133" s="2" t="s">
        <v>711</v>
      </c>
      <c r="I133" s="2" t="s">
        <v>843</v>
      </c>
      <c r="J133" t="s">
        <v>844</v>
      </c>
      <c r="K133" t="s">
        <v>730</v>
      </c>
      <c r="L133" t="s">
        <v>32</v>
      </c>
      <c r="M133">
        <v>3</v>
      </c>
      <c r="N133">
        <v>5524</v>
      </c>
      <c r="O133">
        <v>5524</v>
      </c>
      <c r="P133">
        <v>9.66666666670062</v>
      </c>
      <c r="Q133"/>
      <c r="R133">
        <v>39.75</v>
      </c>
      <c r="S133">
        <v>44.9583333332994</v>
      </c>
      <c r="T133">
        <v>84.7083333332994</v>
      </c>
      <c r="U133">
        <v>94.375</v>
      </c>
      <c r="V133"/>
      <c r="W133">
        <v>2.82361111110998</v>
      </c>
      <c r="X133">
        <v>3.14583333333333</v>
      </c>
      <c r="Y133">
        <v>18721998.5808214</v>
      </c>
      <c r="Z133">
        <v>-1652681.48931437</v>
      </c>
      <c r="AA133">
        <v>20374680.0701358</v>
      </c>
      <c r="AB133">
        <v>3963674.73666667</v>
      </c>
      <c r="AC133">
        <v>1415625</v>
      </c>
      <c r="AD133">
        <v>1415625</v>
      </c>
      <c r="AE133">
        <v>0</v>
      </c>
      <c r="AF133">
        <v>1235433.09</v>
      </c>
      <c r="AG133">
        <v>382438.11</v>
      </c>
      <c r="AH133">
        <v>852994.98</v>
      </c>
      <c r="AI133">
        <v>22824.98</v>
      </c>
      <c r="AJ133">
        <v>22824.98</v>
      </c>
      <c r="AK133">
        <v>0</v>
      </c>
      <c r="AL133">
        <v>0</v>
      </c>
      <c r="AM133">
        <v>0</v>
      </c>
      <c r="AN133">
        <v>0</v>
      </c>
      <c r="AO133">
        <v>0</v>
      </c>
      <c r="AP133">
        <v>0</v>
      </c>
      <c r="AQ133">
        <v>0</v>
      </c>
      <c r="AR133">
        <v>0</v>
      </c>
      <c r="AS133">
        <v>0</v>
      </c>
      <c r="AT133">
        <v>0</v>
      </c>
      <c r="AU133">
        <v>0</v>
      </c>
      <c r="AV133">
        <v>0</v>
      </c>
      <c r="AW133">
        <v>0</v>
      </c>
      <c r="AX133">
        <v>0</v>
      </c>
      <c r="AY133">
        <v>1289791.66666667</v>
      </c>
      <c r="AZ133">
        <v>16411005.3334691</v>
      </c>
      <c r="BA133">
        <v>5419335.97973328</v>
      </c>
      <c r="BB133">
        <v>372734.89</v>
      </c>
      <c r="BC133">
        <v>372734.89</v>
      </c>
      <c r="BD133">
        <v>0</v>
      </c>
      <c r="BE133">
        <v>0</v>
      </c>
      <c r="BF133">
        <v>2282135</v>
      </c>
      <c r="BG133">
        <v>2282135</v>
      </c>
      <c r="BH133">
        <v>0</v>
      </c>
      <c r="BI133">
        <v>23886.19</v>
      </c>
      <c r="BJ133">
        <v>993968.745</v>
      </c>
      <c r="BK133">
        <v>573800</v>
      </c>
      <c r="BL133">
        <v>573800</v>
      </c>
      <c r="BM133">
        <v>0</v>
      </c>
      <c r="BN133">
        <v>200265.3214</v>
      </c>
      <c r="BO133">
        <v>271317.333333279</v>
      </c>
      <c r="BP133">
        <v>135533.333333279</v>
      </c>
      <c r="BQ133">
        <v>0</v>
      </c>
      <c r="BR133">
        <v>0</v>
      </c>
      <c r="BS133">
        <v>135784</v>
      </c>
      <c r="BT133">
        <v>701228.5</v>
      </c>
      <c r="BU133">
        <v>574496</v>
      </c>
      <c r="BV133">
        <v>126732.5</v>
      </c>
      <c r="BW133">
        <v>0</v>
      </c>
      <c r="BX133">
        <v>0</v>
      </c>
      <c r="BY133">
        <v>110709.09</v>
      </c>
      <c r="BZ133">
        <v>110709.09</v>
      </c>
      <c r="CA133">
        <v>110709.09</v>
      </c>
      <c r="CB133">
        <v>0</v>
      </c>
      <c r="CC133">
        <v>0</v>
      </c>
      <c r="CD133">
        <v>0</v>
      </c>
      <c r="CE133">
        <v>0</v>
      </c>
      <c r="CF133">
        <v>0</v>
      </c>
      <c r="CG133">
        <v>0</v>
      </c>
      <c r="CH133">
        <v>10880960.2637358</v>
      </c>
      <c r="CI133">
        <v>684493</v>
      </c>
      <c r="CJ133">
        <v>0</v>
      </c>
      <c r="CK133">
        <v>0</v>
      </c>
      <c r="CL133">
        <v>340088</v>
      </c>
      <c r="CM133">
        <v>112587</v>
      </c>
      <c r="CN133">
        <v>55305</v>
      </c>
      <c r="CO133">
        <v>176513</v>
      </c>
      <c r="CP133">
        <v>8016.821</v>
      </c>
      <c r="CQ133">
        <v>0.071</v>
      </c>
      <c r="CR133">
        <v>8016.75</v>
      </c>
      <c r="CS133">
        <v>0</v>
      </c>
      <c r="CT133">
        <v>0</v>
      </c>
      <c r="CU133">
        <v>0</v>
      </c>
      <c r="CV133">
        <v>0</v>
      </c>
      <c r="CW133">
        <v>0</v>
      </c>
      <c r="CX133">
        <v>990937.5</v>
      </c>
      <c r="CY133">
        <v>13620</v>
      </c>
      <c r="CZ133">
        <v>13620</v>
      </c>
      <c r="DA133">
        <v>0</v>
      </c>
      <c r="DB133">
        <v>0</v>
      </c>
      <c r="DC133">
        <v>0</v>
      </c>
      <c r="DD133">
        <v>0</v>
      </c>
      <c r="DE133">
        <v>0</v>
      </c>
      <c r="DF133">
        <v>0</v>
      </c>
      <c r="DG133">
        <v>0</v>
      </c>
      <c r="DH133">
        <v>599116</v>
      </c>
      <c r="DI133">
        <v>125934.38</v>
      </c>
      <c r="DJ133">
        <v>0</v>
      </c>
      <c r="DK133">
        <v>125934.38</v>
      </c>
      <c r="DL133">
        <v>0</v>
      </c>
      <c r="DM133">
        <v>0</v>
      </c>
      <c r="DN133">
        <v>0</v>
      </c>
      <c r="DO133">
        <v>0</v>
      </c>
      <c r="DP133">
        <v>0</v>
      </c>
      <c r="DQ133">
        <v>14000</v>
      </c>
      <c r="DR133">
        <v>0</v>
      </c>
      <c r="DS133">
        <v>14000</v>
      </c>
      <c r="DT133">
        <v>0</v>
      </c>
      <c r="DU133">
        <v>0</v>
      </c>
      <c r="DV133">
        <v>0</v>
      </c>
      <c r="DW133">
        <v>0</v>
      </c>
      <c r="DX133">
        <v>0</v>
      </c>
      <c r="DY133">
        <v>0</v>
      </c>
      <c r="DZ133">
        <v>267981.85</v>
      </c>
      <c r="EA133">
        <v>0</v>
      </c>
      <c r="EB133">
        <v>0</v>
      </c>
      <c r="EC133">
        <v>0</v>
      </c>
      <c r="ED133">
        <v>267981.85</v>
      </c>
      <c r="EE133">
        <v>0</v>
      </c>
      <c r="EF133">
        <v>66030</v>
      </c>
      <c r="EG133">
        <v>0</v>
      </c>
      <c r="EH133">
        <v>600000</v>
      </c>
      <c r="EI133">
        <v>1973045.86512703</v>
      </c>
      <c r="EJ133">
        <v>0</v>
      </c>
      <c r="EK133">
        <v>700000</v>
      </c>
      <c r="EL133">
        <v>1000000</v>
      </c>
      <c r="EN133">
        <v>0</v>
      </c>
      <c r="EO133">
        <v>22238.5</v>
      </c>
      <c r="EP133">
        <v>0</v>
      </c>
      <c r="EQ133">
        <v>22238.5</v>
      </c>
      <c r="ER133">
        <v>99376.875</v>
      </c>
      <c r="ES133">
        <v>0</v>
      </c>
      <c r="ET133">
        <v>0</v>
      </c>
      <c r="EU133">
        <v>2040</v>
      </c>
      <c r="EV133">
        <v>314.583333333333</v>
      </c>
      <c r="EW133">
        <v>0</v>
      </c>
      <c r="EX133">
        <v>0</v>
      </c>
      <c r="EY133">
        <v>314.583333333333</v>
      </c>
      <c r="EZ133">
        <v>0</v>
      </c>
      <c r="FA133">
        <v>0</v>
      </c>
      <c r="FB133">
        <v>0</v>
      </c>
      <c r="FC133">
        <v>0</v>
      </c>
      <c r="FD133">
        <v>0</v>
      </c>
      <c r="FE133">
        <v>0</v>
      </c>
      <c r="FF133">
        <v>0</v>
      </c>
      <c r="FG133">
        <v>0</v>
      </c>
      <c r="FH133">
        <v>0</v>
      </c>
      <c r="FI133">
        <v>2945529.70327</v>
      </c>
      <c r="FJ133">
        <v>183447.78</v>
      </c>
      <c r="FK133">
        <v>0</v>
      </c>
      <c r="FL133">
        <v>183447.78</v>
      </c>
      <c r="FM133">
        <v>4455.45</v>
      </c>
      <c r="FN133">
        <v>0</v>
      </c>
      <c r="FO133">
        <v>0</v>
      </c>
      <c r="FP133">
        <v>0</v>
      </c>
      <c r="FQ133">
        <v>0</v>
      </c>
      <c r="FR133">
        <v>4455.45</v>
      </c>
      <c r="FS133">
        <v>0</v>
      </c>
      <c r="FT133">
        <v>149775.988646571</v>
      </c>
      <c r="FU133">
        <v>374439.971616428</v>
      </c>
      <c r="FV133">
        <v>56165.9957424642</v>
      </c>
      <c r="FY133">
        <v>18721998.5808214</v>
      </c>
      <c r="FZ133">
        <v>20374680.0701358</v>
      </c>
      <c r="GA133">
        <v>3963674.73666667</v>
      </c>
      <c r="GB133">
        <v>16411005.3334691</v>
      </c>
      <c r="GC133">
        <v>2310993.24735229</v>
      </c>
      <c r="GD133">
        <v>0.123437315592986</v>
      </c>
      <c r="GE133">
        <v>-1652681.48931437</v>
      </c>
      <c r="GF133">
        <v>-0.0882748432107757</v>
      </c>
      <c r="GJ133">
        <v>46124.3333333333</v>
      </c>
      <c r="GL133">
        <v>46134</v>
      </c>
      <c r="GO133">
        <v>46138.2083333333</v>
      </c>
      <c r="GR133">
        <v>46152.6041666667</v>
      </c>
      <c r="HA133">
        <v>46173.75</v>
      </c>
      <c r="HB133">
        <v>46218.7083333333</v>
      </c>
      <c r="HF133">
        <v>39</v>
      </c>
      <c r="HG133">
        <v>15</v>
      </c>
      <c r="HH133">
        <v>3</v>
      </c>
      <c r="HI133">
        <v>21</v>
      </c>
      <c r="HL133">
        <v>260</v>
      </c>
      <c r="HM133">
        <v>112</v>
      </c>
      <c r="HN133">
        <v>42</v>
      </c>
      <c r="HO133">
        <v>86</v>
      </c>
      <c r="HP133">
        <v>0</v>
      </c>
      <c r="HQ133">
        <v>198</v>
      </c>
      <c r="HR133">
        <v>390</v>
      </c>
      <c r="HS133">
        <v>945</v>
      </c>
    </row>
    <row r="134" spans="1:227">
      <c r="A134" s="1">
        <f t="shared" si="2"/>
        <v>133</v>
      </c>
      <c r="B134" s="2">
        <v>2026</v>
      </c>
      <c r="C134" s="2" t="s">
        <v>47</v>
      </c>
      <c r="D134" s="2" t="s">
        <v>27</v>
      </c>
      <c r="E134" s="16">
        <v>70111</v>
      </c>
      <c r="F134" s="2" t="s">
        <v>790</v>
      </c>
      <c r="G134" s="2" t="s">
        <v>28</v>
      </c>
      <c r="H134" s="2" t="s">
        <v>711</v>
      </c>
      <c r="I134" s="2" t="s">
        <v>845</v>
      </c>
      <c r="J134" t="s">
        <v>846</v>
      </c>
      <c r="K134" t="s">
        <v>31</v>
      </c>
      <c r="L134" t="s">
        <v>32</v>
      </c>
      <c r="M134">
        <v>4</v>
      </c>
      <c r="N134">
        <v>5154</v>
      </c>
      <c r="O134">
        <v>4898</v>
      </c>
      <c r="P134">
        <v>1.125</v>
      </c>
      <c r="Q134"/>
      <c r="R134">
        <v>47.83</v>
      </c>
      <c r="S134">
        <v>11.69</v>
      </c>
      <c r="T134">
        <v>59.52</v>
      </c>
      <c r="U134">
        <v>60.645</v>
      </c>
      <c r="V134"/>
      <c r="W134">
        <v>1.984</v>
      </c>
      <c r="X134">
        <v>2.0215</v>
      </c>
      <c r="Y134">
        <v>13225908.1244</v>
      </c>
      <c r="Z134">
        <v>-3107995.75165286</v>
      </c>
      <c r="AA134">
        <v>16333903.8760529</v>
      </c>
      <c r="AB134">
        <v>1863895.72</v>
      </c>
      <c r="AC134">
        <v>758062.5</v>
      </c>
      <c r="AD134">
        <v>758062.5</v>
      </c>
      <c r="AE134">
        <v>0</v>
      </c>
      <c r="AF134">
        <v>270556.07</v>
      </c>
      <c r="AG134">
        <v>0</v>
      </c>
      <c r="AH134">
        <v>270556.07</v>
      </c>
      <c r="AI134">
        <v>6462.15</v>
      </c>
      <c r="AJ134">
        <v>6462.15</v>
      </c>
      <c r="AK134">
        <v>0</v>
      </c>
      <c r="AL134">
        <v>0</v>
      </c>
      <c r="AM134">
        <v>0</v>
      </c>
      <c r="AN134">
        <v>0</v>
      </c>
      <c r="AO134">
        <v>0</v>
      </c>
      <c r="AP134">
        <v>0</v>
      </c>
      <c r="AQ134">
        <v>0</v>
      </c>
      <c r="AR134">
        <v>0</v>
      </c>
      <c r="AS134">
        <v>0</v>
      </c>
      <c r="AT134">
        <v>0</v>
      </c>
      <c r="AU134">
        <v>0</v>
      </c>
      <c r="AV134">
        <v>0</v>
      </c>
      <c r="AW134">
        <v>0</v>
      </c>
      <c r="AX134">
        <v>0</v>
      </c>
      <c r="AY134">
        <v>828815</v>
      </c>
      <c r="AZ134">
        <v>14470008.1560529</v>
      </c>
      <c r="BA134">
        <v>4005431.42209646</v>
      </c>
      <c r="BB134">
        <v>202161.5832</v>
      </c>
      <c r="BC134">
        <v>202161.5832</v>
      </c>
      <c r="BD134">
        <v>0</v>
      </c>
      <c r="BE134">
        <v>0</v>
      </c>
      <c r="BF134">
        <v>1100000</v>
      </c>
      <c r="BG134">
        <v>1100000</v>
      </c>
      <c r="BH134">
        <v>0</v>
      </c>
      <c r="BI134">
        <v>69122.085</v>
      </c>
      <c r="BJ134">
        <v>721176.0784</v>
      </c>
      <c r="BK134">
        <v>0</v>
      </c>
      <c r="BL134">
        <v>0</v>
      </c>
      <c r="BM134">
        <v>0</v>
      </c>
      <c r="BN134">
        <v>749727.58549646</v>
      </c>
      <c r="BO134">
        <v>730941.29</v>
      </c>
      <c r="BP134">
        <v>95232</v>
      </c>
      <c r="BQ134">
        <v>0</v>
      </c>
      <c r="BR134">
        <v>0</v>
      </c>
      <c r="BS134">
        <v>635709.29</v>
      </c>
      <c r="BT134">
        <v>432302.8</v>
      </c>
      <c r="BU134">
        <v>308574</v>
      </c>
      <c r="BV134">
        <v>123728.8</v>
      </c>
      <c r="BW134">
        <v>0</v>
      </c>
      <c r="BX134">
        <v>0</v>
      </c>
      <c r="BY134">
        <v>111495.79</v>
      </c>
      <c r="BZ134">
        <v>111495.79</v>
      </c>
      <c r="CA134">
        <v>111495.79</v>
      </c>
      <c r="CB134">
        <v>0</v>
      </c>
      <c r="CC134">
        <v>0</v>
      </c>
      <c r="CD134">
        <v>0</v>
      </c>
      <c r="CE134">
        <v>0</v>
      </c>
      <c r="CF134">
        <v>0</v>
      </c>
      <c r="CG134">
        <v>0</v>
      </c>
      <c r="CH134">
        <v>10353080.9439564</v>
      </c>
      <c r="CI134">
        <v>659813</v>
      </c>
      <c r="CJ134">
        <v>0</v>
      </c>
      <c r="CK134">
        <v>30360</v>
      </c>
      <c r="CL134">
        <v>324836</v>
      </c>
      <c r="CM134">
        <v>98780</v>
      </c>
      <c r="CN134">
        <v>64033</v>
      </c>
      <c r="CO134">
        <v>141804</v>
      </c>
      <c r="CP134">
        <v>9577.3</v>
      </c>
      <c r="CQ134">
        <v>2843.1</v>
      </c>
      <c r="CR134">
        <v>6734.2</v>
      </c>
      <c r="CS134">
        <v>0</v>
      </c>
      <c r="CT134">
        <v>0</v>
      </c>
      <c r="CU134">
        <v>0</v>
      </c>
      <c r="CV134">
        <v>0</v>
      </c>
      <c r="CW134">
        <v>0</v>
      </c>
      <c r="CX134">
        <v>636772.5</v>
      </c>
      <c r="CY134">
        <v>0</v>
      </c>
      <c r="CZ134">
        <v>0</v>
      </c>
      <c r="DA134">
        <v>0</v>
      </c>
      <c r="DB134">
        <v>0</v>
      </c>
      <c r="DC134">
        <v>0</v>
      </c>
      <c r="DD134">
        <v>0</v>
      </c>
      <c r="DE134">
        <v>0</v>
      </c>
      <c r="DF134">
        <v>0</v>
      </c>
      <c r="DG134">
        <v>0</v>
      </c>
      <c r="DH134">
        <v>879636</v>
      </c>
      <c r="DI134">
        <v>121885</v>
      </c>
      <c r="DJ134">
        <v>0</v>
      </c>
      <c r="DK134">
        <v>121885</v>
      </c>
      <c r="DL134">
        <v>0</v>
      </c>
      <c r="DM134">
        <v>0</v>
      </c>
      <c r="DN134">
        <v>0</v>
      </c>
      <c r="DO134">
        <v>0</v>
      </c>
      <c r="DP134">
        <v>0</v>
      </c>
      <c r="DQ134">
        <v>54570</v>
      </c>
      <c r="DR134">
        <v>0</v>
      </c>
      <c r="DS134">
        <v>0</v>
      </c>
      <c r="DT134">
        <v>54570</v>
      </c>
      <c r="DU134">
        <v>0</v>
      </c>
      <c r="DV134">
        <v>0</v>
      </c>
      <c r="DW134">
        <v>0</v>
      </c>
      <c r="DX134">
        <v>0</v>
      </c>
      <c r="DY134">
        <v>0</v>
      </c>
      <c r="DZ134">
        <v>127759.1</v>
      </c>
      <c r="EA134">
        <v>0</v>
      </c>
      <c r="EB134">
        <v>0</v>
      </c>
      <c r="EC134">
        <v>0</v>
      </c>
      <c r="ED134">
        <v>127759.1</v>
      </c>
      <c r="EE134">
        <v>0</v>
      </c>
      <c r="EF134">
        <v>102685</v>
      </c>
      <c r="EG134">
        <v>0</v>
      </c>
      <c r="EH134">
        <v>1154847.16</v>
      </c>
      <c r="EI134">
        <v>2670755.59</v>
      </c>
      <c r="EJ134">
        <v>0</v>
      </c>
      <c r="EK134">
        <v>600000</v>
      </c>
      <c r="EL134">
        <v>0</v>
      </c>
      <c r="EM134">
        <v>605207</v>
      </c>
      <c r="EN134">
        <v>0</v>
      </c>
      <c r="EO134">
        <v>17577.5</v>
      </c>
      <c r="EP134">
        <v>0</v>
      </c>
      <c r="EQ134">
        <v>17577.5</v>
      </c>
      <c r="ER134">
        <v>58946.94</v>
      </c>
      <c r="ES134">
        <v>0</v>
      </c>
      <c r="ET134">
        <v>0</v>
      </c>
      <c r="EU134">
        <v>2100</v>
      </c>
      <c r="EV134">
        <v>202.15</v>
      </c>
      <c r="EW134">
        <v>0</v>
      </c>
      <c r="EX134">
        <v>0</v>
      </c>
      <c r="EY134">
        <v>202.15</v>
      </c>
      <c r="EZ134">
        <v>0</v>
      </c>
      <c r="FA134">
        <v>0</v>
      </c>
      <c r="FB134">
        <v>0</v>
      </c>
      <c r="FC134">
        <v>0</v>
      </c>
      <c r="FD134">
        <v>0</v>
      </c>
      <c r="FE134">
        <v>0</v>
      </c>
      <c r="FF134">
        <v>0</v>
      </c>
      <c r="FG134">
        <v>0</v>
      </c>
      <c r="FH134">
        <v>0</v>
      </c>
      <c r="FI134">
        <v>2239872.2621</v>
      </c>
      <c r="FJ134">
        <v>0</v>
      </c>
      <c r="FK134">
        <v>0</v>
      </c>
      <c r="FL134">
        <v>0</v>
      </c>
      <c r="FM134">
        <v>871.29</v>
      </c>
      <c r="FN134">
        <v>0</v>
      </c>
      <c r="FO134">
        <v>0</v>
      </c>
      <c r="FP134">
        <v>0</v>
      </c>
      <c r="FQ134">
        <v>0</v>
      </c>
      <c r="FR134">
        <v>871.29</v>
      </c>
      <c r="FS134">
        <v>0</v>
      </c>
      <c r="FT134">
        <v>105807.2649952</v>
      </c>
      <c r="FU134">
        <v>264518.162488</v>
      </c>
      <c r="FV134">
        <v>39677.7243732</v>
      </c>
      <c r="FY134">
        <v>13225908.1244</v>
      </c>
      <c r="FZ134">
        <v>16333903.8760529</v>
      </c>
      <c r="GA134">
        <v>1863895.72</v>
      </c>
      <c r="GB134">
        <v>14470008.1560529</v>
      </c>
      <c r="GC134">
        <v>-1244100.03165286</v>
      </c>
      <c r="GD134">
        <v>-0.0940653768309238</v>
      </c>
      <c r="GE134">
        <v>-3107995.75165286</v>
      </c>
      <c r="GF134">
        <v>-0.234992994236746</v>
      </c>
      <c r="GJ134">
        <v>46008.4583333333</v>
      </c>
      <c r="GL134">
        <v>46009.5833333333</v>
      </c>
      <c r="GO134">
        <v>46013.5</v>
      </c>
      <c r="GR134">
        <v>46077.3958333333</v>
      </c>
      <c r="GU134">
        <v>46199.9791666667</v>
      </c>
      <c r="HA134">
        <v>46211.3333333333</v>
      </c>
      <c r="HB134">
        <v>46223.0208333333</v>
      </c>
      <c r="HF134">
        <v>36</v>
      </c>
      <c r="HG134">
        <v>9</v>
      </c>
      <c r="HH134">
        <v>6</v>
      </c>
      <c r="HI134">
        <v>21</v>
      </c>
      <c r="HL134">
        <v>288</v>
      </c>
      <c r="HM134">
        <v>258</v>
      </c>
      <c r="HN134">
        <v>38</v>
      </c>
      <c r="HO134">
        <v>27</v>
      </c>
      <c r="HP134">
        <v>0</v>
      </c>
      <c r="HQ134">
        <v>170</v>
      </c>
      <c r="HR134">
        <v>516</v>
      </c>
      <c r="HS134">
        <v>131</v>
      </c>
    </row>
  </sheetData>
  <autoFilter xmlns:etc="http://www.wps.cn/officeDocument/2017/etCustomData" ref="A1:HU134" etc:filterBottomFollowUsedRange="0">
    <extLst/>
  </autoFilter>
  <pageMargins left="0.75" right="0.75" top="1" bottom="1" header="0.5" footer="0.5"/>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K132"/>
  <sheetViews>
    <sheetView topLeftCell="A112" workbookViewId="0">
      <selection activeCell="N26" sqref="N26"/>
    </sheetView>
  </sheetViews>
  <sheetFormatPr defaultColWidth="8.88888888888889" defaultRowHeight="14.4"/>
  <cols>
    <col min="1" max="1" width="9" style="1"/>
    <col min="2" max="4" width="9" style="2"/>
    <col min="5" max="5" width="14.3796296296296" style="2" customWidth="1"/>
    <col min="6" max="6" width="21.5" customWidth="1"/>
    <col min="7" max="9" width="9"/>
    <col min="10" max="10" width="12.6296296296296" style="3"/>
    <col min="11" max="11" width="12.6296296296296" style="4"/>
  </cols>
  <sheetData>
    <row r="1" spans="1:11">
      <c r="A1" s="1" t="s">
        <v>1</v>
      </c>
      <c r="B1" s="2" t="s">
        <v>2</v>
      </c>
      <c r="C1" s="2" t="s">
        <v>3</v>
      </c>
      <c r="D1" s="2" t="s">
        <v>4</v>
      </c>
      <c r="E1" s="2" t="s">
        <v>7</v>
      </c>
      <c r="F1" t="s">
        <v>8</v>
      </c>
      <c r="G1" t="s">
        <v>9</v>
      </c>
      <c r="H1" t="s">
        <v>10</v>
      </c>
      <c r="I1" t="s">
        <v>11</v>
      </c>
      <c r="J1" s="3" t="s">
        <v>12</v>
      </c>
      <c r="K1" s="4" t="s">
        <v>487</v>
      </c>
    </row>
    <row r="2" spans="1:11">
      <c r="A2" s="1">
        <f t="shared" ref="A2:A65" si="0">ROW()-1</f>
        <v>1</v>
      </c>
      <c r="B2" s="2">
        <v>2024</v>
      </c>
      <c r="C2" s="2" t="s">
        <v>35</v>
      </c>
      <c r="D2" s="2" t="s">
        <v>27</v>
      </c>
      <c r="E2" s="2" t="s">
        <v>693</v>
      </c>
      <c r="F2" t="s">
        <v>30</v>
      </c>
      <c r="G2" t="s">
        <v>31</v>
      </c>
      <c r="H2" t="s">
        <v>32</v>
      </c>
      <c r="I2">
        <v>3</v>
      </c>
      <c r="J2" s="3">
        <v>3521</v>
      </c>
      <c r="K2" s="4">
        <v>25</v>
      </c>
    </row>
    <row r="3" spans="1:11">
      <c r="A3" s="1">
        <f t="shared" si="0"/>
        <v>2</v>
      </c>
      <c r="B3" s="2">
        <v>2024</v>
      </c>
      <c r="C3" s="2" t="s">
        <v>695</v>
      </c>
      <c r="D3" s="2" t="s">
        <v>27</v>
      </c>
      <c r="E3" s="2" t="s">
        <v>698</v>
      </c>
      <c r="F3" t="s">
        <v>308</v>
      </c>
      <c r="G3" t="s">
        <v>31</v>
      </c>
      <c r="H3" t="s">
        <v>32</v>
      </c>
      <c r="I3">
        <v>2</v>
      </c>
      <c r="J3" s="3">
        <v>3335</v>
      </c>
      <c r="K3" s="4">
        <v>23</v>
      </c>
    </row>
    <row r="4" spans="1:11">
      <c r="A4" s="1">
        <f t="shared" si="0"/>
        <v>3</v>
      </c>
      <c r="B4" s="2">
        <v>2024</v>
      </c>
      <c r="C4" s="2" t="s">
        <v>695</v>
      </c>
      <c r="D4" s="2" t="s">
        <v>27</v>
      </c>
      <c r="E4" s="2" t="s">
        <v>700</v>
      </c>
      <c r="F4" t="s">
        <v>30</v>
      </c>
      <c r="G4" t="s">
        <v>31</v>
      </c>
      <c r="H4" t="s">
        <v>32</v>
      </c>
      <c r="I4">
        <v>3</v>
      </c>
      <c r="J4" s="3">
        <v>3785</v>
      </c>
      <c r="K4" s="4">
        <v>26</v>
      </c>
    </row>
    <row r="5" spans="1:11">
      <c r="A5" s="1">
        <f t="shared" si="0"/>
        <v>4</v>
      </c>
      <c r="B5" s="2">
        <v>2024</v>
      </c>
      <c r="C5" s="2" t="s">
        <v>47</v>
      </c>
      <c r="D5" s="2" t="s">
        <v>27</v>
      </c>
      <c r="E5" s="2" t="s">
        <v>701</v>
      </c>
      <c r="F5" t="s">
        <v>30</v>
      </c>
      <c r="G5" t="s">
        <v>31</v>
      </c>
      <c r="H5" t="s">
        <v>32</v>
      </c>
      <c r="I5">
        <v>3</v>
      </c>
      <c r="J5" s="3">
        <v>3535</v>
      </c>
      <c r="K5" s="4">
        <v>28</v>
      </c>
    </row>
    <row r="6" spans="1:11">
      <c r="A6" s="1">
        <f t="shared" si="0"/>
        <v>5</v>
      </c>
      <c r="B6" s="2">
        <v>2024</v>
      </c>
      <c r="C6" s="2" t="s">
        <v>26</v>
      </c>
      <c r="D6" s="2" t="s">
        <v>27</v>
      </c>
      <c r="E6" s="2" t="s">
        <v>702</v>
      </c>
      <c r="F6" t="s">
        <v>309</v>
      </c>
      <c r="G6" t="s">
        <v>31</v>
      </c>
      <c r="H6" t="s">
        <v>32</v>
      </c>
      <c r="I6">
        <v>2</v>
      </c>
      <c r="J6" s="3">
        <v>3670</v>
      </c>
      <c r="K6" s="4">
        <v>41</v>
      </c>
    </row>
    <row r="7" spans="1:11">
      <c r="A7" s="1">
        <f t="shared" si="0"/>
        <v>6</v>
      </c>
      <c r="B7" s="2">
        <v>2024</v>
      </c>
      <c r="C7" s="2" t="s">
        <v>703</v>
      </c>
      <c r="D7" s="2" t="s">
        <v>27</v>
      </c>
      <c r="E7" s="2" t="s">
        <v>704</v>
      </c>
      <c r="F7" t="s">
        <v>309</v>
      </c>
      <c r="G7" t="s">
        <v>31</v>
      </c>
      <c r="H7" t="s">
        <v>32</v>
      </c>
      <c r="I7">
        <v>2</v>
      </c>
      <c r="J7" s="3">
        <v>3765</v>
      </c>
      <c r="K7" s="4">
        <v>33</v>
      </c>
    </row>
    <row r="8" spans="1:11">
      <c r="A8" s="1">
        <f t="shared" si="0"/>
        <v>7</v>
      </c>
      <c r="B8" s="2">
        <v>2024</v>
      </c>
      <c r="C8" s="2" t="s">
        <v>33</v>
      </c>
      <c r="D8" s="2" t="s">
        <v>27</v>
      </c>
      <c r="E8" s="2" t="s">
        <v>707</v>
      </c>
      <c r="F8" t="s">
        <v>308</v>
      </c>
      <c r="G8" t="s">
        <v>31</v>
      </c>
      <c r="H8" t="s">
        <v>32</v>
      </c>
      <c r="I8">
        <v>2</v>
      </c>
      <c r="J8" s="3">
        <v>3462</v>
      </c>
      <c r="K8" s="4">
        <v>19</v>
      </c>
    </row>
    <row r="9" spans="1:11">
      <c r="A9" s="1">
        <f t="shared" si="0"/>
        <v>8</v>
      </c>
      <c r="B9" s="2">
        <v>2024</v>
      </c>
      <c r="C9" s="2" t="s">
        <v>708</v>
      </c>
      <c r="D9" s="2" t="s">
        <v>27</v>
      </c>
      <c r="E9" s="2" t="s">
        <v>710</v>
      </c>
      <c r="F9" t="s">
        <v>309</v>
      </c>
      <c r="G9" t="s">
        <v>31</v>
      </c>
      <c r="H9" t="s">
        <v>32</v>
      </c>
      <c r="I9">
        <v>2</v>
      </c>
      <c r="J9" s="3">
        <v>3603</v>
      </c>
      <c r="K9" s="4">
        <v>24</v>
      </c>
    </row>
    <row r="10" spans="1:11">
      <c r="A10" s="1">
        <f t="shared" si="0"/>
        <v>9</v>
      </c>
      <c r="B10" s="2">
        <v>2024</v>
      </c>
      <c r="C10" s="2" t="s">
        <v>708</v>
      </c>
      <c r="D10" s="2" t="s">
        <v>27</v>
      </c>
      <c r="E10" s="2" t="s">
        <v>712</v>
      </c>
      <c r="F10" t="s">
        <v>309</v>
      </c>
      <c r="G10" t="s">
        <v>41</v>
      </c>
      <c r="H10" t="s">
        <v>32</v>
      </c>
      <c r="I10">
        <v>2</v>
      </c>
      <c r="J10" s="3">
        <v>3560</v>
      </c>
      <c r="K10" s="4">
        <v>30</v>
      </c>
    </row>
    <row r="11" spans="1:11">
      <c r="A11" s="1">
        <f t="shared" si="0"/>
        <v>10</v>
      </c>
      <c r="B11" s="2">
        <v>2024</v>
      </c>
      <c r="C11" s="2" t="s">
        <v>703</v>
      </c>
      <c r="D11" s="2" t="s">
        <v>27</v>
      </c>
      <c r="E11" s="2" t="s">
        <v>713</v>
      </c>
      <c r="F11" t="s">
        <v>308</v>
      </c>
      <c r="G11" t="s">
        <v>31</v>
      </c>
      <c r="H11" t="s">
        <v>32</v>
      </c>
      <c r="I11">
        <v>2</v>
      </c>
      <c r="J11" s="3">
        <v>3472</v>
      </c>
      <c r="K11" s="4">
        <v>28</v>
      </c>
    </row>
    <row r="12" spans="1:11">
      <c r="A12" s="1">
        <f t="shared" si="0"/>
        <v>11</v>
      </c>
      <c r="B12" s="2">
        <v>2024</v>
      </c>
      <c r="C12" s="2" t="s">
        <v>33</v>
      </c>
      <c r="D12" s="2" t="s">
        <v>27</v>
      </c>
      <c r="E12" s="2" t="s">
        <v>714</v>
      </c>
      <c r="F12" t="s">
        <v>309</v>
      </c>
      <c r="G12" t="s">
        <v>31</v>
      </c>
      <c r="H12" t="s">
        <v>32</v>
      </c>
      <c r="I12">
        <v>2</v>
      </c>
      <c r="J12" s="3">
        <v>3737</v>
      </c>
      <c r="K12" s="4">
        <v>30</v>
      </c>
    </row>
    <row r="13" spans="1:11">
      <c r="A13" s="1">
        <f t="shared" si="0"/>
        <v>12</v>
      </c>
      <c r="B13" s="2">
        <v>2024</v>
      </c>
      <c r="C13" s="2" t="s">
        <v>703</v>
      </c>
      <c r="D13" s="2" t="s">
        <v>27</v>
      </c>
      <c r="E13" s="2" t="s">
        <v>715</v>
      </c>
      <c r="F13" t="s">
        <v>30</v>
      </c>
      <c r="G13" t="s">
        <v>31</v>
      </c>
      <c r="H13" t="s">
        <v>32</v>
      </c>
      <c r="I13">
        <v>3</v>
      </c>
      <c r="J13" s="3">
        <v>3894</v>
      </c>
      <c r="K13" s="4">
        <v>29</v>
      </c>
    </row>
    <row r="14" spans="1:11">
      <c r="A14" s="1">
        <f t="shared" si="0"/>
        <v>13</v>
      </c>
      <c r="B14" s="2">
        <v>2024</v>
      </c>
      <c r="C14" s="2" t="s">
        <v>26</v>
      </c>
      <c r="D14" s="2" t="s">
        <v>27</v>
      </c>
      <c r="E14" s="2" t="s">
        <v>716</v>
      </c>
      <c r="F14" t="s">
        <v>30</v>
      </c>
      <c r="G14" t="s">
        <v>31</v>
      </c>
      <c r="H14" t="s">
        <v>32</v>
      </c>
      <c r="I14">
        <v>3</v>
      </c>
      <c r="J14" s="3">
        <v>3918</v>
      </c>
      <c r="K14" s="4">
        <v>39</v>
      </c>
    </row>
    <row r="15" spans="1:11">
      <c r="A15" s="1">
        <f t="shared" si="0"/>
        <v>14</v>
      </c>
      <c r="B15" s="2">
        <v>2024</v>
      </c>
      <c r="C15" s="2" t="s">
        <v>717</v>
      </c>
      <c r="D15" s="2" t="s">
        <v>27</v>
      </c>
      <c r="E15" s="2" t="s">
        <v>718</v>
      </c>
      <c r="F15" t="s">
        <v>307</v>
      </c>
      <c r="G15" t="s">
        <v>41</v>
      </c>
      <c r="H15" t="s">
        <v>32</v>
      </c>
      <c r="I15">
        <v>2</v>
      </c>
      <c r="J15" s="3">
        <v>2110</v>
      </c>
      <c r="K15" s="4">
        <v>16</v>
      </c>
    </row>
    <row r="16" spans="1:11">
      <c r="A16" s="1">
        <f t="shared" si="0"/>
        <v>15</v>
      </c>
      <c r="B16" s="2">
        <v>2024</v>
      </c>
      <c r="C16" s="2" t="s">
        <v>703</v>
      </c>
      <c r="D16" s="2" t="s">
        <v>27</v>
      </c>
      <c r="E16" s="2" t="s">
        <v>719</v>
      </c>
      <c r="F16" t="s">
        <v>30</v>
      </c>
      <c r="G16" t="s">
        <v>31</v>
      </c>
      <c r="H16" t="s">
        <v>38</v>
      </c>
      <c r="I16">
        <v>2</v>
      </c>
      <c r="J16" s="3">
        <v>2270</v>
      </c>
      <c r="K16" s="4">
        <v>13</v>
      </c>
    </row>
    <row r="17" spans="1:11">
      <c r="A17" s="1">
        <f t="shared" si="0"/>
        <v>16</v>
      </c>
      <c r="B17" s="2">
        <v>2024</v>
      </c>
      <c r="C17" s="2" t="s">
        <v>33</v>
      </c>
      <c r="D17" s="2" t="s">
        <v>27</v>
      </c>
      <c r="E17" s="2" t="s">
        <v>720</v>
      </c>
      <c r="F17" t="s">
        <v>307</v>
      </c>
      <c r="G17" t="s">
        <v>31</v>
      </c>
      <c r="H17" t="s">
        <v>32</v>
      </c>
      <c r="I17">
        <v>2</v>
      </c>
      <c r="J17" s="3">
        <v>1847</v>
      </c>
      <c r="K17" s="4">
        <v>9</v>
      </c>
    </row>
    <row r="18" spans="1:11">
      <c r="A18" s="1">
        <f t="shared" si="0"/>
        <v>17</v>
      </c>
      <c r="B18" s="2">
        <v>2024</v>
      </c>
      <c r="C18" s="2" t="s">
        <v>695</v>
      </c>
      <c r="D18" s="2" t="s">
        <v>27</v>
      </c>
      <c r="E18" s="2" t="s">
        <v>721</v>
      </c>
      <c r="F18" t="s">
        <v>30</v>
      </c>
      <c r="G18" t="s">
        <v>41</v>
      </c>
      <c r="H18" t="s">
        <v>32</v>
      </c>
      <c r="I18">
        <v>4</v>
      </c>
      <c r="J18" s="3">
        <v>5196</v>
      </c>
      <c r="K18" s="4">
        <v>56</v>
      </c>
    </row>
    <row r="19" spans="1:11">
      <c r="A19" s="1">
        <f t="shared" si="0"/>
        <v>18</v>
      </c>
      <c r="B19" s="2">
        <v>2024</v>
      </c>
      <c r="C19" s="2" t="s">
        <v>45</v>
      </c>
      <c r="D19" s="2" t="s">
        <v>27</v>
      </c>
      <c r="E19" s="2" t="s">
        <v>722</v>
      </c>
      <c r="F19" t="s">
        <v>30</v>
      </c>
      <c r="G19" t="s">
        <v>31</v>
      </c>
      <c r="H19" t="s">
        <v>32</v>
      </c>
      <c r="I19">
        <v>4</v>
      </c>
      <c r="J19" s="3">
        <v>4688</v>
      </c>
      <c r="K19" s="4">
        <v>49</v>
      </c>
    </row>
    <row r="20" spans="1:11">
      <c r="A20" s="1">
        <f t="shared" si="0"/>
        <v>19</v>
      </c>
      <c r="B20" s="2">
        <v>2024</v>
      </c>
      <c r="C20" s="2" t="s">
        <v>717</v>
      </c>
      <c r="D20" s="2" t="s">
        <v>27</v>
      </c>
      <c r="E20" s="2" t="s">
        <v>724</v>
      </c>
      <c r="F20" t="s">
        <v>310</v>
      </c>
      <c r="G20" t="s">
        <v>41</v>
      </c>
      <c r="H20" t="s">
        <v>32</v>
      </c>
      <c r="I20">
        <v>3</v>
      </c>
      <c r="J20" s="3">
        <v>3197</v>
      </c>
      <c r="K20" s="4">
        <v>32</v>
      </c>
    </row>
    <row r="21" spans="1:11">
      <c r="A21" s="1">
        <f t="shared" si="0"/>
        <v>20</v>
      </c>
      <c r="B21" s="2">
        <v>2024</v>
      </c>
      <c r="C21" s="2" t="s">
        <v>708</v>
      </c>
      <c r="D21" s="2" t="s">
        <v>27</v>
      </c>
      <c r="E21" s="2" t="s">
        <v>728</v>
      </c>
      <c r="F21" t="s">
        <v>310</v>
      </c>
      <c r="G21" t="s">
        <v>41</v>
      </c>
      <c r="H21" t="s">
        <v>32</v>
      </c>
      <c r="I21">
        <v>2</v>
      </c>
      <c r="J21" s="3">
        <v>1997</v>
      </c>
      <c r="K21" s="4">
        <v>9</v>
      </c>
    </row>
    <row r="22" spans="1:11">
      <c r="A22" s="1">
        <f t="shared" si="0"/>
        <v>21</v>
      </c>
      <c r="B22" s="2">
        <v>2024</v>
      </c>
      <c r="C22" s="2" t="s">
        <v>45</v>
      </c>
      <c r="D22" s="2" t="s">
        <v>27</v>
      </c>
      <c r="E22" s="2" t="s">
        <v>729</v>
      </c>
      <c r="F22" t="s">
        <v>326</v>
      </c>
      <c r="G22" t="s">
        <v>730</v>
      </c>
      <c r="H22" t="s">
        <v>32</v>
      </c>
      <c r="I22">
        <v>3</v>
      </c>
      <c r="J22" s="3">
        <v>5175</v>
      </c>
      <c r="K22" s="4">
        <v>63</v>
      </c>
    </row>
    <row r="23" spans="1:11">
      <c r="A23" s="1">
        <f t="shared" si="0"/>
        <v>22</v>
      </c>
      <c r="B23" s="2">
        <v>2024</v>
      </c>
      <c r="C23" s="2" t="s">
        <v>26</v>
      </c>
      <c r="D23" s="2" t="s">
        <v>27</v>
      </c>
      <c r="E23" s="2" t="s">
        <v>733</v>
      </c>
      <c r="F23" t="s">
        <v>326</v>
      </c>
      <c r="G23" t="s">
        <v>730</v>
      </c>
      <c r="H23" t="s">
        <v>32</v>
      </c>
      <c r="I23">
        <v>3</v>
      </c>
      <c r="J23" s="3">
        <v>5139</v>
      </c>
      <c r="K23" s="4">
        <v>63</v>
      </c>
    </row>
    <row r="24" spans="1:11">
      <c r="A24" s="1">
        <f t="shared" si="0"/>
        <v>23</v>
      </c>
      <c r="B24" s="2">
        <v>2024</v>
      </c>
      <c r="C24" s="2" t="s">
        <v>717</v>
      </c>
      <c r="D24" s="2" t="s">
        <v>27</v>
      </c>
      <c r="E24" s="2" t="s">
        <v>734</v>
      </c>
      <c r="F24" t="s">
        <v>312</v>
      </c>
      <c r="G24" t="s">
        <v>41</v>
      </c>
      <c r="H24" t="s">
        <v>32</v>
      </c>
      <c r="I24">
        <v>2</v>
      </c>
      <c r="J24" s="3">
        <v>2711</v>
      </c>
      <c r="K24" s="4">
        <v>18</v>
      </c>
    </row>
    <row r="25" spans="1:11">
      <c r="A25" s="1">
        <f t="shared" si="0"/>
        <v>24</v>
      </c>
      <c r="B25" s="2">
        <v>2024</v>
      </c>
      <c r="C25" s="2" t="s">
        <v>50</v>
      </c>
      <c r="D25" s="2" t="s">
        <v>27</v>
      </c>
      <c r="E25" s="2" t="s">
        <v>735</v>
      </c>
      <c r="F25" t="s">
        <v>312</v>
      </c>
      <c r="G25" t="s">
        <v>31</v>
      </c>
      <c r="H25" t="s">
        <v>32</v>
      </c>
      <c r="I25">
        <v>2</v>
      </c>
      <c r="J25" s="3">
        <v>2786</v>
      </c>
      <c r="K25" s="4">
        <v>19</v>
      </c>
    </row>
    <row r="26" spans="1:11">
      <c r="A26" s="1">
        <f t="shared" si="0"/>
        <v>25</v>
      </c>
      <c r="B26" s="2">
        <v>2024</v>
      </c>
      <c r="C26" s="2" t="s">
        <v>35</v>
      </c>
      <c r="D26" s="2" t="s">
        <v>27</v>
      </c>
      <c r="E26" s="2" t="s">
        <v>738</v>
      </c>
      <c r="F26" t="s">
        <v>316</v>
      </c>
      <c r="G26" t="s">
        <v>31</v>
      </c>
      <c r="H26" t="s">
        <v>32</v>
      </c>
      <c r="I26">
        <v>2</v>
      </c>
      <c r="J26" s="3">
        <v>3461</v>
      </c>
      <c r="K26" s="4">
        <v>25</v>
      </c>
    </row>
    <row r="27" spans="1:11">
      <c r="A27" s="1">
        <f t="shared" si="0"/>
        <v>26</v>
      </c>
      <c r="B27" s="2">
        <v>2024</v>
      </c>
      <c r="C27" s="2" t="s">
        <v>39</v>
      </c>
      <c r="D27" s="2" t="s">
        <v>27</v>
      </c>
      <c r="E27" s="2" t="s">
        <v>739</v>
      </c>
      <c r="F27" t="s">
        <v>316</v>
      </c>
      <c r="G27" t="s">
        <v>31</v>
      </c>
      <c r="H27" t="s">
        <v>32</v>
      </c>
      <c r="I27">
        <v>2</v>
      </c>
      <c r="J27" s="3">
        <v>3412</v>
      </c>
      <c r="K27" s="4">
        <v>46</v>
      </c>
    </row>
    <row r="28" spans="1:11">
      <c r="A28" s="1">
        <f t="shared" si="0"/>
        <v>27</v>
      </c>
      <c r="B28" s="2">
        <v>2024</v>
      </c>
      <c r="C28" s="2" t="s">
        <v>50</v>
      </c>
      <c r="D28" s="2" t="s">
        <v>27</v>
      </c>
      <c r="E28" s="2" t="s">
        <v>740</v>
      </c>
      <c r="F28" t="s">
        <v>316</v>
      </c>
      <c r="G28" t="s">
        <v>31</v>
      </c>
      <c r="H28" t="s">
        <v>32</v>
      </c>
      <c r="I28">
        <v>2</v>
      </c>
      <c r="J28" s="3">
        <v>3636</v>
      </c>
      <c r="K28" s="4">
        <v>28</v>
      </c>
    </row>
    <row r="29" spans="1:11">
      <c r="A29" s="1">
        <f t="shared" si="0"/>
        <v>28</v>
      </c>
      <c r="B29" s="2">
        <v>2024</v>
      </c>
      <c r="C29" s="2" t="s">
        <v>741</v>
      </c>
      <c r="D29" s="2" t="s">
        <v>27</v>
      </c>
      <c r="E29" s="2" t="s">
        <v>742</v>
      </c>
      <c r="F29" t="s">
        <v>316</v>
      </c>
      <c r="G29" t="s">
        <v>31</v>
      </c>
      <c r="H29" t="s">
        <v>32</v>
      </c>
      <c r="I29">
        <v>2</v>
      </c>
      <c r="J29" s="3">
        <v>2859</v>
      </c>
      <c r="K29" s="4">
        <v>20</v>
      </c>
    </row>
    <row r="30" spans="1:11">
      <c r="A30" s="1">
        <f t="shared" si="0"/>
        <v>29</v>
      </c>
      <c r="B30" s="2">
        <v>2024</v>
      </c>
      <c r="C30" s="2" t="s">
        <v>45</v>
      </c>
      <c r="D30" s="2" t="s">
        <v>27</v>
      </c>
      <c r="E30" s="2" t="s">
        <v>744</v>
      </c>
      <c r="F30" t="s">
        <v>323</v>
      </c>
      <c r="G30" t="s">
        <v>730</v>
      </c>
      <c r="H30" t="s">
        <v>32</v>
      </c>
      <c r="I30">
        <v>3</v>
      </c>
      <c r="J30" s="3">
        <v>3732</v>
      </c>
      <c r="K30" s="4">
        <v>39</v>
      </c>
    </row>
    <row r="31" spans="1:11">
      <c r="A31" s="1">
        <f t="shared" si="0"/>
        <v>30</v>
      </c>
      <c r="B31" s="2">
        <v>2024</v>
      </c>
      <c r="C31" s="2" t="s">
        <v>39</v>
      </c>
      <c r="D31" s="2" t="s">
        <v>27</v>
      </c>
      <c r="E31" s="2" t="s">
        <v>745</v>
      </c>
      <c r="F31" t="s">
        <v>323</v>
      </c>
      <c r="G31" t="s">
        <v>31</v>
      </c>
      <c r="H31" t="s">
        <v>38</v>
      </c>
      <c r="I31">
        <v>3</v>
      </c>
      <c r="J31" s="3">
        <v>6493</v>
      </c>
      <c r="K31" s="4">
        <v>68</v>
      </c>
    </row>
    <row r="32" spans="1:11">
      <c r="A32" s="1">
        <f t="shared" si="0"/>
        <v>31</v>
      </c>
      <c r="B32" s="2">
        <v>2024</v>
      </c>
      <c r="C32" s="2" t="s">
        <v>47</v>
      </c>
      <c r="D32" s="2" t="s">
        <v>27</v>
      </c>
      <c r="E32" s="2" t="s">
        <v>747</v>
      </c>
      <c r="F32" t="s">
        <v>323</v>
      </c>
      <c r="G32" t="s">
        <v>31</v>
      </c>
      <c r="H32" t="s">
        <v>38</v>
      </c>
      <c r="I32">
        <v>3</v>
      </c>
      <c r="J32" s="3">
        <v>6081</v>
      </c>
      <c r="K32" s="4">
        <v>49</v>
      </c>
    </row>
    <row r="33" spans="1:11">
      <c r="A33" s="1">
        <f t="shared" si="0"/>
        <v>32</v>
      </c>
      <c r="B33" s="2">
        <v>2024</v>
      </c>
      <c r="C33" s="2" t="s">
        <v>50</v>
      </c>
      <c r="D33" s="2" t="s">
        <v>27</v>
      </c>
      <c r="E33" s="2" t="s">
        <v>748</v>
      </c>
      <c r="F33" t="s">
        <v>323</v>
      </c>
      <c r="G33" t="s">
        <v>31</v>
      </c>
      <c r="H33" t="s">
        <v>38</v>
      </c>
      <c r="I33">
        <v>3</v>
      </c>
      <c r="J33" s="3">
        <v>6151</v>
      </c>
      <c r="K33" s="4">
        <v>51</v>
      </c>
    </row>
    <row r="34" spans="1:11">
      <c r="A34" s="1">
        <f t="shared" si="0"/>
        <v>33</v>
      </c>
      <c r="B34" s="2">
        <v>2024</v>
      </c>
      <c r="C34" s="2" t="s">
        <v>717</v>
      </c>
      <c r="D34" s="2" t="s">
        <v>27</v>
      </c>
      <c r="E34" s="2" t="s">
        <v>749</v>
      </c>
      <c r="F34" t="s">
        <v>323</v>
      </c>
      <c r="G34" t="s">
        <v>31</v>
      </c>
      <c r="H34" t="s">
        <v>38</v>
      </c>
      <c r="I34">
        <v>3</v>
      </c>
      <c r="J34" s="3">
        <v>6320</v>
      </c>
      <c r="K34" s="4">
        <v>54</v>
      </c>
    </row>
    <row r="35" spans="1:11">
      <c r="A35" s="1">
        <f t="shared" si="0"/>
        <v>34</v>
      </c>
      <c r="B35" s="2">
        <v>2024</v>
      </c>
      <c r="C35" s="2" t="s">
        <v>39</v>
      </c>
      <c r="D35" s="2" t="s">
        <v>27</v>
      </c>
      <c r="E35" s="2" t="s">
        <v>750</v>
      </c>
      <c r="F35" t="s">
        <v>323</v>
      </c>
      <c r="G35" t="s">
        <v>31</v>
      </c>
      <c r="H35" t="s">
        <v>38</v>
      </c>
      <c r="I35">
        <v>3</v>
      </c>
      <c r="J35" s="3">
        <v>6168</v>
      </c>
      <c r="K35" s="4">
        <v>53</v>
      </c>
    </row>
    <row r="36" spans="1:11">
      <c r="A36" s="1">
        <f t="shared" si="0"/>
        <v>35</v>
      </c>
      <c r="B36" s="2">
        <v>2024</v>
      </c>
      <c r="C36" s="2" t="s">
        <v>47</v>
      </c>
      <c r="D36" s="2" t="s">
        <v>27</v>
      </c>
      <c r="E36" s="2" t="s">
        <v>751</v>
      </c>
      <c r="F36" t="s">
        <v>323</v>
      </c>
      <c r="G36" t="s">
        <v>31</v>
      </c>
      <c r="H36" t="s">
        <v>38</v>
      </c>
      <c r="I36">
        <v>3</v>
      </c>
      <c r="J36" s="3">
        <v>6140</v>
      </c>
      <c r="K36" s="4">
        <v>56</v>
      </c>
    </row>
    <row r="37" spans="1:11">
      <c r="A37" s="1">
        <f t="shared" si="0"/>
        <v>36</v>
      </c>
      <c r="B37" s="2">
        <v>2024</v>
      </c>
      <c r="C37" s="2" t="s">
        <v>741</v>
      </c>
      <c r="D37" s="2" t="s">
        <v>27</v>
      </c>
      <c r="E37" s="2" t="s">
        <v>752</v>
      </c>
      <c r="F37" t="s">
        <v>323</v>
      </c>
      <c r="G37" t="s">
        <v>31</v>
      </c>
      <c r="H37" t="s">
        <v>38</v>
      </c>
      <c r="I37">
        <v>3</v>
      </c>
      <c r="J37" s="3">
        <v>6182</v>
      </c>
      <c r="K37" s="4">
        <v>58</v>
      </c>
    </row>
    <row r="38" spans="1:11">
      <c r="A38" s="1">
        <f t="shared" si="0"/>
        <v>37</v>
      </c>
      <c r="B38" s="2">
        <v>2024</v>
      </c>
      <c r="C38" s="2" t="s">
        <v>33</v>
      </c>
      <c r="D38" s="2" t="s">
        <v>27</v>
      </c>
      <c r="E38" s="2" t="s">
        <v>753</v>
      </c>
      <c r="F38" t="s">
        <v>313</v>
      </c>
      <c r="G38" t="s">
        <v>41</v>
      </c>
      <c r="H38" t="s">
        <v>32</v>
      </c>
      <c r="I38">
        <v>2</v>
      </c>
      <c r="J38" s="3">
        <v>1785</v>
      </c>
      <c r="K38" s="4">
        <v>10</v>
      </c>
    </row>
    <row r="39" spans="1:11">
      <c r="A39" s="1">
        <f t="shared" si="0"/>
        <v>38</v>
      </c>
      <c r="B39" s="2">
        <v>2024</v>
      </c>
      <c r="C39" s="2" t="s">
        <v>35</v>
      </c>
      <c r="D39" s="2" t="s">
        <v>27</v>
      </c>
      <c r="E39" s="2" t="s">
        <v>754</v>
      </c>
      <c r="F39" t="s">
        <v>314</v>
      </c>
      <c r="G39" t="s">
        <v>41</v>
      </c>
      <c r="H39" t="s">
        <v>32</v>
      </c>
      <c r="I39">
        <v>2</v>
      </c>
      <c r="J39" s="3">
        <v>2492</v>
      </c>
      <c r="K39" s="4">
        <v>12</v>
      </c>
    </row>
    <row r="40" spans="1:11">
      <c r="A40" s="1">
        <f t="shared" si="0"/>
        <v>39</v>
      </c>
      <c r="B40" s="2">
        <v>2024</v>
      </c>
      <c r="C40" s="2" t="s">
        <v>47</v>
      </c>
      <c r="D40" s="2" t="s">
        <v>27</v>
      </c>
      <c r="E40" s="2" t="s">
        <v>755</v>
      </c>
      <c r="F40" t="s">
        <v>320</v>
      </c>
      <c r="G40" t="s">
        <v>730</v>
      </c>
      <c r="H40" t="s">
        <v>32</v>
      </c>
      <c r="I40">
        <v>2</v>
      </c>
      <c r="J40" s="3">
        <v>2775</v>
      </c>
      <c r="K40" s="4">
        <v>21</v>
      </c>
    </row>
    <row r="41" spans="1:11">
      <c r="A41" s="1">
        <f t="shared" si="0"/>
        <v>40</v>
      </c>
      <c r="B41" s="2">
        <v>2024</v>
      </c>
      <c r="C41" s="2" t="s">
        <v>695</v>
      </c>
      <c r="D41" s="2" t="s">
        <v>27</v>
      </c>
      <c r="E41" s="2" t="s">
        <v>756</v>
      </c>
      <c r="F41" t="s">
        <v>317</v>
      </c>
      <c r="G41" t="s">
        <v>41</v>
      </c>
      <c r="H41" t="s">
        <v>32</v>
      </c>
      <c r="I41">
        <v>2</v>
      </c>
      <c r="J41" s="3">
        <v>2468</v>
      </c>
      <c r="K41" s="4">
        <v>16</v>
      </c>
    </row>
    <row r="42" spans="1:11">
      <c r="A42" s="1">
        <f t="shared" si="0"/>
        <v>41</v>
      </c>
      <c r="B42" s="2">
        <v>2024</v>
      </c>
      <c r="C42" s="2" t="s">
        <v>26</v>
      </c>
      <c r="D42" s="2" t="s">
        <v>27</v>
      </c>
      <c r="E42" s="1" t="s">
        <v>757</v>
      </c>
      <c r="F42" t="s">
        <v>311</v>
      </c>
      <c r="G42" t="s">
        <v>41</v>
      </c>
      <c r="H42" t="s">
        <v>32</v>
      </c>
      <c r="I42">
        <v>2</v>
      </c>
      <c r="J42" s="3">
        <v>1449</v>
      </c>
      <c r="K42" s="4">
        <v>11</v>
      </c>
    </row>
    <row r="43" spans="1:11">
      <c r="A43" s="1">
        <f t="shared" si="0"/>
        <v>42</v>
      </c>
      <c r="B43" s="2">
        <v>2024</v>
      </c>
      <c r="C43" s="2" t="s">
        <v>39</v>
      </c>
      <c r="D43" s="2" t="s">
        <v>27</v>
      </c>
      <c r="E43" s="1" t="s">
        <v>758</v>
      </c>
      <c r="F43" t="s">
        <v>311</v>
      </c>
      <c r="G43" t="s">
        <v>41</v>
      </c>
      <c r="H43" t="s">
        <v>32</v>
      </c>
      <c r="I43">
        <v>2</v>
      </c>
      <c r="J43" s="3">
        <v>1562</v>
      </c>
      <c r="K43" s="4">
        <v>11</v>
      </c>
    </row>
    <row r="44" spans="1:11">
      <c r="A44" s="1">
        <f t="shared" si="0"/>
        <v>43</v>
      </c>
      <c r="B44" s="2">
        <v>2024</v>
      </c>
      <c r="C44" s="2" t="s">
        <v>33</v>
      </c>
      <c r="D44" s="2" t="s">
        <v>27</v>
      </c>
      <c r="E44" s="1" t="s">
        <v>760</v>
      </c>
      <c r="F44" t="s">
        <v>311</v>
      </c>
      <c r="G44" t="s">
        <v>31</v>
      </c>
      <c r="H44" t="s">
        <v>32</v>
      </c>
      <c r="I44">
        <v>2</v>
      </c>
      <c r="J44" s="3">
        <v>1610</v>
      </c>
      <c r="K44" s="4">
        <v>18</v>
      </c>
    </row>
    <row r="45" spans="1:11">
      <c r="A45" s="1">
        <f t="shared" si="0"/>
        <v>44</v>
      </c>
      <c r="B45" s="2">
        <v>2024</v>
      </c>
      <c r="C45" s="2" t="s">
        <v>35</v>
      </c>
      <c r="D45" s="2" t="s">
        <v>27</v>
      </c>
      <c r="E45" s="1" t="s">
        <v>761</v>
      </c>
      <c r="F45" t="s">
        <v>311</v>
      </c>
      <c r="G45" t="s">
        <v>31</v>
      </c>
      <c r="H45" t="s">
        <v>32</v>
      </c>
      <c r="I45">
        <v>2</v>
      </c>
      <c r="J45" s="3">
        <v>1540</v>
      </c>
      <c r="K45" s="4">
        <v>10</v>
      </c>
    </row>
    <row r="46" spans="1:11">
      <c r="A46" s="1">
        <f t="shared" si="0"/>
        <v>45</v>
      </c>
      <c r="B46" s="2">
        <v>2024</v>
      </c>
      <c r="C46" s="2" t="s">
        <v>708</v>
      </c>
      <c r="D46" s="2" t="s">
        <v>27</v>
      </c>
      <c r="E46" s="1" t="s">
        <v>762</v>
      </c>
      <c r="F46" t="s">
        <v>311</v>
      </c>
      <c r="G46" t="s">
        <v>31</v>
      </c>
      <c r="H46" t="s">
        <v>32</v>
      </c>
      <c r="I46">
        <v>2</v>
      </c>
      <c r="J46" s="3">
        <v>1508</v>
      </c>
      <c r="K46" s="4">
        <v>11</v>
      </c>
    </row>
    <row r="47" spans="1:11">
      <c r="A47" s="1">
        <f t="shared" si="0"/>
        <v>46</v>
      </c>
      <c r="B47" s="2">
        <v>2024</v>
      </c>
      <c r="C47" s="2" t="s">
        <v>26</v>
      </c>
      <c r="D47" s="2" t="s">
        <v>27</v>
      </c>
      <c r="E47" s="1" t="s">
        <v>763</v>
      </c>
      <c r="F47" t="s">
        <v>311</v>
      </c>
      <c r="G47" t="s">
        <v>31</v>
      </c>
      <c r="H47" t="s">
        <v>32</v>
      </c>
      <c r="I47">
        <v>2</v>
      </c>
      <c r="J47" s="3">
        <v>1500</v>
      </c>
      <c r="K47" s="4">
        <v>11</v>
      </c>
    </row>
    <row r="48" spans="1:11">
      <c r="A48" s="1">
        <f t="shared" si="0"/>
        <v>47</v>
      </c>
      <c r="B48" s="2">
        <v>2024</v>
      </c>
      <c r="C48" s="2" t="s">
        <v>703</v>
      </c>
      <c r="D48" s="2" t="s">
        <v>27</v>
      </c>
      <c r="E48" s="1" t="s">
        <v>764</v>
      </c>
      <c r="F48" t="s">
        <v>311</v>
      </c>
      <c r="G48" t="s">
        <v>31</v>
      </c>
      <c r="H48" t="s">
        <v>32</v>
      </c>
      <c r="I48">
        <v>2</v>
      </c>
      <c r="J48" s="3">
        <v>1515</v>
      </c>
      <c r="K48" s="4">
        <v>11</v>
      </c>
    </row>
    <row r="49" spans="1:11">
      <c r="A49" s="1">
        <f t="shared" si="0"/>
        <v>48</v>
      </c>
      <c r="B49" s="2">
        <v>2024</v>
      </c>
      <c r="C49" s="2" t="s">
        <v>35</v>
      </c>
      <c r="D49" s="2" t="s">
        <v>27</v>
      </c>
      <c r="E49" s="1" t="s">
        <v>765</v>
      </c>
      <c r="F49" t="s">
        <v>311</v>
      </c>
      <c r="G49" t="s">
        <v>31</v>
      </c>
      <c r="H49" t="s">
        <v>32</v>
      </c>
      <c r="I49">
        <v>2</v>
      </c>
      <c r="J49" s="3">
        <v>1449</v>
      </c>
      <c r="K49" s="4">
        <v>10</v>
      </c>
    </row>
    <row r="50" spans="1:11">
      <c r="A50" s="1">
        <f t="shared" si="0"/>
        <v>49</v>
      </c>
      <c r="B50" s="2">
        <v>2024</v>
      </c>
      <c r="C50" s="2" t="s">
        <v>708</v>
      </c>
      <c r="D50" s="2" t="s">
        <v>27</v>
      </c>
      <c r="E50" s="2" t="s">
        <v>766</v>
      </c>
      <c r="F50" t="s">
        <v>318</v>
      </c>
      <c r="G50" t="s">
        <v>41</v>
      </c>
      <c r="H50" t="s">
        <v>32</v>
      </c>
      <c r="I50">
        <v>3</v>
      </c>
      <c r="J50" s="3">
        <v>5755</v>
      </c>
      <c r="K50" s="4">
        <v>55</v>
      </c>
    </row>
    <row r="51" spans="1:11">
      <c r="A51" s="1">
        <f t="shared" si="0"/>
        <v>50</v>
      </c>
      <c r="B51" s="2">
        <v>2024</v>
      </c>
      <c r="C51" s="2" t="s">
        <v>47</v>
      </c>
      <c r="D51" s="2" t="s">
        <v>27</v>
      </c>
      <c r="E51" s="2" t="s">
        <v>767</v>
      </c>
      <c r="F51" t="s">
        <v>318</v>
      </c>
      <c r="G51" t="s">
        <v>730</v>
      </c>
      <c r="H51" t="s">
        <v>32</v>
      </c>
      <c r="I51">
        <v>3</v>
      </c>
      <c r="J51" s="3">
        <v>4088</v>
      </c>
      <c r="K51" s="4">
        <v>30</v>
      </c>
    </row>
    <row r="52" spans="1:11">
      <c r="A52" s="1">
        <f t="shared" si="0"/>
        <v>51</v>
      </c>
      <c r="B52" s="2">
        <v>2024</v>
      </c>
      <c r="C52" s="2" t="s">
        <v>708</v>
      </c>
      <c r="D52" s="2" t="s">
        <v>27</v>
      </c>
      <c r="E52" s="2" t="s">
        <v>768</v>
      </c>
      <c r="F52" t="s">
        <v>318</v>
      </c>
      <c r="G52" t="s">
        <v>730</v>
      </c>
      <c r="H52" t="s">
        <v>32</v>
      </c>
      <c r="I52">
        <v>3</v>
      </c>
      <c r="J52" s="3">
        <v>4778</v>
      </c>
      <c r="K52" s="4">
        <v>39</v>
      </c>
    </row>
    <row r="53" spans="1:11">
      <c r="A53" s="1">
        <f t="shared" si="0"/>
        <v>52</v>
      </c>
      <c r="B53" s="2">
        <v>2024</v>
      </c>
      <c r="C53" s="2" t="s">
        <v>50</v>
      </c>
      <c r="D53" s="2" t="s">
        <v>27</v>
      </c>
      <c r="E53" s="2" t="s">
        <v>769</v>
      </c>
      <c r="F53" t="s">
        <v>321</v>
      </c>
      <c r="G53" t="s">
        <v>41</v>
      </c>
      <c r="H53" t="s">
        <v>38</v>
      </c>
      <c r="I53">
        <v>2</v>
      </c>
      <c r="J53" s="3">
        <v>4104</v>
      </c>
      <c r="K53" s="4">
        <v>28</v>
      </c>
    </row>
    <row r="54" spans="1:11">
      <c r="A54" s="1">
        <f t="shared" si="0"/>
        <v>53</v>
      </c>
      <c r="B54" s="2">
        <v>2024</v>
      </c>
      <c r="C54" s="2" t="s">
        <v>708</v>
      </c>
      <c r="D54" s="2" t="s">
        <v>27</v>
      </c>
      <c r="E54" s="2" t="s">
        <v>770</v>
      </c>
      <c r="F54" t="s">
        <v>321</v>
      </c>
      <c r="G54" t="s">
        <v>31</v>
      </c>
      <c r="H54" t="s">
        <v>32</v>
      </c>
      <c r="I54">
        <v>2</v>
      </c>
      <c r="J54" s="3">
        <v>2979</v>
      </c>
      <c r="K54" s="4">
        <v>20</v>
      </c>
    </row>
    <row r="55" spans="1:11">
      <c r="A55" s="1">
        <f t="shared" si="0"/>
        <v>54</v>
      </c>
      <c r="B55" s="2">
        <v>2024</v>
      </c>
      <c r="C55" s="2" t="s">
        <v>695</v>
      </c>
      <c r="D55" s="2" t="s">
        <v>27</v>
      </c>
      <c r="E55" s="2" t="s">
        <v>771</v>
      </c>
      <c r="F55" t="s">
        <v>321</v>
      </c>
      <c r="G55" t="s">
        <v>31</v>
      </c>
      <c r="H55" t="s">
        <v>32</v>
      </c>
      <c r="I55">
        <v>2</v>
      </c>
      <c r="J55" s="3">
        <v>2956</v>
      </c>
      <c r="K55" s="4">
        <v>20</v>
      </c>
    </row>
    <row r="56" spans="1:11">
      <c r="A56" s="1">
        <f t="shared" si="0"/>
        <v>55</v>
      </c>
      <c r="B56" s="2">
        <v>2024</v>
      </c>
      <c r="C56" s="2" t="s">
        <v>703</v>
      </c>
      <c r="D56" s="2" t="s">
        <v>27</v>
      </c>
      <c r="E56" s="2" t="s">
        <v>772</v>
      </c>
      <c r="F56" t="s">
        <v>321</v>
      </c>
      <c r="G56" t="s">
        <v>31</v>
      </c>
      <c r="H56" t="s">
        <v>32</v>
      </c>
      <c r="I56">
        <v>2</v>
      </c>
      <c r="J56" s="3">
        <v>2323</v>
      </c>
      <c r="K56" s="4">
        <v>14</v>
      </c>
    </row>
    <row r="57" spans="1:11">
      <c r="A57" s="1">
        <f t="shared" si="0"/>
        <v>56</v>
      </c>
      <c r="B57" s="2">
        <v>2024</v>
      </c>
      <c r="C57" s="2" t="s">
        <v>26</v>
      </c>
      <c r="D57" s="2" t="s">
        <v>27</v>
      </c>
      <c r="E57" s="2" t="s">
        <v>773</v>
      </c>
      <c r="F57" t="s">
        <v>321</v>
      </c>
      <c r="G57" t="s">
        <v>31</v>
      </c>
      <c r="H57" t="s">
        <v>32</v>
      </c>
      <c r="I57">
        <v>2</v>
      </c>
      <c r="J57" s="3">
        <v>2335</v>
      </c>
      <c r="K57" s="4">
        <v>17</v>
      </c>
    </row>
    <row r="58" spans="1:11">
      <c r="A58" s="1">
        <f t="shared" si="0"/>
        <v>57</v>
      </c>
      <c r="B58" s="2">
        <v>2024</v>
      </c>
      <c r="C58" s="2" t="s">
        <v>50</v>
      </c>
      <c r="D58" s="2" t="s">
        <v>27</v>
      </c>
      <c r="E58" s="2" t="s">
        <v>774</v>
      </c>
      <c r="F58" t="s">
        <v>319</v>
      </c>
      <c r="G58" t="s">
        <v>41</v>
      </c>
      <c r="H58" t="s">
        <v>32</v>
      </c>
      <c r="I58">
        <v>2</v>
      </c>
      <c r="J58" s="3">
        <v>2201</v>
      </c>
      <c r="K58" s="4">
        <v>13</v>
      </c>
    </row>
    <row r="59" spans="1:11">
      <c r="A59" s="1">
        <f t="shared" si="0"/>
        <v>58</v>
      </c>
      <c r="B59" s="2">
        <v>2024</v>
      </c>
      <c r="C59" s="2" t="s">
        <v>717</v>
      </c>
      <c r="D59" s="2" t="s">
        <v>27</v>
      </c>
      <c r="E59" s="2" t="s">
        <v>776</v>
      </c>
      <c r="F59" t="s">
        <v>322</v>
      </c>
      <c r="G59" t="s">
        <v>31</v>
      </c>
      <c r="H59" t="s">
        <v>38</v>
      </c>
      <c r="I59">
        <v>3</v>
      </c>
      <c r="J59" s="3">
        <v>4188</v>
      </c>
      <c r="K59" s="4">
        <v>33</v>
      </c>
    </row>
    <row r="60" spans="1:11">
      <c r="A60" s="1">
        <f t="shared" si="0"/>
        <v>59</v>
      </c>
      <c r="B60" s="2">
        <v>2024</v>
      </c>
      <c r="C60" s="2" t="s">
        <v>695</v>
      </c>
      <c r="D60" s="2" t="s">
        <v>27</v>
      </c>
      <c r="E60" s="2" t="s">
        <v>777</v>
      </c>
      <c r="F60" t="s">
        <v>322</v>
      </c>
      <c r="G60" t="s">
        <v>31</v>
      </c>
      <c r="H60" t="s">
        <v>38</v>
      </c>
      <c r="I60">
        <v>3</v>
      </c>
      <c r="J60" s="3">
        <v>4030</v>
      </c>
      <c r="K60" s="4">
        <v>29</v>
      </c>
    </row>
    <row r="61" spans="1:11">
      <c r="A61" s="1">
        <f t="shared" si="0"/>
        <v>60</v>
      </c>
      <c r="B61" s="2">
        <v>2024</v>
      </c>
      <c r="C61" s="2" t="s">
        <v>695</v>
      </c>
      <c r="D61" s="2" t="s">
        <v>27</v>
      </c>
      <c r="E61" s="2" t="s">
        <v>779</v>
      </c>
      <c r="F61" t="s">
        <v>319</v>
      </c>
      <c r="G61" t="s">
        <v>31</v>
      </c>
      <c r="H61" t="s">
        <v>32</v>
      </c>
      <c r="I61">
        <v>2</v>
      </c>
      <c r="J61" s="3">
        <v>2201</v>
      </c>
      <c r="K61" s="4">
        <v>9</v>
      </c>
    </row>
    <row r="62" spans="1:11">
      <c r="A62" s="1">
        <f t="shared" si="0"/>
        <v>61</v>
      </c>
      <c r="B62" s="2">
        <v>2025</v>
      </c>
      <c r="C62" s="2" t="s">
        <v>26</v>
      </c>
      <c r="D62" s="2" t="s">
        <v>27</v>
      </c>
      <c r="E62" s="2" t="s">
        <v>29</v>
      </c>
      <c r="F62" t="s">
        <v>308</v>
      </c>
      <c r="G62" t="s">
        <v>31</v>
      </c>
      <c r="H62" t="s">
        <v>32</v>
      </c>
      <c r="I62">
        <v>2</v>
      </c>
      <c r="J62" s="3">
        <v>2925</v>
      </c>
      <c r="K62" s="4">
        <v>14</v>
      </c>
    </row>
    <row r="63" spans="1:11">
      <c r="A63" s="1">
        <f t="shared" si="0"/>
        <v>62</v>
      </c>
      <c r="B63" s="2">
        <v>2025</v>
      </c>
      <c r="C63" s="2" t="s">
        <v>26</v>
      </c>
      <c r="D63" s="2" t="s">
        <v>27</v>
      </c>
      <c r="E63" s="2" t="s">
        <v>780</v>
      </c>
      <c r="F63" t="s">
        <v>325</v>
      </c>
      <c r="G63" t="s">
        <v>31</v>
      </c>
      <c r="H63" t="s">
        <v>32</v>
      </c>
      <c r="I63">
        <v>3</v>
      </c>
      <c r="J63" s="3">
        <v>4800</v>
      </c>
      <c r="K63" s="4">
        <v>39</v>
      </c>
    </row>
    <row r="64" spans="1:11">
      <c r="A64" s="1">
        <f t="shared" si="0"/>
        <v>63</v>
      </c>
      <c r="B64" s="2">
        <v>2025</v>
      </c>
      <c r="C64" s="2" t="s">
        <v>703</v>
      </c>
      <c r="D64" s="2" t="s">
        <v>27</v>
      </c>
      <c r="E64" s="2" t="s">
        <v>781</v>
      </c>
      <c r="F64" t="s">
        <v>30</v>
      </c>
      <c r="G64" t="s">
        <v>31</v>
      </c>
      <c r="H64" t="s">
        <v>38</v>
      </c>
      <c r="I64">
        <v>2</v>
      </c>
      <c r="J64" s="3">
        <v>2710</v>
      </c>
      <c r="K64" s="4">
        <v>13.7916666667006</v>
      </c>
    </row>
    <row r="65" spans="1:11">
      <c r="A65" s="1">
        <f t="shared" si="0"/>
        <v>64</v>
      </c>
      <c r="B65" s="2">
        <v>2025</v>
      </c>
      <c r="C65" s="2" t="s">
        <v>703</v>
      </c>
      <c r="D65" s="2" t="s">
        <v>27</v>
      </c>
      <c r="E65" s="2" t="s">
        <v>782</v>
      </c>
      <c r="F65" t="s">
        <v>323</v>
      </c>
      <c r="G65" t="s">
        <v>31</v>
      </c>
      <c r="H65" t="s">
        <v>38</v>
      </c>
      <c r="I65">
        <v>2</v>
      </c>
      <c r="J65" s="3">
        <v>6332</v>
      </c>
      <c r="K65" s="4">
        <v>40.3958333334012</v>
      </c>
    </row>
    <row r="66" spans="1:11">
      <c r="A66" s="1">
        <f t="shared" ref="A66:A129" si="1">ROW()-1</f>
        <v>65</v>
      </c>
      <c r="B66" s="2">
        <v>2025</v>
      </c>
      <c r="C66" s="2" t="s">
        <v>703</v>
      </c>
      <c r="D66" s="2" t="s">
        <v>27</v>
      </c>
      <c r="E66" s="2" t="s">
        <v>783</v>
      </c>
      <c r="F66" t="s">
        <v>321</v>
      </c>
      <c r="G66" t="s">
        <v>31</v>
      </c>
      <c r="H66" t="s">
        <v>38</v>
      </c>
      <c r="I66">
        <v>2</v>
      </c>
      <c r="J66" s="3">
        <v>3896</v>
      </c>
      <c r="K66" s="4">
        <v>55.125</v>
      </c>
    </row>
    <row r="67" spans="1:11">
      <c r="A67" s="1">
        <f t="shared" si="1"/>
        <v>66</v>
      </c>
      <c r="B67" s="2">
        <v>2025</v>
      </c>
      <c r="C67" s="2" t="s">
        <v>33</v>
      </c>
      <c r="D67" s="2" t="s">
        <v>27</v>
      </c>
      <c r="E67" s="2" t="s">
        <v>34</v>
      </c>
      <c r="F67" t="s">
        <v>308</v>
      </c>
      <c r="G67" t="s">
        <v>31</v>
      </c>
      <c r="H67" t="s">
        <v>32</v>
      </c>
      <c r="I67">
        <v>2</v>
      </c>
      <c r="J67" s="3">
        <v>2915</v>
      </c>
      <c r="K67" s="4">
        <v>14.7916666667006</v>
      </c>
    </row>
    <row r="68" spans="1:11">
      <c r="A68" s="1">
        <f t="shared" si="1"/>
        <v>67</v>
      </c>
      <c r="B68" s="2">
        <v>2025</v>
      </c>
      <c r="C68" s="2" t="s">
        <v>33</v>
      </c>
      <c r="D68" s="2" t="s">
        <v>27</v>
      </c>
      <c r="E68" s="2" t="s">
        <v>784</v>
      </c>
      <c r="F68" t="s">
        <v>328</v>
      </c>
      <c r="G68" t="s">
        <v>730</v>
      </c>
      <c r="H68" t="s">
        <v>32</v>
      </c>
      <c r="I68">
        <v>3</v>
      </c>
      <c r="J68" s="3">
        <v>5640</v>
      </c>
      <c r="K68" s="4">
        <v>40.2291666665988</v>
      </c>
    </row>
    <row r="69" spans="1:11">
      <c r="A69" s="1">
        <f t="shared" si="1"/>
        <v>68</v>
      </c>
      <c r="B69" s="2">
        <v>2025</v>
      </c>
      <c r="C69" s="2" t="s">
        <v>33</v>
      </c>
      <c r="D69" s="2" t="s">
        <v>27</v>
      </c>
      <c r="E69" s="2" t="s">
        <v>785</v>
      </c>
      <c r="F69" t="s">
        <v>323</v>
      </c>
      <c r="G69" t="s">
        <v>31</v>
      </c>
      <c r="H69" t="s">
        <v>38</v>
      </c>
      <c r="I69">
        <v>2</v>
      </c>
      <c r="J69" s="3">
        <v>6202</v>
      </c>
      <c r="K69" s="4">
        <v>34.1041666667006</v>
      </c>
    </row>
    <row r="70" spans="1:11">
      <c r="A70" s="1">
        <f t="shared" si="1"/>
        <v>69</v>
      </c>
      <c r="B70" s="2">
        <v>2025</v>
      </c>
      <c r="C70" s="2" t="s">
        <v>33</v>
      </c>
      <c r="D70" s="2" t="s">
        <v>27</v>
      </c>
      <c r="E70" s="2" t="s">
        <v>786</v>
      </c>
      <c r="F70" t="s">
        <v>318</v>
      </c>
      <c r="G70" t="s">
        <v>730</v>
      </c>
      <c r="H70" t="s">
        <v>32</v>
      </c>
      <c r="I70">
        <v>3</v>
      </c>
      <c r="J70" s="3">
        <v>4890</v>
      </c>
      <c r="K70" s="4">
        <v>48.75</v>
      </c>
    </row>
    <row r="71" spans="1:11">
      <c r="A71" s="1">
        <f t="shared" si="1"/>
        <v>70</v>
      </c>
      <c r="B71" s="2">
        <v>2025</v>
      </c>
      <c r="C71" s="2" t="s">
        <v>33</v>
      </c>
      <c r="D71" s="2" t="s">
        <v>27</v>
      </c>
      <c r="E71" s="2" t="s">
        <v>787</v>
      </c>
      <c r="F71" t="s">
        <v>325</v>
      </c>
      <c r="G71" t="s">
        <v>31</v>
      </c>
      <c r="H71" t="s">
        <v>32</v>
      </c>
      <c r="I71">
        <v>3</v>
      </c>
      <c r="J71" s="3">
        <v>5323</v>
      </c>
      <c r="K71" s="4">
        <v>38.5833333332994</v>
      </c>
    </row>
    <row r="72" spans="1:11">
      <c r="A72" s="1">
        <f t="shared" si="1"/>
        <v>71</v>
      </c>
      <c r="B72" s="2">
        <v>2025</v>
      </c>
      <c r="C72" s="2" t="s">
        <v>35</v>
      </c>
      <c r="D72" s="2" t="s">
        <v>27</v>
      </c>
      <c r="E72" s="2" t="s">
        <v>37</v>
      </c>
      <c r="F72" t="s">
        <v>30</v>
      </c>
      <c r="G72" t="s">
        <v>31</v>
      </c>
      <c r="H72" t="s">
        <v>38</v>
      </c>
      <c r="I72">
        <v>2</v>
      </c>
      <c r="J72" s="3">
        <v>2382</v>
      </c>
      <c r="K72" s="4">
        <v>15.9583333334012</v>
      </c>
    </row>
    <row r="73" spans="1:11">
      <c r="A73" s="1">
        <f t="shared" si="1"/>
        <v>72</v>
      </c>
      <c r="B73" s="2">
        <v>2025</v>
      </c>
      <c r="C73" s="2" t="s">
        <v>35</v>
      </c>
      <c r="D73" s="2" t="s">
        <v>27</v>
      </c>
      <c r="E73" s="2" t="s">
        <v>788</v>
      </c>
      <c r="F73" t="s">
        <v>310</v>
      </c>
      <c r="G73" t="s">
        <v>41</v>
      </c>
      <c r="H73" t="s">
        <v>32</v>
      </c>
      <c r="I73">
        <v>2</v>
      </c>
      <c r="J73" s="3">
        <v>1838</v>
      </c>
      <c r="K73" s="4">
        <v>11.1041666667006</v>
      </c>
    </row>
    <row r="74" spans="1:11">
      <c r="A74" s="1">
        <f t="shared" si="1"/>
        <v>73</v>
      </c>
      <c r="B74" s="2">
        <v>2025</v>
      </c>
      <c r="C74" s="2" t="s">
        <v>35</v>
      </c>
      <c r="D74" s="2" t="s">
        <v>27</v>
      </c>
      <c r="E74" s="2" t="s">
        <v>789</v>
      </c>
      <c r="F74" t="s">
        <v>323</v>
      </c>
      <c r="G74" t="s">
        <v>31</v>
      </c>
      <c r="H74" t="s">
        <v>38</v>
      </c>
      <c r="I74">
        <v>2</v>
      </c>
      <c r="J74" s="3">
        <v>6040</v>
      </c>
      <c r="K74" s="4">
        <v>26.0243055555984</v>
      </c>
    </row>
    <row r="75" spans="1:11">
      <c r="A75" s="1">
        <f t="shared" si="1"/>
        <v>74</v>
      </c>
      <c r="B75" s="2">
        <v>2025</v>
      </c>
      <c r="C75" s="2" t="s">
        <v>35</v>
      </c>
      <c r="D75" s="2" t="s">
        <v>27</v>
      </c>
      <c r="E75" s="2" t="s">
        <v>791</v>
      </c>
      <c r="F75" t="s">
        <v>322</v>
      </c>
      <c r="G75" t="s">
        <v>31</v>
      </c>
      <c r="H75" t="s">
        <v>38</v>
      </c>
      <c r="I75">
        <v>2</v>
      </c>
      <c r="J75" s="3">
        <v>4804</v>
      </c>
      <c r="K75" s="4">
        <v>38.9166666667006</v>
      </c>
    </row>
    <row r="76" spans="1:11">
      <c r="A76" s="1">
        <f t="shared" si="1"/>
        <v>75</v>
      </c>
      <c r="B76" s="2">
        <v>2025</v>
      </c>
      <c r="C76" s="2" t="s">
        <v>39</v>
      </c>
      <c r="D76" s="2" t="s">
        <v>27</v>
      </c>
      <c r="E76" s="2" t="s">
        <v>40</v>
      </c>
      <c r="F76" t="s">
        <v>309</v>
      </c>
      <c r="G76" t="s">
        <v>41</v>
      </c>
      <c r="H76" t="s">
        <v>32</v>
      </c>
      <c r="I76">
        <v>2</v>
      </c>
      <c r="J76" s="3">
        <v>3523</v>
      </c>
      <c r="K76" s="4">
        <v>24.6666666667006</v>
      </c>
    </row>
    <row r="77" spans="1:11">
      <c r="A77" s="1">
        <f t="shared" si="1"/>
        <v>76</v>
      </c>
      <c r="B77" s="2">
        <v>2025</v>
      </c>
      <c r="C77" s="2" t="s">
        <v>39</v>
      </c>
      <c r="D77" s="2" t="s">
        <v>27</v>
      </c>
      <c r="E77" s="2" t="s">
        <v>42</v>
      </c>
      <c r="F77" t="s">
        <v>30</v>
      </c>
      <c r="G77" t="s">
        <v>31</v>
      </c>
      <c r="H77" t="s">
        <v>38</v>
      </c>
      <c r="I77">
        <v>2</v>
      </c>
      <c r="J77" s="3">
        <v>2314</v>
      </c>
      <c r="K77" s="4">
        <v>10.5</v>
      </c>
    </row>
    <row r="78" spans="1:11">
      <c r="A78" s="1">
        <f t="shared" si="1"/>
        <v>77</v>
      </c>
      <c r="B78" s="2">
        <v>2025</v>
      </c>
      <c r="C78" s="2" t="s">
        <v>39</v>
      </c>
      <c r="D78" s="2" t="s">
        <v>27</v>
      </c>
      <c r="E78" s="2" t="s">
        <v>792</v>
      </c>
      <c r="F78" t="s">
        <v>44</v>
      </c>
      <c r="G78" t="s">
        <v>41</v>
      </c>
      <c r="H78" t="s">
        <v>38</v>
      </c>
      <c r="I78">
        <v>3</v>
      </c>
      <c r="J78" s="3">
        <v>5842</v>
      </c>
      <c r="K78" s="4">
        <v>46.71</v>
      </c>
    </row>
    <row r="79" spans="1:11">
      <c r="A79" s="1">
        <f t="shared" si="1"/>
        <v>78</v>
      </c>
      <c r="B79" s="2">
        <v>2025</v>
      </c>
      <c r="C79" s="2" t="s">
        <v>39</v>
      </c>
      <c r="D79" s="2" t="s">
        <v>27</v>
      </c>
      <c r="E79" s="2" t="s">
        <v>795</v>
      </c>
      <c r="F79" t="s">
        <v>318</v>
      </c>
      <c r="G79" t="s">
        <v>730</v>
      </c>
      <c r="H79" t="s">
        <v>32</v>
      </c>
      <c r="I79">
        <v>3</v>
      </c>
      <c r="J79" s="3">
        <v>5670</v>
      </c>
      <c r="K79" s="4">
        <v>40.38</v>
      </c>
    </row>
    <row r="80" spans="1:11">
      <c r="A80" s="1">
        <f t="shared" si="1"/>
        <v>79</v>
      </c>
      <c r="B80" s="2">
        <v>2025</v>
      </c>
      <c r="C80" s="2" t="s">
        <v>39</v>
      </c>
      <c r="D80" s="2" t="s">
        <v>27</v>
      </c>
      <c r="E80" s="2" t="s">
        <v>796</v>
      </c>
      <c r="F80" t="s">
        <v>318</v>
      </c>
      <c r="G80" t="s">
        <v>730</v>
      </c>
      <c r="H80" t="s">
        <v>32</v>
      </c>
      <c r="I80">
        <v>2</v>
      </c>
      <c r="J80" s="3">
        <v>4350</v>
      </c>
      <c r="K80" s="4">
        <v>29.75</v>
      </c>
    </row>
    <row r="81" spans="1:11">
      <c r="A81" s="1">
        <f t="shared" si="1"/>
        <v>80</v>
      </c>
      <c r="B81" s="2">
        <v>2025</v>
      </c>
      <c r="C81" s="2" t="s">
        <v>45</v>
      </c>
      <c r="D81" s="2" t="s">
        <v>27</v>
      </c>
      <c r="E81" s="2" t="s">
        <v>46</v>
      </c>
      <c r="F81" t="s">
        <v>30</v>
      </c>
      <c r="G81" t="s">
        <v>31</v>
      </c>
      <c r="H81" t="s">
        <v>38</v>
      </c>
      <c r="I81">
        <v>2</v>
      </c>
      <c r="J81" s="3">
        <v>2850</v>
      </c>
      <c r="K81" s="4">
        <v>20.25</v>
      </c>
    </row>
    <row r="82" spans="1:11">
      <c r="A82" s="1">
        <f t="shared" si="1"/>
        <v>81</v>
      </c>
      <c r="B82" s="2">
        <v>2025</v>
      </c>
      <c r="C82" s="2" t="s">
        <v>45</v>
      </c>
      <c r="D82" s="2" t="s">
        <v>27</v>
      </c>
      <c r="E82" s="2" t="s">
        <v>797</v>
      </c>
      <c r="F82" t="s">
        <v>315</v>
      </c>
      <c r="G82" t="s">
        <v>41</v>
      </c>
      <c r="H82" t="s">
        <v>32</v>
      </c>
      <c r="I82">
        <v>2</v>
      </c>
      <c r="J82" s="3">
        <v>3321</v>
      </c>
      <c r="K82" s="4">
        <v>20.4166666665988</v>
      </c>
    </row>
    <row r="83" spans="1:11">
      <c r="A83" s="1">
        <f t="shared" si="1"/>
        <v>82</v>
      </c>
      <c r="B83" s="2">
        <v>2025</v>
      </c>
      <c r="C83" s="2" t="s">
        <v>45</v>
      </c>
      <c r="D83" s="2" t="s">
        <v>27</v>
      </c>
      <c r="E83" s="2" t="s">
        <v>798</v>
      </c>
      <c r="F83" t="s">
        <v>318</v>
      </c>
      <c r="G83" t="s">
        <v>41</v>
      </c>
      <c r="H83" t="s">
        <v>32</v>
      </c>
      <c r="I83">
        <v>3</v>
      </c>
      <c r="J83" s="3">
        <v>4820</v>
      </c>
      <c r="K83" s="4">
        <v>34.69</v>
      </c>
    </row>
    <row r="84" spans="1:11">
      <c r="A84" s="1">
        <f t="shared" si="1"/>
        <v>83</v>
      </c>
      <c r="B84" s="2">
        <v>2025</v>
      </c>
      <c r="C84" s="2" t="s">
        <v>47</v>
      </c>
      <c r="D84" s="2" t="s">
        <v>27</v>
      </c>
      <c r="E84" s="2" t="s">
        <v>48</v>
      </c>
      <c r="F84" t="s">
        <v>30</v>
      </c>
      <c r="G84" t="s">
        <v>31</v>
      </c>
      <c r="H84" t="s">
        <v>38</v>
      </c>
      <c r="I84">
        <v>2</v>
      </c>
      <c r="J84" s="3">
        <v>2278</v>
      </c>
      <c r="K84" s="4">
        <v>14.4583333332994</v>
      </c>
    </row>
    <row r="85" spans="1:11">
      <c r="A85" s="1">
        <f t="shared" si="1"/>
        <v>84</v>
      </c>
      <c r="B85" s="2">
        <v>2025</v>
      </c>
      <c r="C85" s="2" t="s">
        <v>47</v>
      </c>
      <c r="D85" s="2" t="s">
        <v>27</v>
      </c>
      <c r="E85" s="2" t="s">
        <v>799</v>
      </c>
      <c r="F85" t="s">
        <v>318</v>
      </c>
      <c r="G85" t="s">
        <v>41</v>
      </c>
      <c r="H85" t="s">
        <v>32</v>
      </c>
      <c r="I85">
        <v>3</v>
      </c>
      <c r="J85" s="3">
        <v>5798</v>
      </c>
      <c r="K85" s="4">
        <v>47.3333333332994</v>
      </c>
    </row>
    <row r="86" spans="1:11">
      <c r="A86" s="1">
        <f t="shared" si="1"/>
        <v>85</v>
      </c>
      <c r="B86" s="2">
        <v>2025</v>
      </c>
      <c r="C86" s="2" t="s">
        <v>47</v>
      </c>
      <c r="D86" s="2" t="s">
        <v>27</v>
      </c>
      <c r="E86" s="2" t="s">
        <v>800</v>
      </c>
      <c r="F86" t="s">
        <v>318</v>
      </c>
      <c r="G86" t="s">
        <v>730</v>
      </c>
      <c r="H86" t="s">
        <v>32</v>
      </c>
      <c r="I86">
        <v>2</v>
      </c>
      <c r="J86" s="3">
        <v>5606</v>
      </c>
      <c r="K86" s="4">
        <v>43.0416666667006</v>
      </c>
    </row>
    <row r="87" spans="1:11">
      <c r="A87" s="1">
        <f t="shared" si="1"/>
        <v>86</v>
      </c>
      <c r="B87" s="2">
        <v>2025</v>
      </c>
      <c r="C87" s="2" t="s">
        <v>741</v>
      </c>
      <c r="D87" s="2" t="s">
        <v>27</v>
      </c>
      <c r="E87" s="2" t="s">
        <v>801</v>
      </c>
      <c r="F87" t="s">
        <v>308</v>
      </c>
      <c r="G87" t="s">
        <v>31</v>
      </c>
      <c r="H87" t="s">
        <v>32</v>
      </c>
      <c r="I87">
        <v>2</v>
      </c>
      <c r="J87" s="3">
        <v>3347</v>
      </c>
      <c r="K87" s="4">
        <v>18.5208333332994</v>
      </c>
    </row>
    <row r="88" spans="1:11">
      <c r="A88" s="1">
        <f t="shared" si="1"/>
        <v>87</v>
      </c>
      <c r="B88" s="2">
        <v>2025</v>
      </c>
      <c r="C88" s="2" t="s">
        <v>741</v>
      </c>
      <c r="D88" s="2" t="s">
        <v>27</v>
      </c>
      <c r="E88" s="2" t="s">
        <v>803</v>
      </c>
      <c r="F88" t="s">
        <v>30</v>
      </c>
      <c r="G88" t="s">
        <v>31</v>
      </c>
      <c r="H88" t="s">
        <v>32</v>
      </c>
      <c r="I88">
        <v>4</v>
      </c>
      <c r="J88" s="3">
        <v>4590</v>
      </c>
      <c r="K88" s="4">
        <v>47.7708333334012</v>
      </c>
    </row>
    <row r="89" spans="1:11">
      <c r="A89" s="1">
        <f t="shared" si="1"/>
        <v>88</v>
      </c>
      <c r="B89" s="2">
        <v>2025</v>
      </c>
      <c r="C89" s="2" t="s">
        <v>717</v>
      </c>
      <c r="D89" s="2" t="s">
        <v>27</v>
      </c>
      <c r="E89" s="2" t="s">
        <v>804</v>
      </c>
      <c r="F89" t="s">
        <v>308</v>
      </c>
      <c r="G89" t="s">
        <v>31</v>
      </c>
      <c r="H89" t="s">
        <v>32</v>
      </c>
      <c r="I89">
        <v>2</v>
      </c>
      <c r="J89" s="3">
        <v>3310</v>
      </c>
      <c r="K89" s="4">
        <v>28.2083333334012</v>
      </c>
    </row>
    <row r="90" spans="1:11">
      <c r="A90" s="1">
        <f t="shared" si="1"/>
        <v>89</v>
      </c>
      <c r="B90" s="2">
        <v>2025</v>
      </c>
      <c r="C90" s="2" t="s">
        <v>50</v>
      </c>
      <c r="D90" s="2" t="s">
        <v>27</v>
      </c>
      <c r="E90" s="2" t="s">
        <v>806</v>
      </c>
      <c r="F90" t="s">
        <v>30</v>
      </c>
      <c r="G90" t="s">
        <v>730</v>
      </c>
      <c r="H90" t="s">
        <v>38</v>
      </c>
      <c r="I90">
        <v>2</v>
      </c>
      <c r="J90" s="3">
        <v>2422</v>
      </c>
      <c r="K90" s="4">
        <v>21.9166666667006</v>
      </c>
    </row>
    <row r="91" spans="1:11">
      <c r="A91" s="1">
        <f t="shared" si="1"/>
        <v>90</v>
      </c>
      <c r="B91" s="2">
        <v>2025</v>
      </c>
      <c r="C91" s="2" t="s">
        <v>50</v>
      </c>
      <c r="D91" s="2" t="s">
        <v>27</v>
      </c>
      <c r="E91" s="2" t="s">
        <v>51</v>
      </c>
      <c r="F91" t="s">
        <v>328</v>
      </c>
      <c r="G91" t="s">
        <v>41</v>
      </c>
      <c r="H91" t="s">
        <v>32</v>
      </c>
      <c r="I91">
        <v>3</v>
      </c>
      <c r="J91" s="3">
        <v>5580</v>
      </c>
      <c r="K91" s="4">
        <v>50.625</v>
      </c>
    </row>
    <row r="92" spans="1:11">
      <c r="A92" s="1">
        <f t="shared" si="1"/>
        <v>91</v>
      </c>
      <c r="B92" s="2">
        <v>2025</v>
      </c>
      <c r="C92" s="2" t="s">
        <v>50</v>
      </c>
      <c r="D92" s="2" t="s">
        <v>27</v>
      </c>
      <c r="E92" s="2" t="s">
        <v>807</v>
      </c>
      <c r="F92" t="s">
        <v>323</v>
      </c>
      <c r="G92" t="s">
        <v>730</v>
      </c>
      <c r="H92" t="s">
        <v>32</v>
      </c>
      <c r="I92">
        <v>2</v>
      </c>
      <c r="J92" s="3">
        <v>4996</v>
      </c>
      <c r="K92" s="4">
        <v>69.0833333334012</v>
      </c>
    </row>
    <row r="93" spans="1:11">
      <c r="A93" s="1">
        <f t="shared" si="1"/>
        <v>92</v>
      </c>
      <c r="B93" s="2">
        <v>2025</v>
      </c>
      <c r="C93" s="2" t="s">
        <v>695</v>
      </c>
      <c r="D93" s="2" t="s">
        <v>27</v>
      </c>
      <c r="E93" s="2" t="s">
        <v>809</v>
      </c>
      <c r="F93" t="s">
        <v>810</v>
      </c>
      <c r="G93" t="s">
        <v>31</v>
      </c>
      <c r="H93" t="s">
        <v>32</v>
      </c>
      <c r="I93">
        <v>2</v>
      </c>
      <c r="J93" s="3">
        <v>3757</v>
      </c>
      <c r="K93" s="4">
        <v>37.7083333332994</v>
      </c>
    </row>
    <row r="94" spans="1:11">
      <c r="A94" s="1">
        <f t="shared" si="1"/>
        <v>93</v>
      </c>
      <c r="B94" s="2">
        <v>2025</v>
      </c>
      <c r="C94" s="2" t="s">
        <v>695</v>
      </c>
      <c r="D94" s="2" t="s">
        <v>27</v>
      </c>
      <c r="E94" s="2" t="s">
        <v>812</v>
      </c>
      <c r="F94" t="s">
        <v>325</v>
      </c>
      <c r="G94" t="s">
        <v>31</v>
      </c>
      <c r="H94" t="s">
        <v>32</v>
      </c>
      <c r="I94">
        <v>3</v>
      </c>
      <c r="J94" s="3">
        <v>4533</v>
      </c>
      <c r="K94" s="4">
        <v>26.6875</v>
      </c>
    </row>
    <row r="95" spans="1:11">
      <c r="A95" s="1">
        <f t="shared" si="1"/>
        <v>94</v>
      </c>
      <c r="B95" s="2">
        <v>2025</v>
      </c>
      <c r="C95" s="2" t="s">
        <v>708</v>
      </c>
      <c r="D95" s="2" t="s">
        <v>27</v>
      </c>
      <c r="E95" s="2" t="s">
        <v>813</v>
      </c>
      <c r="F95" t="s">
        <v>810</v>
      </c>
      <c r="G95" t="s">
        <v>31</v>
      </c>
      <c r="H95" t="s">
        <v>32</v>
      </c>
      <c r="I95">
        <v>2</v>
      </c>
      <c r="J95" s="3">
        <v>3699</v>
      </c>
      <c r="K95" s="4">
        <v>29.8125</v>
      </c>
    </row>
    <row r="96" spans="1:11">
      <c r="A96" s="1">
        <f t="shared" si="1"/>
        <v>95</v>
      </c>
      <c r="B96" s="2">
        <v>2025</v>
      </c>
      <c r="C96" s="2" t="s">
        <v>708</v>
      </c>
      <c r="D96" s="2" t="s">
        <v>27</v>
      </c>
      <c r="E96" s="2" t="s">
        <v>814</v>
      </c>
      <c r="F96" t="s">
        <v>810</v>
      </c>
      <c r="G96" t="s">
        <v>31</v>
      </c>
      <c r="H96" t="s">
        <v>38</v>
      </c>
      <c r="I96">
        <v>2</v>
      </c>
      <c r="J96" s="3">
        <v>3998</v>
      </c>
      <c r="K96" s="4">
        <v>38.2083333334012</v>
      </c>
    </row>
    <row r="97" spans="1:11">
      <c r="A97" s="1">
        <f t="shared" si="1"/>
        <v>96</v>
      </c>
      <c r="B97" s="2">
        <v>2025</v>
      </c>
      <c r="C97" s="2" t="s">
        <v>708</v>
      </c>
      <c r="D97" s="2" t="s">
        <v>27</v>
      </c>
      <c r="E97" s="2" t="s">
        <v>815</v>
      </c>
      <c r="F97" t="s">
        <v>30</v>
      </c>
      <c r="G97" t="s">
        <v>31</v>
      </c>
      <c r="H97" t="s">
        <v>38</v>
      </c>
      <c r="I97">
        <v>2</v>
      </c>
      <c r="J97" s="3">
        <v>2513</v>
      </c>
      <c r="K97" s="4">
        <v>13.9375</v>
      </c>
    </row>
    <row r="98" spans="1:11">
      <c r="A98" s="1">
        <f t="shared" si="1"/>
        <v>97</v>
      </c>
      <c r="B98" s="2">
        <v>2025</v>
      </c>
      <c r="C98" s="2" t="s">
        <v>708</v>
      </c>
      <c r="D98" s="2" t="s">
        <v>27</v>
      </c>
      <c r="E98" s="2" t="s">
        <v>816</v>
      </c>
      <c r="F98" t="s">
        <v>327</v>
      </c>
      <c r="G98" t="s">
        <v>31</v>
      </c>
      <c r="H98" t="s">
        <v>32</v>
      </c>
      <c r="I98">
        <v>3</v>
      </c>
      <c r="J98" s="3">
        <v>4381</v>
      </c>
      <c r="K98" s="4">
        <v>22.8333333332994</v>
      </c>
    </row>
    <row r="99" spans="1:11">
      <c r="A99" s="1">
        <f t="shared" si="1"/>
        <v>98</v>
      </c>
      <c r="B99" s="2">
        <v>2026</v>
      </c>
      <c r="C99" s="2" t="s">
        <v>26</v>
      </c>
      <c r="D99" s="2" t="s">
        <v>27</v>
      </c>
      <c r="E99" s="2" t="s">
        <v>817</v>
      </c>
      <c r="F99" s="5" t="s">
        <v>308</v>
      </c>
      <c r="G99" t="s">
        <v>31</v>
      </c>
      <c r="H99" t="s">
        <v>32</v>
      </c>
      <c r="I99">
        <v>2</v>
      </c>
      <c r="J99" s="3">
        <v>3060</v>
      </c>
      <c r="K99" s="4">
        <v>17.4583333332994</v>
      </c>
    </row>
    <row r="100" spans="1:11">
      <c r="A100" s="1">
        <f t="shared" si="1"/>
        <v>99</v>
      </c>
      <c r="B100" s="2">
        <v>2026</v>
      </c>
      <c r="C100" s="2" t="s">
        <v>26</v>
      </c>
      <c r="D100" s="2" t="s">
        <v>27</v>
      </c>
      <c r="E100" s="2" t="s">
        <v>819</v>
      </c>
      <c r="F100" s="5" t="s">
        <v>308</v>
      </c>
      <c r="G100" t="s">
        <v>31</v>
      </c>
      <c r="H100" t="s">
        <v>32</v>
      </c>
      <c r="I100">
        <v>2</v>
      </c>
      <c r="J100" s="3">
        <v>3000</v>
      </c>
      <c r="K100" s="4">
        <v>16.6041666667006</v>
      </c>
    </row>
    <row r="101" spans="1:11">
      <c r="A101" s="1">
        <f t="shared" si="1"/>
        <v>100</v>
      </c>
      <c r="B101" s="2">
        <v>2026</v>
      </c>
      <c r="C101" s="2" t="s">
        <v>26</v>
      </c>
      <c r="D101" s="2" t="s">
        <v>27</v>
      </c>
      <c r="E101" s="2" t="s">
        <v>65</v>
      </c>
      <c r="F101" t="s">
        <v>325</v>
      </c>
      <c r="G101" t="s">
        <v>31</v>
      </c>
      <c r="H101" t="s">
        <v>32</v>
      </c>
      <c r="I101">
        <v>3</v>
      </c>
      <c r="J101" s="3">
        <v>4400</v>
      </c>
      <c r="K101" s="4">
        <v>22.6666666665988</v>
      </c>
    </row>
    <row r="102" spans="1:11">
      <c r="A102" s="1">
        <f t="shared" si="1"/>
        <v>101</v>
      </c>
      <c r="B102" s="2">
        <v>2026</v>
      </c>
      <c r="C102" s="2" t="s">
        <v>26</v>
      </c>
      <c r="D102" s="2" t="s">
        <v>27</v>
      </c>
      <c r="E102" s="2" t="s">
        <v>821</v>
      </c>
      <c r="F102" s="5" t="s">
        <v>327</v>
      </c>
      <c r="G102" t="s">
        <v>31</v>
      </c>
      <c r="H102" t="s">
        <v>32</v>
      </c>
      <c r="I102">
        <v>3</v>
      </c>
      <c r="J102" s="3">
        <v>4153</v>
      </c>
      <c r="K102" s="4">
        <v>22.4583333334012</v>
      </c>
    </row>
    <row r="103" spans="1:11">
      <c r="A103" s="1">
        <f t="shared" si="1"/>
        <v>102</v>
      </c>
      <c r="B103" s="2">
        <v>2026</v>
      </c>
      <c r="C103" s="2" t="s">
        <v>26</v>
      </c>
      <c r="D103" s="2" t="s">
        <v>27</v>
      </c>
      <c r="E103" s="2" t="s">
        <v>823</v>
      </c>
      <c r="F103" s="5" t="s">
        <v>327</v>
      </c>
      <c r="G103" t="s">
        <v>31</v>
      </c>
      <c r="H103" t="s">
        <v>32</v>
      </c>
      <c r="I103">
        <v>3</v>
      </c>
      <c r="J103" s="3">
        <v>4655</v>
      </c>
      <c r="K103" s="4">
        <v>38.6666666667006</v>
      </c>
    </row>
    <row r="104" spans="1:11">
      <c r="A104" s="1">
        <f t="shared" si="1"/>
        <v>103</v>
      </c>
      <c r="B104" s="2">
        <v>2026</v>
      </c>
      <c r="C104" s="2" t="s">
        <v>26</v>
      </c>
      <c r="D104" s="2" t="s">
        <v>27</v>
      </c>
      <c r="E104" s="2" t="s">
        <v>824</v>
      </c>
      <c r="F104" s="5" t="s">
        <v>327</v>
      </c>
      <c r="G104" t="s">
        <v>31</v>
      </c>
      <c r="H104" t="s">
        <v>32</v>
      </c>
      <c r="I104">
        <v>3</v>
      </c>
      <c r="J104" s="3">
        <v>4197</v>
      </c>
      <c r="K104" s="4">
        <v>23.9791666665988</v>
      </c>
    </row>
    <row r="105" spans="1:11">
      <c r="A105" s="1">
        <f t="shared" si="1"/>
        <v>104</v>
      </c>
      <c r="B105" s="2">
        <v>2026</v>
      </c>
      <c r="C105" s="2" t="s">
        <v>26</v>
      </c>
      <c r="D105" s="2" t="s">
        <v>27</v>
      </c>
      <c r="E105" s="2" t="s">
        <v>825</v>
      </c>
      <c r="F105" t="s">
        <v>318</v>
      </c>
      <c r="G105" t="s">
        <v>41</v>
      </c>
      <c r="H105" t="s">
        <v>38</v>
      </c>
      <c r="I105">
        <v>3</v>
      </c>
      <c r="J105" s="3">
        <v>6526</v>
      </c>
      <c r="K105" s="4">
        <v>85.0416666667006</v>
      </c>
    </row>
    <row r="106" spans="1:11">
      <c r="A106" s="1">
        <f t="shared" si="1"/>
        <v>105</v>
      </c>
      <c r="B106" s="2">
        <v>2026</v>
      </c>
      <c r="C106" s="2" t="s">
        <v>26</v>
      </c>
      <c r="D106" s="2" t="s">
        <v>27</v>
      </c>
      <c r="E106" s="2" t="s">
        <v>826</v>
      </c>
      <c r="F106" s="5" t="s">
        <v>328</v>
      </c>
      <c r="G106" t="s">
        <v>41</v>
      </c>
      <c r="H106" t="s">
        <v>32</v>
      </c>
      <c r="I106">
        <v>3</v>
      </c>
      <c r="J106" s="3">
        <v>5672</v>
      </c>
      <c r="K106" s="4">
        <v>37.4166666667006</v>
      </c>
    </row>
    <row r="107" spans="1:11">
      <c r="A107" s="1">
        <f t="shared" si="1"/>
        <v>106</v>
      </c>
      <c r="B107">
        <v>2026</v>
      </c>
      <c r="C107" t="s">
        <v>703</v>
      </c>
      <c r="D107" t="s">
        <v>27</v>
      </c>
      <c r="E107" t="s">
        <v>400</v>
      </c>
      <c r="F107" s="5" t="s">
        <v>308</v>
      </c>
      <c r="G107" t="s">
        <v>31</v>
      </c>
      <c r="H107" t="s">
        <v>32</v>
      </c>
      <c r="I107">
        <v>2</v>
      </c>
      <c r="J107" s="3">
        <v>3038</v>
      </c>
      <c r="K107" s="4">
        <v>15.8333333334012</v>
      </c>
    </row>
    <row r="108" spans="1:11">
      <c r="A108" s="1">
        <f t="shared" si="1"/>
        <v>107</v>
      </c>
      <c r="B108">
        <v>2026</v>
      </c>
      <c r="C108" t="s">
        <v>703</v>
      </c>
      <c r="D108" t="s">
        <v>27</v>
      </c>
      <c r="E108" t="s">
        <v>401</v>
      </c>
      <c r="F108" t="s">
        <v>324</v>
      </c>
      <c r="G108" t="s">
        <v>31</v>
      </c>
      <c r="H108" t="s">
        <v>32</v>
      </c>
      <c r="I108">
        <v>3</v>
      </c>
      <c r="J108" s="3">
        <v>3853</v>
      </c>
      <c r="K108" s="4">
        <v>21.9375</v>
      </c>
    </row>
    <row r="109" spans="1:11">
      <c r="A109" s="1">
        <f t="shared" si="1"/>
        <v>108</v>
      </c>
      <c r="B109">
        <v>2026</v>
      </c>
      <c r="C109" t="s">
        <v>703</v>
      </c>
      <c r="D109" t="s">
        <v>27</v>
      </c>
      <c r="E109" t="s">
        <v>402</v>
      </c>
      <c r="F109" t="s">
        <v>327</v>
      </c>
      <c r="G109" t="s">
        <v>31</v>
      </c>
      <c r="H109" t="s">
        <v>32</v>
      </c>
      <c r="I109">
        <v>3</v>
      </c>
      <c r="J109" s="3">
        <v>4897</v>
      </c>
      <c r="K109" s="4">
        <v>31.4791666666642</v>
      </c>
    </row>
    <row r="110" spans="1:11">
      <c r="A110" s="1">
        <f t="shared" si="1"/>
        <v>109</v>
      </c>
      <c r="B110" s="1">
        <v>2026</v>
      </c>
      <c r="C110" s="1" t="s">
        <v>33</v>
      </c>
      <c r="D110" s="1" t="s">
        <v>27</v>
      </c>
      <c r="E110" s="1" t="s">
        <v>403</v>
      </c>
      <c r="F110" t="s">
        <v>827</v>
      </c>
      <c r="G110" s="5" t="s">
        <v>31</v>
      </c>
      <c r="H110" s="5" t="s">
        <v>38</v>
      </c>
      <c r="I110" s="6">
        <v>4</v>
      </c>
      <c r="J110" s="7">
        <v>4695</v>
      </c>
      <c r="K110" s="8">
        <v>111.0625</v>
      </c>
    </row>
    <row r="111" spans="1:11">
      <c r="A111" s="1">
        <f t="shared" si="1"/>
        <v>110</v>
      </c>
      <c r="B111" s="2">
        <v>2026</v>
      </c>
      <c r="C111" s="2" t="s">
        <v>33</v>
      </c>
      <c r="D111" s="2" t="s">
        <v>27</v>
      </c>
      <c r="E111" s="2" t="s">
        <v>405</v>
      </c>
      <c r="F111" s="5" t="s">
        <v>308</v>
      </c>
      <c r="G111" t="s">
        <v>31</v>
      </c>
      <c r="H111" t="s">
        <v>32</v>
      </c>
      <c r="I111">
        <v>2</v>
      </c>
      <c r="J111" s="3">
        <v>3012</v>
      </c>
      <c r="K111" s="4">
        <v>17.2916666667006</v>
      </c>
    </row>
    <row r="112" spans="1:11">
      <c r="A112" s="1">
        <f t="shared" si="1"/>
        <v>111</v>
      </c>
      <c r="B112" s="2">
        <v>2026</v>
      </c>
      <c r="C112" s="2" t="s">
        <v>33</v>
      </c>
      <c r="D112" s="2" t="s">
        <v>27</v>
      </c>
      <c r="E112" s="2" t="s">
        <v>831</v>
      </c>
      <c r="F112" t="s">
        <v>832</v>
      </c>
      <c r="G112" t="s">
        <v>833</v>
      </c>
      <c r="H112" t="s">
        <v>32</v>
      </c>
      <c r="I112">
        <v>3</v>
      </c>
      <c r="J112" s="3">
        <v>1052.35</v>
      </c>
      <c r="K112" s="4">
        <v>26.4583333332994</v>
      </c>
    </row>
    <row r="113" spans="1:11">
      <c r="A113" s="1">
        <f t="shared" si="1"/>
        <v>112</v>
      </c>
      <c r="B113" s="2">
        <v>2026</v>
      </c>
      <c r="C113" s="2" t="s">
        <v>35</v>
      </c>
      <c r="D113" s="2" t="s">
        <v>27</v>
      </c>
      <c r="E113" s="2" t="s">
        <v>406</v>
      </c>
      <c r="F113" s="5" t="s">
        <v>308</v>
      </c>
      <c r="G113" t="s">
        <v>834</v>
      </c>
      <c r="H113" t="s">
        <v>32</v>
      </c>
      <c r="I113">
        <v>2</v>
      </c>
      <c r="J113" s="3">
        <v>3470</v>
      </c>
      <c r="K113" s="4">
        <v>22.875</v>
      </c>
    </row>
    <row r="114" spans="1:11">
      <c r="A114" s="1">
        <f t="shared" si="1"/>
        <v>113</v>
      </c>
      <c r="B114" s="2">
        <v>2026</v>
      </c>
      <c r="C114" s="2" t="s">
        <v>35</v>
      </c>
      <c r="D114" s="2" t="s">
        <v>27</v>
      </c>
      <c r="E114" s="2" t="s">
        <v>337</v>
      </c>
      <c r="F114" t="s">
        <v>310</v>
      </c>
      <c r="G114" t="s">
        <v>41</v>
      </c>
      <c r="H114" t="s">
        <v>32</v>
      </c>
      <c r="I114">
        <v>3</v>
      </c>
      <c r="J114" s="3">
        <v>5230</v>
      </c>
      <c r="K114" s="4">
        <v>81.0833333334012</v>
      </c>
    </row>
    <row r="115" spans="1:11">
      <c r="A115" s="1">
        <f t="shared" si="1"/>
        <v>114</v>
      </c>
      <c r="B115" s="2">
        <v>2026</v>
      </c>
      <c r="C115" s="2" t="s">
        <v>35</v>
      </c>
      <c r="D115" s="2" t="s">
        <v>27</v>
      </c>
      <c r="E115" s="2" t="s">
        <v>408</v>
      </c>
      <c r="F115" s="5" t="s">
        <v>835</v>
      </c>
      <c r="G115" t="s">
        <v>730</v>
      </c>
      <c r="H115" t="s">
        <v>32</v>
      </c>
      <c r="I115">
        <v>3</v>
      </c>
      <c r="J115" s="3">
        <v>5946</v>
      </c>
      <c r="K115" s="4">
        <v>115.041666666599</v>
      </c>
    </row>
    <row r="116" spans="1:11">
      <c r="A116" s="1">
        <f t="shared" si="1"/>
        <v>115</v>
      </c>
      <c r="B116" s="2">
        <v>2026</v>
      </c>
      <c r="C116" s="2" t="s">
        <v>35</v>
      </c>
      <c r="D116" s="2" t="s">
        <v>27</v>
      </c>
      <c r="E116" s="2" t="s">
        <v>336</v>
      </c>
      <c r="F116" t="s">
        <v>409</v>
      </c>
      <c r="G116" t="s">
        <v>836</v>
      </c>
      <c r="H116" t="s">
        <v>32</v>
      </c>
      <c r="I116">
        <v>3</v>
      </c>
      <c r="J116" s="3">
        <v>5850</v>
      </c>
      <c r="K116" s="4">
        <v>63.2083333334012</v>
      </c>
    </row>
    <row r="117" spans="1:11">
      <c r="A117" s="1">
        <f t="shared" si="1"/>
        <v>116</v>
      </c>
      <c r="B117" s="2">
        <v>2026</v>
      </c>
      <c r="C117" s="2" t="s">
        <v>35</v>
      </c>
      <c r="D117" s="2" t="s">
        <v>27</v>
      </c>
      <c r="E117" s="2" t="s">
        <v>410</v>
      </c>
      <c r="F117" t="s">
        <v>325</v>
      </c>
      <c r="G117" t="s">
        <v>41</v>
      </c>
      <c r="H117" t="s">
        <v>32</v>
      </c>
      <c r="I117">
        <v>3</v>
      </c>
      <c r="J117" s="3">
        <v>4016</v>
      </c>
      <c r="K117" s="4">
        <v>26.8541666667006</v>
      </c>
    </row>
    <row r="118" spans="1:11">
      <c r="A118" s="1">
        <f t="shared" si="1"/>
        <v>117</v>
      </c>
      <c r="B118" s="2">
        <v>2026</v>
      </c>
      <c r="C118" s="2" t="s">
        <v>35</v>
      </c>
      <c r="D118" s="2" t="s">
        <v>27</v>
      </c>
      <c r="E118" s="2" t="s">
        <v>338</v>
      </c>
      <c r="F118" t="s">
        <v>313</v>
      </c>
      <c r="G118" t="s">
        <v>41</v>
      </c>
      <c r="H118" t="s">
        <v>32</v>
      </c>
      <c r="I118">
        <v>2</v>
      </c>
      <c r="J118" s="3">
        <v>1659</v>
      </c>
      <c r="K118" s="4">
        <v>20.8125</v>
      </c>
    </row>
    <row r="119" spans="1:11">
      <c r="A119" s="1">
        <f t="shared" si="1"/>
        <v>118</v>
      </c>
      <c r="B119" s="2">
        <v>2026</v>
      </c>
      <c r="C119" s="2" t="s">
        <v>35</v>
      </c>
      <c r="D119" s="2" t="s">
        <v>27</v>
      </c>
      <c r="E119" s="2" t="s">
        <v>411</v>
      </c>
      <c r="F119" t="s">
        <v>324</v>
      </c>
      <c r="G119" t="s">
        <v>834</v>
      </c>
      <c r="H119" t="s">
        <v>32</v>
      </c>
      <c r="I119">
        <v>3</v>
      </c>
      <c r="J119" s="3">
        <v>3741</v>
      </c>
      <c r="K119" s="4">
        <v>21</v>
      </c>
    </row>
    <row r="120" spans="1:11">
      <c r="A120" s="1">
        <f t="shared" si="1"/>
        <v>119</v>
      </c>
      <c r="B120" s="2">
        <v>2026</v>
      </c>
      <c r="C120" s="2" t="s">
        <v>35</v>
      </c>
      <c r="D120" s="2" t="s">
        <v>27</v>
      </c>
      <c r="E120" s="2" t="s">
        <v>838</v>
      </c>
      <c r="F120" t="s">
        <v>832</v>
      </c>
      <c r="G120" t="s">
        <v>833</v>
      </c>
      <c r="H120" t="s">
        <v>32</v>
      </c>
      <c r="I120">
        <v>3</v>
      </c>
      <c r="J120" s="3">
        <v>1169</v>
      </c>
      <c r="K120" s="4">
        <v>22.9166666665988</v>
      </c>
    </row>
    <row r="121" spans="1:11">
      <c r="A121" s="1">
        <f t="shared" si="1"/>
        <v>120</v>
      </c>
      <c r="B121" s="2">
        <v>2026</v>
      </c>
      <c r="C121" s="2" t="s">
        <v>39</v>
      </c>
      <c r="D121" s="2" t="s">
        <v>27</v>
      </c>
      <c r="E121" s="2" t="s">
        <v>412</v>
      </c>
      <c r="F121" s="5" t="s">
        <v>308</v>
      </c>
      <c r="G121" t="s">
        <v>31</v>
      </c>
      <c r="H121" t="s">
        <v>32</v>
      </c>
      <c r="I121">
        <v>2</v>
      </c>
      <c r="J121" s="3">
        <v>3003</v>
      </c>
      <c r="K121" s="4">
        <v>14.6458333332994</v>
      </c>
    </row>
    <row r="122" spans="1:11">
      <c r="A122" s="1">
        <f t="shared" si="1"/>
        <v>121</v>
      </c>
      <c r="B122" s="2">
        <v>2026</v>
      </c>
      <c r="C122" s="2" t="s">
        <v>39</v>
      </c>
      <c r="D122" s="2" t="s">
        <v>27</v>
      </c>
      <c r="E122" s="2" t="s">
        <v>413</v>
      </c>
      <c r="F122" s="5" t="s">
        <v>308</v>
      </c>
      <c r="G122" t="s">
        <v>31</v>
      </c>
      <c r="H122" t="s">
        <v>32</v>
      </c>
      <c r="I122">
        <v>2</v>
      </c>
      <c r="J122" s="3">
        <v>2885</v>
      </c>
      <c r="K122" s="4">
        <v>14.625</v>
      </c>
    </row>
    <row r="123" spans="1:11">
      <c r="A123" s="1">
        <f t="shared" si="1"/>
        <v>122</v>
      </c>
      <c r="B123" s="2">
        <v>2026</v>
      </c>
      <c r="C123" s="2" t="s">
        <v>39</v>
      </c>
      <c r="D123" s="2" t="s">
        <v>27</v>
      </c>
      <c r="E123" s="2" t="s">
        <v>339</v>
      </c>
      <c r="F123" t="s">
        <v>371</v>
      </c>
      <c r="G123" t="s">
        <v>41</v>
      </c>
      <c r="H123" t="s">
        <v>32</v>
      </c>
      <c r="I123">
        <v>2</v>
      </c>
      <c r="J123" s="3">
        <v>2347</v>
      </c>
      <c r="K123" s="4">
        <v>13.7916666667006</v>
      </c>
    </row>
    <row r="124" spans="1:11">
      <c r="A124" s="1">
        <f t="shared" si="1"/>
        <v>123</v>
      </c>
      <c r="B124" s="2">
        <v>2026</v>
      </c>
      <c r="C124" s="2" t="s">
        <v>39</v>
      </c>
      <c r="D124" s="2" t="s">
        <v>27</v>
      </c>
      <c r="E124" s="2" t="s">
        <v>415</v>
      </c>
      <c r="F124" s="5" t="s">
        <v>328</v>
      </c>
      <c r="G124" t="s">
        <v>730</v>
      </c>
      <c r="H124" t="s">
        <v>32</v>
      </c>
      <c r="I124">
        <v>3</v>
      </c>
      <c r="J124" s="3">
        <v>5607</v>
      </c>
      <c r="K124" s="4">
        <v>50.7916666665988</v>
      </c>
    </row>
    <row r="125" spans="1:11">
      <c r="A125" s="1">
        <f t="shared" si="1"/>
        <v>124</v>
      </c>
      <c r="B125" s="2">
        <v>2026</v>
      </c>
      <c r="C125" s="2" t="s">
        <v>45</v>
      </c>
      <c r="D125" s="2" t="s">
        <v>27</v>
      </c>
      <c r="E125" s="2" t="s">
        <v>341</v>
      </c>
      <c r="F125" t="s">
        <v>839</v>
      </c>
      <c r="G125" t="s">
        <v>31</v>
      </c>
      <c r="H125" t="s">
        <v>38</v>
      </c>
      <c r="I125">
        <v>3</v>
      </c>
      <c r="J125">
        <v>2703</v>
      </c>
      <c r="K125">
        <v>28.1666666667006</v>
      </c>
    </row>
    <row r="126" spans="1:11">
      <c r="A126" s="1">
        <f t="shared" si="1"/>
        <v>125</v>
      </c>
      <c r="B126" s="2">
        <v>2026</v>
      </c>
      <c r="C126" s="2" t="s">
        <v>45</v>
      </c>
      <c r="D126" s="2" t="s">
        <v>27</v>
      </c>
      <c r="E126" s="2" t="s">
        <v>340</v>
      </c>
      <c r="F126" t="s">
        <v>316</v>
      </c>
      <c r="G126" t="s">
        <v>31</v>
      </c>
      <c r="H126" t="s">
        <v>32</v>
      </c>
      <c r="I126">
        <v>2</v>
      </c>
      <c r="J126">
        <v>3087</v>
      </c>
      <c r="K126">
        <v>23.5833333332994</v>
      </c>
    </row>
    <row r="127" spans="1:11">
      <c r="A127" s="1">
        <f t="shared" si="1"/>
        <v>126</v>
      </c>
      <c r="B127" s="2">
        <v>2026</v>
      </c>
      <c r="C127" s="2" t="s">
        <v>45</v>
      </c>
      <c r="D127" s="2" t="s">
        <v>27</v>
      </c>
      <c r="E127" s="2" t="s">
        <v>416</v>
      </c>
      <c r="F127" t="s">
        <v>327</v>
      </c>
      <c r="G127" t="s">
        <v>31</v>
      </c>
      <c r="H127" t="s">
        <v>32</v>
      </c>
      <c r="I127">
        <v>3</v>
      </c>
      <c r="J127">
        <v>4382</v>
      </c>
      <c r="K127">
        <v>41.8125</v>
      </c>
    </row>
    <row r="128" spans="1:11">
      <c r="A128" s="1">
        <f t="shared" si="1"/>
        <v>127</v>
      </c>
      <c r="B128" s="2">
        <v>2026</v>
      </c>
      <c r="C128" s="2" t="s">
        <v>45</v>
      </c>
      <c r="D128" s="2" t="s">
        <v>27</v>
      </c>
      <c r="E128" s="2" t="s">
        <v>417</v>
      </c>
      <c r="F128" t="s">
        <v>328</v>
      </c>
      <c r="G128" t="s">
        <v>730</v>
      </c>
      <c r="H128" t="s">
        <v>32</v>
      </c>
      <c r="I128">
        <v>3</v>
      </c>
      <c r="J128">
        <v>5393</v>
      </c>
      <c r="K128">
        <v>43.8333333332994</v>
      </c>
    </row>
    <row r="129" spans="1:11">
      <c r="A129" s="1">
        <f t="shared" si="1"/>
        <v>128</v>
      </c>
      <c r="B129" s="2">
        <v>2026</v>
      </c>
      <c r="C129" s="2" t="s">
        <v>45</v>
      </c>
      <c r="D129" s="2" t="s">
        <v>27</v>
      </c>
      <c r="E129" s="2" t="s">
        <v>418</v>
      </c>
      <c r="F129" t="s">
        <v>318</v>
      </c>
      <c r="G129" t="s">
        <v>730</v>
      </c>
      <c r="H129" t="s">
        <v>32</v>
      </c>
      <c r="I129">
        <v>3</v>
      </c>
      <c r="J129">
        <v>6275</v>
      </c>
      <c r="K129">
        <v>82.5791666667006</v>
      </c>
    </row>
    <row r="130" spans="1:11">
      <c r="A130" s="1">
        <f t="shared" ref="A130:A132" si="2">ROW()-1</f>
        <v>129</v>
      </c>
      <c r="B130" s="2">
        <v>2026</v>
      </c>
      <c r="C130" s="2" t="s">
        <v>45</v>
      </c>
      <c r="D130" s="2" t="s">
        <v>27</v>
      </c>
      <c r="E130" s="2" t="s">
        <v>420</v>
      </c>
      <c r="F130" t="s">
        <v>421</v>
      </c>
      <c r="G130" t="s">
        <v>41</v>
      </c>
      <c r="H130" t="s">
        <v>32</v>
      </c>
      <c r="I130">
        <v>3</v>
      </c>
      <c r="J130">
        <v>4121</v>
      </c>
      <c r="K130">
        <v>43.3125</v>
      </c>
    </row>
    <row r="131" spans="1:11">
      <c r="A131" s="1">
        <f t="shared" si="2"/>
        <v>130</v>
      </c>
      <c r="B131" s="2">
        <v>2026</v>
      </c>
      <c r="C131" s="2" t="s">
        <v>45</v>
      </c>
      <c r="D131" s="2" t="s">
        <v>27</v>
      </c>
      <c r="E131" s="2" t="s">
        <v>422</v>
      </c>
      <c r="F131" t="s">
        <v>327</v>
      </c>
      <c r="G131" t="s">
        <v>31</v>
      </c>
      <c r="H131" t="s">
        <v>32</v>
      </c>
      <c r="I131">
        <v>3</v>
      </c>
      <c r="J131">
        <v>4330</v>
      </c>
      <c r="K131">
        <v>19.8541666667006</v>
      </c>
    </row>
    <row r="132" spans="1:11">
      <c r="A132" s="1">
        <f t="shared" si="2"/>
        <v>131</v>
      </c>
      <c r="B132" s="2">
        <v>2026</v>
      </c>
      <c r="C132" s="2" t="s">
        <v>45</v>
      </c>
      <c r="D132" s="2" t="s">
        <v>27</v>
      </c>
      <c r="E132" s="2" t="s">
        <v>841</v>
      </c>
      <c r="F132" t="s">
        <v>832</v>
      </c>
      <c r="G132" t="s">
        <v>842</v>
      </c>
      <c r="H132" t="s">
        <v>366</v>
      </c>
      <c r="I132">
        <v>4</v>
      </c>
      <c r="J132">
        <v>573.34</v>
      </c>
      <c r="K132">
        <v>55.4166666665988</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��ꁨR�S
</file>

<file path=customXml/item2.xml>��
</file>

<file path=customXml/item3.xml>��
</file>

<file path=customXml/item4.xml>��
</file>

<file path=customXml/item5.xml><?xml version="1.0" encoding="utf-8"?>
<NetdiskSupbooks xmlns="http://www.wps.cn/et/2019/netdiskSupbooks">
  <NetdiskSupbook Target="\Users\86188\Documents\WPS%20MiniCloud%20Files\96\团队文档\企划财务部（企划）\1.%20经营考核\2026年\经营政策\2026年政策修订\附件1：考核标准及相关定额.xlsx" FileId="347600748445696" NetdiskName="yunwps"/>
</NetdiskSupbooks>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A02B7E37-CEC0-4786-9FA4-411A3DC59612}">
  <ds:schemaRefs/>
</ds:datastoreItem>
</file>

<file path=customXml/itemProps5.xml><?xml version="1.0" encoding="utf-8"?>
<ds:datastoreItem xmlns:ds="http://schemas.openxmlformats.org/officeDocument/2006/customXml" ds:itemID="{8CA11897-456E-43AF-AC28-93E1BBEC0A59}">
  <ds:schemaRefs>
    <ds:schemaRef ds:uri="http://www.wps.cn/et/2019/netdiskSupbooks"/>
  </ds:schemaRefs>
</ds:datastoreItem>
</file>

<file path=docProps/app.xml><?xml version="1.0" encoding="utf-8"?>
<Properties xmlns="http://schemas.openxmlformats.org/officeDocument/2006/extended-properties" xmlns:vt="http://schemas.openxmlformats.org/officeDocument/2006/docPropsVTypes">
  <Application>WPS Office WWO_wpscloud_20250922211644-7bdffb17ec</Application>
  <HeadingPairs>
    <vt:vector size="2" baseType="variant">
      <vt:variant>
        <vt:lpstr>工作表</vt:lpstr>
      </vt:variant>
      <vt:variant>
        <vt:i4>26</vt:i4>
      </vt:variant>
    </vt:vector>
  </HeadingPairs>
  <TitlesOfParts>
    <vt:vector size="26" baseType="lpstr">
      <vt:lpstr>测算表</vt:lpstr>
      <vt:lpstr>目录</vt:lpstr>
      <vt:lpstr>1奖金系数表</vt:lpstr>
      <vt:lpstr>2人员定额</vt:lpstr>
      <vt:lpstr>3机关部门、直属单位通用管理指标考核表</vt:lpstr>
      <vt:lpstr>4机关部门、直属单位专业管理指标考核细则</vt:lpstr>
      <vt:lpstr>5工序定额</vt:lpstr>
      <vt:lpstr>大港油区定额统计</vt:lpstr>
      <vt:lpstr>6米费定额 </vt:lpstr>
      <vt:lpstr>7一般材料定额</vt:lpstr>
      <vt:lpstr>纯柴油+转化柴油定额 (2)</vt:lpstr>
      <vt:lpstr>能耗定额（郭）</vt:lpstr>
      <vt:lpstr>纯网电+转化网电定额 (4)</vt:lpstr>
      <vt:lpstr>柴油定额</vt:lpstr>
      <vt:lpstr>8能耗定额</vt:lpstr>
      <vt:lpstr>08能耗定额（2）</vt:lpstr>
      <vt:lpstr>9润滑油定额 </vt:lpstr>
      <vt:lpstr>10项修定额</vt:lpstr>
      <vt:lpstr>11生产水定额</vt:lpstr>
      <vt:lpstr>12生活污水定额</vt:lpstr>
      <vt:lpstr>13土工膜定额</vt:lpstr>
      <vt:lpstr>14钻机挂钩系数</vt:lpstr>
      <vt:lpstr>15区块平均日进尺</vt:lpstr>
      <vt:lpstr>16区块毛益率指标</vt:lpstr>
      <vt:lpstr>转置表</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冯雪诚</cp:lastModifiedBy>
  <dcterms:created xsi:type="dcterms:W3CDTF">2025-10-28T14:47:00Z</dcterms:created>
  <dcterms:modified xsi:type="dcterms:W3CDTF">2026-09-10T01:35:25Z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3ED11059C6F04A539E7D62E2EDEB3CB5_13</vt:lpwstr>
  </property>
  <property fmtid="{D5CDD505-2E9C-101B-9397-08002B2CF9AE}" pid="3" name="KSOProductBuildVer">
    <vt:lpwstr>2052-12.1.0.24657</vt:lpwstr>
  </property>
  <property fmtid="{D5CDD505-2E9C-101B-9397-08002B2CF9AE}" pid="4" name="KSOReadingLayout">
    <vt:bool>true</vt:bool>
  </property>
  <property fmtid="{D5CDD505-2E9C-101B-9397-08002B2CF9AE}" pid="5" name="CalculationRule">
    <vt:i4>0</vt:i4>
  </property>
</Properties>
</file>