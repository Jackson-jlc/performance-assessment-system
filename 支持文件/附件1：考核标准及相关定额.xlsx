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800" windowHeight="17655" tabRatio="1000" firstSheet="5" activeTab="20"/>
  </bookViews>
  <sheets>
    <sheet name="目录" sheetId="17" r:id="rId1"/>
    <sheet name="1奖金系数表" sheetId="3" r:id="rId2"/>
    <sheet name="2人员定额" sheetId="8" r:id="rId3"/>
    <sheet name="3机关部门、直属单位通用管理指标考核表" sheetId="9" r:id="rId4"/>
    <sheet name="4机关部门、直属单位专业管理指标考核表" sheetId="10" r:id="rId5"/>
    <sheet name="5工序定额" sheetId="1" r:id="rId6"/>
    <sheet name="6米费定额 " sheetId="11" r:id="rId7"/>
    <sheet name="7一般材料定额" sheetId="21" r:id="rId8"/>
    <sheet name="纯柴油+转化柴油定额 (2)" sheetId="28" state="hidden" r:id="rId9"/>
    <sheet name="纯网电+转化网电定额 (4)" sheetId="29" state="hidden" r:id="rId10"/>
    <sheet name="柴油定额" sheetId="15" state="hidden" r:id="rId11"/>
    <sheet name="8能耗定额" sheetId="31" r:id="rId12"/>
    <sheet name="08能耗定额（2）" sheetId="30" state="hidden" r:id="rId13"/>
    <sheet name="9润滑油定额 " sheetId="19" r:id="rId14"/>
    <sheet name="10项修定额" sheetId="18" r:id="rId15"/>
    <sheet name="11生产水定额" sheetId="22" r:id="rId16"/>
    <sheet name="12生活污水定额" sheetId="23" r:id="rId17"/>
    <sheet name="13土工膜定额" sheetId="24" r:id="rId18"/>
    <sheet name="14钻机挂钩系数" sheetId="20" r:id="rId19"/>
    <sheet name="15区块平均日进尺" sheetId="12" r:id="rId20"/>
    <sheet name="16区块毛益率指标" sheetId="14" r:id="rId21"/>
    <sheet name="17事故复杂率指标" sheetId="32" r:id="rId22"/>
    <sheet name="18主体单位经营指标" sheetId="33" state="hidden" r:id="rId23"/>
  </sheets>
  <definedNames>
    <definedName name="_xlnm._FilterDatabase" localSheetId="8" hidden="1">'纯柴油+转化柴油定额 (2)'!$A$4:$XDZ$41</definedName>
    <definedName name="_xlnm._FilterDatabase" localSheetId="9" hidden="1">'纯网电+转化网电定额 (4)'!$A$4:$XDZ$44</definedName>
    <definedName name="_xlnm._FilterDatabase" localSheetId="13" hidden="1">'9润滑油定额 '!$A$5:$XDX$45</definedName>
    <definedName name="_xlnm._FilterDatabase" localSheetId="19" hidden="1">'15区块平均日进尺'!$A$5:$XDX$44</definedName>
    <definedName name="_xlnm._FilterDatabase" localSheetId="14" hidden="1">'10项修定额'!$A$5:$XDX$45</definedName>
    <definedName name="_xlnm._FilterDatabase" localSheetId="6" hidden="1">'6米费定额 '!$A$5:$XDO$45</definedName>
    <definedName name="_xlnm.Print_Area" localSheetId="6">'6米费定额 '!$A$1:$F$44</definedName>
    <definedName name="_xlnm.Print_Titles" localSheetId="6">'6米费定额 '!#REF!</definedName>
    <definedName name="_xlnm.Print_Area" localSheetId="19">'15区块平均日进尺'!$A$1:$F$44</definedName>
    <definedName name="_xlnm.Print_Titles" localSheetId="19">'15区块平均日进尺'!#REF!</definedName>
    <definedName name="_xlnm._FilterDatabase" localSheetId="20" hidden="1">'16区块毛益率指标'!$A$4:$XDS$43</definedName>
    <definedName name="_xlnm.Print_Area" localSheetId="20">'16区块毛益率指标'!$A$1:$H$43</definedName>
    <definedName name="_xlnm.Print_Titles" localSheetId="20">'16区块毛益率指标'!#REF!</definedName>
    <definedName name="_xlnm.Print_Area" localSheetId="10">柴油定额!$A$1:$H$64</definedName>
    <definedName name="_xlnm.Print_Titles" localSheetId="10">柴油定额!$1:$4</definedName>
    <definedName name="_xlnm.Print_Area" localSheetId="14">'10项修定额'!$A$1:$F$45</definedName>
    <definedName name="_xlnm.Print_Titles" localSheetId="14">'10项修定额'!#REF!</definedName>
    <definedName name="_xlnm.Print_Area" localSheetId="13">'9润滑油定额 '!$A$1:$F$44</definedName>
    <definedName name="_xlnm.Print_Titles" localSheetId="13">'9润滑油定额 '!#REF!</definedName>
    <definedName name="_xlnm.Print_Area" localSheetId="7">'7一般材料定额'!$A$1:$G$44</definedName>
    <definedName name="_xlnm.Print_Titles" localSheetId="7">'7一般材料定额'!$1:$5</definedName>
    <definedName name="_xlnm.Print_Area" localSheetId="8">'纯柴油+转化柴油定额 (2)'!$A$1:$H$33</definedName>
    <definedName name="_xlnm.Print_Titles" localSheetId="8">'纯柴油+转化柴油定额 (2)'!#REF!</definedName>
    <definedName name="_xlnm.Print_Area" localSheetId="9">'纯网电+转化网电定额 (4)'!$A$1:$H$34</definedName>
    <definedName name="_xlnm.Print_Titles" localSheetId="9">'纯网电+转化网电定额 (4)'!#REF!</definedName>
    <definedName name="_xlnm.Print_Area" localSheetId="12">'08能耗定额（2）'!$A$1:$E$17</definedName>
    <definedName name="_xlnm.Print_Titles" localSheetId="12">'08能耗定额（2）'!$1:$4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A3" authorId="0">
      <text>
        <r>
          <rPr>
            <sz val="9"/>
            <rFont val="宋体"/>
            <charset val="134"/>
          </rPr>
          <t>自动编号</t>
        </r>
      </text>
    </comment>
  </commentList>
</comments>
</file>

<file path=xl/comments2.xml><?xml version="1.0" encoding="utf-8"?>
<comments xmlns="http://schemas.openxmlformats.org/spreadsheetml/2006/main">
  <authors>
    <author>forev</author>
  </authors>
  <commentList>
    <comment ref="B6" authorId="0">
      <text>
        <r>
          <rPr>
            <b/>
            <sz val="9"/>
            <rFont val="宋体"/>
            <charset val="134"/>
          </rPr>
          <t>forev:</t>
        </r>
        <r>
          <rPr>
            <sz val="9"/>
            <rFont val="宋体"/>
            <charset val="134"/>
          </rPr>
          <t xml:space="preserve">
27-45</t>
        </r>
      </text>
    </comment>
    <comment ref="C6" authorId="0">
      <text>
        <r>
          <rPr>
            <b/>
            <sz val="9"/>
            <rFont val="宋体"/>
            <charset val="134"/>
          </rPr>
          <t>forev:</t>
        </r>
        <r>
          <rPr>
            <sz val="9"/>
            <rFont val="宋体"/>
            <charset val="134"/>
          </rPr>
          <t xml:space="preserve">
32-60</t>
        </r>
      </text>
    </comment>
    <comment ref="D6" authorId="0">
      <text>
        <r>
          <rPr>
            <b/>
            <sz val="9"/>
            <rFont val="宋体"/>
            <charset val="134"/>
          </rPr>
          <t>forev:</t>
        </r>
        <r>
          <rPr>
            <sz val="9"/>
            <rFont val="宋体"/>
            <charset val="134"/>
          </rPr>
          <t xml:space="preserve">
49-90，未包括109和115
</t>
        </r>
      </text>
    </comment>
    <comment ref="H6" authorId="0">
      <text>
        <r>
          <rPr>
            <b/>
            <sz val="9"/>
            <rFont val="宋体"/>
            <charset val="134"/>
          </rPr>
          <t>forev:</t>
        </r>
        <r>
          <rPr>
            <sz val="9"/>
            <rFont val="宋体"/>
            <charset val="134"/>
          </rPr>
          <t xml:space="preserve">
27-42</t>
        </r>
      </text>
    </comment>
    <comment ref="I6" authorId="0">
      <text>
        <r>
          <rPr>
            <b/>
            <sz val="9"/>
            <rFont val="宋体"/>
            <charset val="134"/>
          </rPr>
          <t>forev:</t>
        </r>
        <r>
          <rPr>
            <sz val="9"/>
            <rFont val="宋体"/>
            <charset val="134"/>
          </rPr>
          <t xml:space="preserve">
29-58
</t>
        </r>
      </text>
    </comment>
    <comment ref="J6" authorId="0">
      <text>
        <r>
          <rPr>
            <b/>
            <sz val="9"/>
            <rFont val="宋体"/>
            <charset val="134"/>
          </rPr>
          <t>forev:</t>
        </r>
        <r>
          <rPr>
            <sz val="9"/>
            <rFont val="宋体"/>
            <charset val="134"/>
          </rPr>
          <t xml:space="preserve">
24-56
</t>
        </r>
      </text>
    </comment>
    <comment ref="K6" authorId="0">
      <text>
        <r>
          <rPr>
            <b/>
            <sz val="9"/>
            <rFont val="宋体"/>
            <charset val="134"/>
          </rPr>
          <t>forev:</t>
        </r>
        <r>
          <rPr>
            <sz val="9"/>
            <rFont val="宋体"/>
            <charset val="134"/>
          </rPr>
          <t xml:space="preserve">
53-68，未包括千探1井179.79
</t>
        </r>
      </text>
    </comment>
    <comment ref="L6" authorId="0">
      <text>
        <r>
          <rPr>
            <b/>
            <sz val="9"/>
            <rFont val="宋体"/>
            <charset val="134"/>
          </rPr>
          <t>29</t>
        </r>
        <r>
          <rPr>
            <sz val="9"/>
            <rFont val="宋体"/>
            <charset val="134"/>
          </rPr>
          <t xml:space="preserve">-69，千探1井668未统计
</t>
        </r>
      </text>
    </comment>
    <comment ref="M6" authorId="0">
      <text>
        <r>
          <rPr>
            <b/>
            <sz val="9"/>
            <rFont val="宋体"/>
            <charset val="134"/>
          </rPr>
          <t>forev:43-76,千探1井304未统计</t>
        </r>
      </text>
    </comment>
    <comment ref="L7" authorId="0">
      <text>
        <r>
          <rPr>
            <b/>
            <sz val="9"/>
            <rFont val="宋体"/>
            <charset val="134"/>
          </rPr>
          <t>forev:</t>
        </r>
        <r>
          <rPr>
            <sz val="9"/>
            <rFont val="宋体"/>
            <charset val="134"/>
          </rPr>
          <t xml:space="preserve">
29-56</t>
        </r>
      </text>
    </comment>
    <comment ref="M7" authorId="0">
      <text>
        <r>
          <rPr>
            <b/>
            <sz val="9"/>
            <rFont val="宋体"/>
            <charset val="134"/>
          </rPr>
          <t>forev:</t>
        </r>
        <r>
          <rPr>
            <sz val="9"/>
            <rFont val="宋体"/>
            <charset val="134"/>
          </rPr>
          <t xml:space="preserve">
36-39
</t>
        </r>
      </text>
    </comment>
    <comment ref="C8" authorId="0">
      <text>
        <r>
          <rPr>
            <b/>
            <sz val="9"/>
            <rFont val="宋体"/>
            <charset val="134"/>
          </rPr>
          <t>forev:</t>
        </r>
        <r>
          <rPr>
            <sz val="9"/>
            <rFont val="宋体"/>
            <charset val="134"/>
          </rPr>
          <t xml:space="preserve">
33-54</t>
        </r>
      </text>
    </comment>
    <comment ref="D8" authorId="0">
      <text>
        <r>
          <rPr>
            <b/>
            <sz val="9"/>
            <rFont val="宋体"/>
            <charset val="134"/>
          </rPr>
          <t>forev:</t>
        </r>
        <r>
          <rPr>
            <sz val="9"/>
            <rFont val="宋体"/>
            <charset val="134"/>
          </rPr>
          <t xml:space="preserve">
49-77</t>
        </r>
      </text>
    </comment>
    <comment ref="L8" authorId="0">
      <text>
        <r>
          <rPr>
            <b/>
            <sz val="9"/>
            <rFont val="宋体"/>
            <charset val="134"/>
          </rPr>
          <t>forev:</t>
        </r>
        <r>
          <rPr>
            <sz val="9"/>
            <rFont val="宋体"/>
            <charset val="134"/>
          </rPr>
          <t xml:space="preserve">
42-55
</t>
        </r>
      </text>
    </comment>
    <comment ref="M8" authorId="0">
      <text>
        <r>
          <rPr>
            <b/>
            <sz val="9"/>
            <rFont val="宋体"/>
            <charset val="134"/>
          </rPr>
          <t>forev:</t>
        </r>
        <r>
          <rPr>
            <sz val="9"/>
            <rFont val="宋体"/>
            <charset val="134"/>
          </rPr>
          <t xml:space="preserve">
25-87</t>
        </r>
      </text>
    </comment>
    <comment ref="C9" authorId="0">
      <text>
        <r>
          <rPr>
            <b/>
            <sz val="9"/>
            <rFont val="宋体"/>
            <charset val="134"/>
          </rPr>
          <t>forev:</t>
        </r>
        <r>
          <rPr>
            <sz val="9"/>
            <rFont val="宋体"/>
            <charset val="134"/>
          </rPr>
          <t xml:space="preserve">
28-62</t>
        </r>
      </text>
    </comment>
    <comment ref="D9" authorId="0">
      <text>
        <r>
          <rPr>
            <b/>
            <sz val="9"/>
            <rFont val="宋体"/>
            <charset val="134"/>
          </rPr>
          <t>forev:</t>
        </r>
        <r>
          <rPr>
            <sz val="9"/>
            <rFont val="宋体"/>
            <charset val="134"/>
          </rPr>
          <t xml:space="preserve">
27-74，未包括223</t>
        </r>
      </text>
    </comment>
    <comment ref="C10" authorId="0">
      <text>
        <r>
          <rPr>
            <b/>
            <sz val="9"/>
            <rFont val="宋体"/>
            <charset val="134"/>
          </rPr>
          <t>forev:</t>
        </r>
        <r>
          <rPr>
            <sz val="9"/>
            <rFont val="宋体"/>
            <charset val="134"/>
          </rPr>
          <t xml:space="preserve">
24-50</t>
        </r>
      </text>
    </comment>
    <comment ref="D10" authorId="0">
      <text>
        <r>
          <rPr>
            <b/>
            <sz val="9"/>
            <rFont val="宋体"/>
            <charset val="134"/>
          </rPr>
          <t>forev:</t>
        </r>
        <r>
          <rPr>
            <sz val="9"/>
            <rFont val="宋体"/>
            <charset val="134"/>
          </rPr>
          <t xml:space="preserve">
51-84
</t>
        </r>
      </text>
    </comment>
    <comment ref="C12" authorId="0">
      <text>
        <r>
          <rPr>
            <b/>
            <sz val="9"/>
            <rFont val="宋体"/>
            <charset val="134"/>
          </rPr>
          <t>forev:</t>
        </r>
        <r>
          <rPr>
            <sz val="9"/>
            <rFont val="宋体"/>
            <charset val="134"/>
          </rPr>
          <t xml:space="preserve">
24-55
</t>
        </r>
      </text>
    </comment>
    <comment ref="D12" authorId="0">
      <text>
        <r>
          <rPr>
            <b/>
            <sz val="9"/>
            <rFont val="宋体"/>
            <charset val="134"/>
          </rPr>
          <t>forev:</t>
        </r>
        <r>
          <rPr>
            <sz val="9"/>
            <rFont val="宋体"/>
            <charset val="134"/>
          </rPr>
          <t xml:space="preserve">
51-84，未包括152/146</t>
        </r>
      </text>
    </comment>
    <comment ref="K18" authorId="0">
      <text>
        <r>
          <rPr>
            <b/>
            <sz val="9"/>
            <rFont val="宋体"/>
            <charset val="134"/>
          </rPr>
          <t>forev:</t>
        </r>
        <r>
          <rPr>
            <sz val="9"/>
            <rFont val="宋体"/>
            <charset val="134"/>
          </rPr>
          <t xml:space="preserve">
25-41
</t>
        </r>
      </text>
    </comment>
    <comment ref="L18" authorId="0">
      <text>
        <r>
          <rPr>
            <b/>
            <sz val="9"/>
            <rFont val="宋体"/>
            <charset val="134"/>
          </rPr>
          <t>forev:</t>
        </r>
        <r>
          <rPr>
            <sz val="9"/>
            <rFont val="宋体"/>
            <charset val="134"/>
          </rPr>
          <t xml:space="preserve">
43-63
</t>
        </r>
      </text>
    </comment>
    <comment ref="H19" authorId="0">
      <text>
        <r>
          <rPr>
            <b/>
            <sz val="9"/>
            <rFont val="宋体"/>
            <charset val="134"/>
          </rPr>
          <t>forev:</t>
        </r>
        <r>
          <rPr>
            <sz val="9"/>
            <rFont val="宋体"/>
            <charset val="134"/>
          </rPr>
          <t xml:space="preserve">
37-48</t>
        </r>
      </text>
    </comment>
    <comment ref="I19" authorId="0">
      <text>
        <r>
          <rPr>
            <b/>
            <sz val="9"/>
            <rFont val="宋体"/>
            <charset val="134"/>
          </rPr>
          <t>forev:</t>
        </r>
        <r>
          <rPr>
            <sz val="9"/>
            <rFont val="宋体"/>
            <charset val="134"/>
          </rPr>
          <t xml:space="preserve">
32-85</t>
        </r>
      </text>
    </comment>
    <comment ref="J19" authorId="0">
      <text>
        <r>
          <rPr>
            <b/>
            <sz val="9"/>
            <rFont val="宋体"/>
            <charset val="134"/>
          </rPr>
          <t>forev:</t>
        </r>
        <r>
          <rPr>
            <sz val="9"/>
            <rFont val="宋体"/>
            <charset val="134"/>
          </rPr>
          <t xml:space="preserve">
117-241，未包括407</t>
        </r>
      </text>
    </comment>
    <comment ref="K20" authorId="0">
      <text>
        <r>
          <rPr>
            <b/>
            <sz val="9"/>
            <rFont val="宋体"/>
            <charset val="134"/>
          </rPr>
          <t>forev:</t>
        </r>
        <r>
          <rPr>
            <sz val="9"/>
            <rFont val="宋体"/>
            <charset val="134"/>
          </rPr>
          <t xml:space="preserve">
29-76</t>
        </r>
      </text>
    </comment>
    <comment ref="L20" authorId="0">
      <text>
        <r>
          <rPr>
            <b/>
            <sz val="9"/>
            <rFont val="宋体"/>
            <charset val="134"/>
          </rPr>
          <t>forev:</t>
        </r>
        <r>
          <rPr>
            <sz val="9"/>
            <rFont val="宋体"/>
            <charset val="134"/>
          </rPr>
          <t xml:space="preserve">
25-120</t>
        </r>
      </text>
    </comment>
  </commentList>
</comments>
</file>

<file path=xl/sharedStrings.xml><?xml version="1.0" encoding="utf-8"?>
<sst xmlns="http://schemas.openxmlformats.org/spreadsheetml/2006/main" count="1643" uniqueCount="332">
  <si>
    <t>附件1</t>
  </si>
  <si>
    <t>目录</t>
  </si>
  <si>
    <t>序号</t>
  </si>
  <si>
    <t>名称</t>
  </si>
  <si>
    <t>奖金系数表</t>
  </si>
  <si>
    <t>人员定额</t>
  </si>
  <si>
    <t>机关部门、直属单位通用管理指标考核表</t>
  </si>
  <si>
    <t>机关部门、直属单位专业管理指标考核表</t>
  </si>
  <si>
    <t>大港油区工序定额</t>
  </si>
  <si>
    <t>大港油区米费定额</t>
  </si>
  <si>
    <t>大港油区一般材料定额</t>
  </si>
  <si>
    <t>大港油区能耗定额</t>
  </si>
  <si>
    <t>大港油区润滑油定额</t>
  </si>
  <si>
    <t>大港油区项修定额</t>
  </si>
  <si>
    <t>大港油区生产水定额</t>
  </si>
  <si>
    <t>大港油区生活污水定额</t>
  </si>
  <si>
    <t>大港油区土工膜定额</t>
  </si>
  <si>
    <t>大港油区钻机挂钩系数</t>
  </si>
  <si>
    <t>大港油区区块平均日进尺</t>
  </si>
  <si>
    <t>大港油区区块毛益率指标</t>
  </si>
  <si>
    <t>事故复杂率指标</t>
  </si>
  <si>
    <t>附件1-1</t>
  </si>
  <si>
    <t>切块奖金系数表</t>
  </si>
  <si>
    <t>部门或单位</t>
  </si>
  <si>
    <t>岗位名称</t>
  </si>
  <si>
    <t>系数</t>
  </si>
  <si>
    <t>机关直属</t>
  </si>
  <si>
    <t>室内管理岗</t>
  </si>
  <si>
    <t>现场管理岗</t>
  </si>
  <si>
    <t>盯井工程师</t>
  </si>
  <si>
    <t>安全监督中心</t>
  </si>
  <si>
    <t>油区现场监督</t>
  </si>
  <si>
    <t>外部、外包现场监督</t>
  </si>
  <si>
    <t>生产保障中心</t>
  </si>
  <si>
    <t>档案管理</t>
  </si>
  <si>
    <t>班长、电工、司机、调度、安全员</t>
  </si>
  <si>
    <t>办事员、会务、打字员、食堂</t>
  </si>
  <si>
    <t>门岗</t>
  </si>
  <si>
    <t>清洁班、护厂、活动中心</t>
  </si>
  <si>
    <t>技术员、班长</t>
  </si>
  <si>
    <t>搬迁工、修理工、安全员</t>
  </si>
  <si>
    <t>办事员</t>
  </si>
  <si>
    <t>物资管理中心</t>
  </si>
  <si>
    <t>班长</t>
  </si>
  <si>
    <t>押运员、送料员、稽核员、安全员</t>
  </si>
  <si>
    <t>保管员</t>
  </si>
  <si>
    <t>外部项目部</t>
  </si>
  <si>
    <t>项目部管理人员</t>
  </si>
  <si>
    <t>国际项目部/新项目管理部</t>
  </si>
  <si>
    <t>新项目部管理人员</t>
  </si>
  <si>
    <t>钻井队</t>
  </si>
  <si>
    <t>大港油区钻井队</t>
  </si>
  <si>
    <t>外部市场钻井队</t>
  </si>
  <si>
    <t>注：项目部驻公司机关办公人员奖金系数参照机关直属标准执行。</t>
  </si>
  <si>
    <t>钻井队管理岗位奖金系数表</t>
  </si>
  <si>
    <t>队长（平台经理）</t>
  </si>
  <si>
    <t>党支部书记、第一技术员</t>
  </si>
  <si>
    <t>副队长、第二技术员、司钻</t>
  </si>
  <si>
    <t>实习技术员</t>
  </si>
  <si>
    <t>注：该系数为指导性系数。司钻、实习技术员参照管理岗设置奖金系数。</t>
  </si>
  <si>
    <t>钻井队操作岗位奖金系数表</t>
  </si>
  <si>
    <t>司钻</t>
  </si>
  <si>
    <t>机房大班、钻台大班、电气师、副司钻</t>
  </si>
  <si>
    <t>钻工、泥浆工、司机</t>
  </si>
  <si>
    <t>机工、发电工、炊事员、成本员、材料员、管理员</t>
  </si>
  <si>
    <t>注：该系数为指导性系数。</t>
  </si>
  <si>
    <t>附件1-2</t>
  </si>
  <si>
    <t>主体单位</t>
  </si>
  <si>
    <t>所属地区</t>
  </si>
  <si>
    <t>钻井队定员（人/队）</t>
  </si>
  <si>
    <t>项目部定编（人）</t>
  </si>
  <si>
    <t>大港油区项目</t>
  </si>
  <si>
    <t>天津、河北等</t>
  </si>
  <si>
    <t>/</t>
  </si>
  <si>
    <t>西北项目</t>
  </si>
  <si>
    <t>南疆</t>
  </si>
  <si>
    <t>北疆</t>
  </si>
  <si>
    <t>长庆项目</t>
  </si>
  <si>
    <t>陕西、甘肃、内蒙等</t>
  </si>
  <si>
    <t>注：动力外包、食堂外包队伍减少定员3人/队。</t>
  </si>
  <si>
    <t>附件1-3</t>
  </si>
  <si>
    <t>单位</t>
  </si>
  <si>
    <t>人数</t>
  </si>
  <si>
    <t>办公费（元/年）</t>
  </si>
  <si>
    <t>车辆使用(台班/年)</t>
  </si>
  <si>
    <t>备注</t>
  </si>
  <si>
    <t>办公室/党委办公室</t>
  </si>
  <si>
    <t>直属管理岗4人</t>
  </si>
  <si>
    <t>市场与生产协调部</t>
  </si>
  <si>
    <t>室内3人、室外8人</t>
  </si>
  <si>
    <t>工程技术部</t>
  </si>
  <si>
    <t>直属管理岗6人、EISC岗5人</t>
  </si>
  <si>
    <t>质量安全环保部</t>
  </si>
  <si>
    <t>室外5人、视频监控3人、门卫3人</t>
  </si>
  <si>
    <t>装备管理部</t>
  </si>
  <si>
    <t>室外3人</t>
  </si>
  <si>
    <t>人力资源部/党委组织部</t>
  </si>
  <si>
    <t>含人力资源共享中心6人</t>
  </si>
  <si>
    <t>企划财务部</t>
  </si>
  <si>
    <t>党群工作部/纪委办公室</t>
  </si>
  <si>
    <t>门卫2人</t>
  </si>
  <si>
    <t>管理岗9人、长期室内13人、押运4人</t>
  </si>
  <si>
    <t>管理岗4人、监督18人</t>
  </si>
  <si>
    <t>井控监督中心</t>
  </si>
  <si>
    <t>用车与工程技术科合并考核</t>
  </si>
  <si>
    <t>数智中心</t>
  </si>
  <si>
    <t>管理岗6人、室内6人，含公共实施消耗7万元</t>
  </si>
  <si>
    <t>合     计</t>
  </si>
  <si>
    <t>备注：
1．车辆使用每节余（超支）1台班奖励（扣减）科室80元；办公费按照节余（超支）额的50%进行奖励（扣减）。
2．机关部门使用车辆按台班签字；当日使用车辆8小时及以上，按1台班计算。多部门拼车出行，该车辆使用时间由用车部门分摊，计入考核指标。
3．办公费指标核定标准：机关部门人员核定标准为500元/人，长期室外工作人员100元/人；直属单位管理岗200元/人，办事员及长期室内工作人员100元/人，其他岗位人员按30元/人，安全监督65元/人。</t>
  </si>
  <si>
    <t>附件1-4</t>
  </si>
  <si>
    <t>部门(单位)</t>
  </si>
  <si>
    <t>承包管理指标项目名称</t>
  </si>
  <si>
    <t>计量单位</t>
  </si>
  <si>
    <t>承包管理指标</t>
  </si>
  <si>
    <t>考核方式</t>
  </si>
  <si>
    <t>考核办法</t>
  </si>
  <si>
    <t>通用指标</t>
  </si>
  <si>
    <t>部门原因造成钻井队施工异常</t>
  </si>
  <si>
    <t>次</t>
  </si>
  <si>
    <t>季度</t>
  </si>
  <si>
    <t>季度考核，每发生一次，核减责任部门10%月奖。</t>
  </si>
  <si>
    <t>渤海钻探公司及相关处室下达的考核指标</t>
  </si>
  <si>
    <t>项</t>
  </si>
  <si>
    <t>月度</t>
  </si>
  <si>
    <t>对公司相关职责承担部门（单位）进行考核，进度未完成核减业务牵头部门（单位）20%月奖、业务配合部门（单位）10%月奖；年度未完成考核指标累计核减业务牵头部门(单位）月度100%月奖、业务配合部门（单位）月度50%月奖。</t>
  </si>
  <si>
    <t>生产经营过程管理考核</t>
  </si>
  <si>
    <t>在各级检查、审核中发现专业路管理问题或单位履职未尽责造成上级通报批评影响公司声誉的，每起核减责任单位10%月奖。</t>
  </si>
  <si>
    <t>预提费用考核</t>
  </si>
  <si>
    <t>%</t>
  </si>
  <si>
    <t>考核变动成本月度预提费用准确性，考核结果与业务经办部门（含项目部)及机关归口部门负责人挂钩，费用偏差≤5%合格，5%＜费用偏差≤10%，沉没月奖10%；10%＜费用偏差≤15%，沉没月奖20%；费用偏差＞15%，沉没月奖30%。</t>
  </si>
  <si>
    <t>荣誉奖励</t>
  </si>
  <si>
    <t>获得国家级、省部级集体荣誉，核增获奖集体人均绩效薪酬不超过1200元、800元，生产类核增加倍。上级有核增绩效薪酬的不重复。</t>
  </si>
  <si>
    <t>大港油区搬安周期考核</t>
  </si>
  <si>
    <t>按季度完成井进行考核，实际平均口井搬安天数同比去年缩短10%，核增绩效薪酬15000元；同比缩短15%，核增绩效薪酬20000元；超过去年平均口井搬安天数，核减10000元。</t>
  </si>
  <si>
    <t>网电接入口井数和接入及时率</t>
  </si>
  <si>
    <t>口井</t>
  </si>
  <si>
    <t>新搬迁井位的钻井队，在开钻前接入并使用网电的，口井核增绩效薪酬2000元。二开前完成核增绩效薪酬1000元。</t>
  </si>
  <si>
    <t>公司进尺任务</t>
  </si>
  <si>
    <t>万米</t>
  </si>
  <si>
    <t>月度完成核增绩效薪酬5000元，未完成核减绩效薪酬2500元。</t>
  </si>
  <si>
    <t>大港油区进尺任务</t>
  </si>
  <si>
    <t>月度完成核增绩效薪酬10000元，未完成核减绩效薪酬10000元。每增加（减少）1米，核增（核减）绩效薪酬1元。</t>
  </si>
  <si>
    <t>公司创收任务</t>
  </si>
  <si>
    <t>亿元</t>
  </si>
  <si>
    <t>季度/年度</t>
  </si>
  <si>
    <t>季度完成核增绩效薪酬10000元，未完成核减绩效薪酬5000元；全年完成核增绩效薪酬20000元，未完成核减绩效薪酬10000元。</t>
  </si>
  <si>
    <t>大港油区创收任务</t>
  </si>
  <si>
    <t>季度完成核增绩效薪酬20000元，未完成核减绩效薪酬20000元；年度完成核增绩效薪酬20000元，未完成核减绩效薪酬20000元。年度超额完成指标占比每1%核增绩效薪酬30000元。未达标准每1%核减绩效薪酬30000元。</t>
  </si>
  <si>
    <t>工程技术部、井控监督中心</t>
  </si>
  <si>
    <t>公司整体提速（钻完井周期）</t>
  </si>
  <si>
    <t>半年/年度</t>
  </si>
  <si>
    <t>半年完成核增绩效薪酬20000元，未完成核减绩效薪酬10000元；全年完成核增绩效薪酬30000元；全年未完成核减绩效薪酬15000元。</t>
  </si>
  <si>
    <t>大港油区五类井提速（钻井周期）</t>
  </si>
  <si>
    <t>季度完成核增绩效薪酬20000元，未完成核减绩效薪酬10000元；年度完成核增绩效薪酬30000元，未完成核减绩效薪酬15000元。</t>
  </si>
  <si>
    <t>大港油区提速工具考核</t>
  </si>
  <si>
    <t>天</t>
  </si>
  <si>
    <t>每口井考核提速工具提速目标，达到预期目标核增绩效薪酬3000元，未达到核减绩效薪酬1500元。</t>
  </si>
  <si>
    <t>公司事故复杂考核</t>
  </si>
  <si>
    <t>半年完成核增绩效薪酬20000元，未完成核减绩效薪酬10000元；全年完成任务核增绩效薪酬40000元，未完成核减绩效薪酬20000元。</t>
  </si>
  <si>
    <t>大港油区事故复杂考核</t>
  </si>
  <si>
    <t>季度完成核增绩效薪酬20000元，未完成核减绩效薪酬10000元；第四季度按年度考核，完成任务核增绩效薪酬40000元，未完成核减绩效薪酬20000元。</t>
  </si>
  <si>
    <t>大港油区钻头米费考核</t>
  </si>
  <si>
    <t>元/米</t>
  </si>
  <si>
    <t>2025年平均值</t>
  </si>
  <si>
    <t>季度完成核增绩效薪酬10000元，未完成核减绩效薪酬5000元。钻头米费标准与平均井深同比例增减。</t>
  </si>
  <si>
    <t>施工质量控制</t>
  </si>
  <si>
    <t>月度/年度</t>
  </si>
  <si>
    <t>发生井口未正常交井事件每起核减绩效薪酬3000元。年度固井质量优质率高于同市场水平核增绩效薪酬30000元。低于平均值核减绩效薪酬15000元。</t>
  </si>
  <si>
    <t>公司安全事故</t>
  </si>
  <si>
    <t>起</t>
  </si>
  <si>
    <t>一般C级及以上安全事故，每发生1起核减10%绩效薪酬，部门负责人加倍。</t>
  </si>
  <si>
    <t>“四不两直”及体系审核</t>
  </si>
  <si>
    <t>在上级“四不两直”或体系审核中得到上级通报表扬的每次核增绩效薪酬20000元，发生严重违反上级禁令造成恶劣影响的，每次核减绩效薪酬10000元。</t>
  </si>
  <si>
    <t>质量控制</t>
  </si>
  <si>
    <t>完成上级下达的质量工作目标。每发生一起质量事件核减绩效薪酬3000元。</t>
  </si>
  <si>
    <t>年度HSE指标完成情况</t>
  </si>
  <si>
    <t>年度</t>
  </si>
  <si>
    <t>全年完成HSE指标，现场人员收入不低于市场、生产、装备现场管理人员平均收入水平。</t>
  </si>
  <si>
    <t>机修率</t>
  </si>
  <si>
    <t>按当月施工井时效进行统计，机修率每低于考核指标0.1个点，核增绩效薪酬500元，每超出0.1点，核减绩效薪酬500元。考核结果与钻机利用率挂钩：钻机利用率≥80%，按全额考核兑现；当钻机利用率＜80%，按考核金额×（实际钻机利用率÷0.8)兑现。</t>
  </si>
  <si>
    <t>大港油区设备保障</t>
  </si>
  <si>
    <t>生产过程中发生设备影响生产的情况每超出一起核减绩效薪酬1000元；在各类检查中发现设备不能正常运转而影响生产核减绩效薪酬2000元/起；发生因设备原因造成的事故复杂核减绩效薪酬10000元；季度未发生核增绩效薪酬10000元。</t>
  </si>
  <si>
    <t>完成井一般材料消耗节余</t>
  </si>
  <si>
    <t>与单井一般材料定额相比，节余1.5%以上，按超额节余金额的2%核增绩效薪酬，节余不足部分按照2%核减绩效薪酬。</t>
  </si>
  <si>
    <t>现场物资质量管控</t>
  </si>
  <si>
    <t>因物资质量问题影响生产，每发生1起核减绩效薪酬1000元。</t>
  </si>
  <si>
    <t>物资运费</t>
  </si>
  <si>
    <t>车次/台月</t>
  </si>
  <si>
    <t>每节约1车次核增绩效薪酬400元,增加1车次核减绩效薪酬200元。</t>
  </si>
  <si>
    <t>单井电料消耗</t>
  </si>
  <si>
    <t>元</t>
  </si>
  <si>
    <t>按照季度完成井节超额10%核增（核减）绩效薪酬。</t>
  </si>
  <si>
    <t>修理加工产值</t>
  </si>
  <si>
    <t>万元</t>
  </si>
  <si>
    <t>按超（差）额5%核增（核减）绩效薪酬。设备修理、加工按市场价计算产值。</t>
  </si>
  <si>
    <t>部门用车情况</t>
  </si>
  <si>
    <t>台班</t>
  </si>
  <si>
    <t>各部门</t>
  </si>
  <si>
    <t>根据各单位考核结果，完成考核指标核增绩效薪酬总额20%进行核增，未完成考核指标核减绩效薪酬总额20%进行核减。</t>
  </si>
  <si>
    <t>增效工时考核</t>
  </si>
  <si>
    <t>天/人</t>
  </si>
  <si>
    <t>鼓励搬迁队、水电队主动支援一线工作，按工时超（差）额进行核增（核减）绩效薪酬100元/天。</t>
  </si>
  <si>
    <t>附件1-5</t>
  </si>
  <si>
    <t>工序</t>
  </si>
  <si>
    <t>定额</t>
  </si>
  <si>
    <t>搬迁拆卸</t>
  </si>
  <si>
    <t>元/井次</t>
  </si>
  <si>
    <t>平移拆卸</t>
  </si>
  <si>
    <t>搬迁转场(腾井场）</t>
  </si>
  <si>
    <t>搬安（50型）</t>
  </si>
  <si>
    <t>冬季上浮20%</t>
  </si>
  <si>
    <t>搬安（70型）</t>
  </si>
  <si>
    <t>平移</t>
  </si>
  <si>
    <t>砌方井</t>
  </si>
  <si>
    <t>摆基础</t>
  </si>
  <si>
    <t>配合安装泥浆不落地</t>
  </si>
  <si>
    <t>顶驱拆装</t>
  </si>
  <si>
    <t>机械手拆装</t>
  </si>
  <si>
    <t>冬防保温（自保温）</t>
  </si>
  <si>
    <t>油基泥浆施工</t>
  </si>
  <si>
    <t>元/台月</t>
  </si>
  <si>
    <t>设备配套</t>
  </si>
  <si>
    <t>元/天·人</t>
  </si>
  <si>
    <t>附件1-6</t>
  </si>
  <si>
    <t>单位：元/米•人</t>
  </si>
  <si>
    <t>井型</t>
  </si>
  <si>
    <t>区块</t>
  </si>
  <si>
    <t>开次</t>
  </si>
  <si>
    <t>米定额</t>
  </si>
  <si>
    <t>定向井</t>
  </si>
  <si>
    <t>板桥</t>
  </si>
  <si>
    <t>港东</t>
  </si>
  <si>
    <t>港西</t>
  </si>
  <si>
    <t>港中</t>
  </si>
  <si>
    <t>孔店</t>
  </si>
  <si>
    <t>扣村</t>
  </si>
  <si>
    <t>沈家铺</t>
  </si>
  <si>
    <t>泰安</t>
  </si>
  <si>
    <t>唐家河</t>
  </si>
  <si>
    <t>王官屯</t>
  </si>
  <si>
    <t>王徐庄</t>
  </si>
  <si>
    <t>新华</t>
  </si>
  <si>
    <t>羊二庄</t>
  </si>
  <si>
    <t>羊三木</t>
  </si>
  <si>
    <t>枣园</t>
  </si>
  <si>
    <t>水平井</t>
  </si>
  <si>
    <t>埕海</t>
  </si>
  <si>
    <t>大港页岩油</t>
  </si>
  <si>
    <t>直井</t>
  </si>
  <si>
    <t>歧口</t>
  </si>
  <si>
    <t>唐东</t>
  </si>
  <si>
    <t>乌马营</t>
  </si>
  <si>
    <t>青县</t>
  </si>
  <si>
    <t>附件1-7</t>
  </si>
  <si>
    <t>单位：元/米</t>
  </si>
  <si>
    <t>50型</t>
  </si>
  <si>
    <t>70型</t>
  </si>
  <si>
    <t>附件1-8</t>
  </si>
  <si>
    <t>大港油区柴油定额</t>
  </si>
  <si>
    <t>实际</t>
  </si>
  <si>
    <t>预算</t>
  </si>
  <si>
    <t>50J</t>
  </si>
  <si>
    <t>70D</t>
  </si>
  <si>
    <t>平均井深</t>
  </si>
  <si>
    <t>平均柴油费用</t>
  </si>
  <si>
    <t>米进尺费用</t>
  </si>
  <si>
    <t>大港油区网电定额</t>
  </si>
  <si>
    <t>平均网电费用</t>
  </si>
  <si>
    <t>求和项:实际井深（米）</t>
  </si>
  <si>
    <t>求和项:网电</t>
  </si>
  <si>
    <t>计数项:井号</t>
  </si>
  <si>
    <t>网电定额（度/米）</t>
  </si>
  <si>
    <t>不含架线费</t>
  </si>
  <si>
    <t>附件1-9</t>
  </si>
  <si>
    <t>井眼尺寸
（mm）</t>
  </si>
  <si>
    <t>平均段长
（m）</t>
  </si>
  <si>
    <t>钻机类型（单位：元/米）</t>
  </si>
  <si>
    <t>50型机械</t>
  </si>
  <si>
    <t>50型电动</t>
  </si>
  <si>
    <t>70型机械</t>
  </si>
  <si>
    <t>70型电动</t>
  </si>
  <si>
    <t>米定额（网电）</t>
  </si>
  <si>
    <t>注：1.柴油定额与网电定额转换系数为1.869。 2.停产期间能耗补偿800元/天。</t>
  </si>
  <si>
    <t>大港油区能耗定额（网电）</t>
  </si>
  <si>
    <t xml:space="preserve"> </t>
  </si>
  <si>
    <r>
      <rPr>
        <sz val="10"/>
        <color rgb="FFFF0000"/>
        <rFont val="宋体"/>
        <charset val="134"/>
      </rPr>
      <t>枣园/</t>
    </r>
    <r>
      <rPr>
        <sz val="10"/>
        <rFont val="宋体"/>
        <charset val="134"/>
      </rPr>
      <t>风化店</t>
    </r>
  </si>
  <si>
    <t>115（762井眼）</t>
  </si>
  <si>
    <t>318（571井眼）</t>
  </si>
  <si>
    <t>华页/新华</t>
  </si>
  <si>
    <t>唐东/南港</t>
  </si>
  <si>
    <t>张海</t>
  </si>
  <si>
    <t>官页</t>
  </si>
  <si>
    <t>注：1.柴油定额与网电定额转换系数为1.869。
    2.等停期间能耗补偿标准0.2吨/天。</t>
  </si>
  <si>
    <t>注：润滑油定额与机型系数挂钩。</t>
  </si>
  <si>
    <t>附件1-10</t>
  </si>
  <si>
    <t>注：项修定额与维修系数挂钩。</t>
  </si>
  <si>
    <t>附件1-11</t>
  </si>
  <si>
    <t>附件1-12</t>
  </si>
  <si>
    <t>附件1-13</t>
  </si>
  <si>
    <t>单位：元/口井</t>
  </si>
  <si>
    <t>机型</t>
  </si>
  <si>
    <t>搬迁</t>
  </si>
  <si>
    <t>附件1-14</t>
  </si>
  <si>
    <t>队号</t>
  </si>
  <si>
    <t>钻机类型</t>
  </si>
  <si>
    <t>机型系数</t>
  </si>
  <si>
    <t>维修系数</t>
  </si>
  <si>
    <t>50LD</t>
  </si>
  <si>
    <t>70LD</t>
  </si>
  <si>
    <t>70DB</t>
  </si>
  <si>
    <t>BH70302</t>
  </si>
  <si>
    <t>注：润滑油定额与机型系数挂钩；项修定额与维修系数挂钩。</t>
  </si>
  <si>
    <t>附件1-15</t>
  </si>
  <si>
    <t>单位：米/天</t>
  </si>
  <si>
    <t>平均日进尺</t>
  </si>
  <si>
    <t>附件1-16</t>
  </si>
  <si>
    <t>平均指标</t>
  </si>
  <si>
    <t>考核指标（110%）</t>
  </si>
  <si>
    <t>考核指标（120%）</t>
  </si>
  <si>
    <t>附件1-17</t>
  </si>
  <si>
    <t>事故复杂率</t>
  </si>
  <si>
    <t>公司整体目标</t>
  </si>
  <si>
    <t>＜2.4%</t>
  </si>
  <si>
    <t>＜2.2%</t>
  </si>
  <si>
    <t>＜2.5%</t>
  </si>
  <si>
    <t>＜3%</t>
  </si>
  <si>
    <t>附件1-18</t>
  </si>
  <si>
    <t>主体单位经营指标</t>
  </si>
  <si>
    <t>进尺
（米）</t>
  </si>
  <si>
    <t>创收
（万元）</t>
  </si>
  <si>
    <t>贡献毛益额（万元）</t>
  </si>
  <si>
    <t>含新项目、国际</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</si>
</sst>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_);[Red]\(0.00\)"/>
  </numFmts>
  <fonts count="63">
    <font>
      <sz val="11"/>
      <color theme="1"/>
      <name val="宋体"/>
      <charset val="134"/>
      <scheme val="minor"/>
    </font>
    <font>
      <b/>
      <sz val="16"/>
      <color rgb="FF000000"/>
      <name val="方正黑体简体"/>
      <charset val="134"/>
    </font>
    <font>
      <sz val="11"/>
      <name val="宋体"/>
      <charset val="134"/>
    </font>
    <font>
      <b/>
      <sz val="22"/>
      <color theme="1"/>
      <name val="方正小标宋简体"/>
      <charset val="134"/>
    </font>
    <font>
      <sz val="10"/>
      <color theme="1"/>
      <name val="宋体"/>
      <charset val="134"/>
      <scheme val="minor"/>
    </font>
    <font>
      <sz val="10"/>
      <color rgb="FF000000"/>
      <name val="宋体"/>
      <charset val="134"/>
      <scheme val="minor"/>
    </font>
    <font>
      <sz val="10"/>
      <name val="宋体"/>
      <charset val="134"/>
      <scheme val="minor"/>
    </font>
    <font>
      <sz val="10"/>
      <color rgb="FFFF0000"/>
      <name val="宋体"/>
      <charset val="134"/>
      <scheme val="minor"/>
    </font>
    <font>
      <b/>
      <sz val="11"/>
      <name val="宋体"/>
      <charset val="134"/>
    </font>
    <font>
      <b/>
      <sz val="11"/>
      <color theme="1"/>
      <name val="宋体"/>
      <charset val="134"/>
      <scheme val="minor"/>
    </font>
    <font>
      <b/>
      <sz val="16"/>
      <color rgb="FF000000"/>
      <name val="方正楷体简体"/>
      <charset val="134"/>
    </font>
    <font>
      <b/>
      <sz val="10"/>
      <color theme="1"/>
      <name val="宋体"/>
      <charset val="134"/>
      <scheme val="minor"/>
    </font>
    <font>
      <b/>
      <sz val="10"/>
      <color rgb="FF000000"/>
      <name val="宋体"/>
      <charset val="134"/>
      <scheme val="minor"/>
    </font>
    <font>
      <b/>
      <sz val="10"/>
      <color rgb="FFFF0000"/>
      <name val="宋体"/>
      <charset val="134"/>
      <scheme val="minor"/>
    </font>
    <font>
      <b/>
      <sz val="11"/>
      <name val="宋体"/>
      <charset val="134"/>
      <scheme val="minor"/>
    </font>
    <font>
      <b/>
      <sz val="10"/>
      <name val="宋体"/>
      <charset val="134"/>
    </font>
    <font>
      <b/>
      <sz val="10"/>
      <color rgb="FFFF0000"/>
      <name val="宋体"/>
      <charset val="134"/>
    </font>
    <font>
      <b/>
      <sz val="10"/>
      <name val="宋体"/>
      <charset val="134"/>
      <scheme val="minor"/>
    </font>
    <font>
      <b/>
      <sz val="10"/>
      <name val="方正黑体简体"/>
      <charset val="134"/>
    </font>
    <font>
      <b/>
      <sz val="16"/>
      <color theme="1"/>
      <name val="方正黑体简体"/>
      <charset val="134"/>
    </font>
    <font>
      <sz val="10"/>
      <color rgb="FF000000"/>
      <name val="宋体"/>
      <charset val="134"/>
    </font>
    <font>
      <sz val="10"/>
      <name val="宋体"/>
      <charset val="134"/>
    </font>
    <font>
      <sz val="11"/>
      <color rgb="FF000000"/>
      <name val="宋体"/>
      <charset val="134"/>
    </font>
    <font>
      <b/>
      <sz val="11"/>
      <color rgb="FF000000"/>
      <name val="宋体"/>
      <charset val="134"/>
    </font>
    <font>
      <b/>
      <sz val="10"/>
      <color rgb="FF000000"/>
      <name val="宋体"/>
      <charset val="134"/>
    </font>
    <font>
      <i/>
      <sz val="10"/>
      <name val="宋体"/>
      <charset val="134"/>
    </font>
    <font>
      <sz val="10"/>
      <color rgb="FFFF0000"/>
      <name val="宋体"/>
      <charset val="134"/>
    </font>
    <font>
      <i/>
      <sz val="11"/>
      <name val="宋体"/>
      <charset val="134"/>
    </font>
    <font>
      <i/>
      <sz val="10"/>
      <color rgb="FFFF0000"/>
      <name val="宋体"/>
      <charset val="134"/>
    </font>
    <font>
      <i/>
      <sz val="6"/>
      <name val="宋体"/>
      <charset val="134"/>
    </font>
    <font>
      <i/>
      <sz val="11"/>
      <color rgb="FFFF0000"/>
      <name val="宋体"/>
      <charset val="134"/>
    </font>
    <font>
      <sz val="11"/>
      <color rgb="FFFF0000"/>
      <name val="宋体"/>
      <charset val="134"/>
    </font>
    <font>
      <sz val="11"/>
      <name val="宋体"/>
      <charset val="134"/>
      <scheme val="minor"/>
    </font>
    <font>
      <sz val="10"/>
      <name val="方正黑体简体"/>
      <charset val="134"/>
    </font>
    <font>
      <b/>
      <sz val="22"/>
      <name val="方正小标宋简体"/>
      <charset val="134"/>
    </font>
    <font>
      <sz val="11"/>
      <color rgb="FFFF0000"/>
      <name val="宋体"/>
      <charset val="134"/>
      <scheme val="minor"/>
    </font>
    <font>
      <b/>
      <sz val="11"/>
      <color rgb="FFFF0000"/>
      <name val="宋体"/>
      <charset val="134"/>
      <scheme val="minor"/>
    </font>
    <font>
      <b/>
      <strike/>
      <sz val="11"/>
      <color rgb="FFFF0000"/>
      <name val="宋体"/>
      <charset val="134"/>
      <scheme val="minor"/>
    </font>
    <font>
      <b/>
      <sz val="16"/>
      <color theme="1"/>
      <name val="方正楷体简体"/>
      <charset val="134"/>
    </font>
    <font>
      <b/>
      <strike/>
      <sz val="10"/>
      <name val="宋体"/>
      <charset val="134"/>
      <scheme val="minor"/>
    </font>
    <font>
      <b/>
      <sz val="12"/>
      <color theme="1"/>
      <name val="方正仿宋简体"/>
      <charset val="134"/>
    </font>
    <font>
      <b/>
      <sz val="22"/>
      <color rgb="FF000000"/>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medium">
        <color auto="1"/>
      </left>
      <right style="thin">
        <color auto="1"/>
      </right>
      <top style="thin">
        <color auto="1"/>
      </top>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theme="4" tint="0.399975585192419"/>
      </bottom>
      <diagonal/>
    </border>
    <border>
      <left style="thin">
        <color auto="1"/>
      </left>
      <right style="thin">
        <color auto="1"/>
      </right>
      <top style="medium">
        <color auto="1"/>
      </top>
      <bottom/>
      <diagonal/>
    </border>
    <border>
      <left style="thin">
        <color auto="1"/>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4" borderId="22"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3" applyNumberFormat="0" applyFill="0" applyAlignment="0" applyProtection="0">
      <alignment vertical="center"/>
    </xf>
    <xf numFmtId="0" fontId="48" fillId="0" borderId="23" applyNumberFormat="0" applyFill="0" applyAlignment="0" applyProtection="0">
      <alignment vertical="center"/>
    </xf>
    <xf numFmtId="0" fontId="49" fillId="0" borderId="24" applyNumberFormat="0" applyFill="0" applyAlignment="0" applyProtection="0">
      <alignment vertical="center"/>
    </xf>
    <xf numFmtId="0" fontId="49" fillId="0" borderId="0" applyNumberFormat="0" applyFill="0" applyBorder="0" applyAlignment="0" applyProtection="0">
      <alignment vertical="center"/>
    </xf>
    <xf numFmtId="0" fontId="50" fillId="5" borderId="25" applyNumberFormat="0" applyAlignment="0" applyProtection="0">
      <alignment vertical="center"/>
    </xf>
    <xf numFmtId="0" fontId="51" fillId="6" borderId="26" applyNumberFormat="0" applyAlignment="0" applyProtection="0">
      <alignment vertical="center"/>
    </xf>
    <xf numFmtId="0" fontId="52" fillId="6" borderId="25" applyNumberFormat="0" applyAlignment="0" applyProtection="0">
      <alignment vertical="center"/>
    </xf>
    <xf numFmtId="0" fontId="53" fillId="7" borderId="27" applyNumberFormat="0" applyAlignment="0" applyProtection="0">
      <alignment vertical="center"/>
    </xf>
    <xf numFmtId="0" fontId="54" fillId="0" borderId="28" applyNumberFormat="0" applyFill="0" applyAlignment="0" applyProtection="0">
      <alignment vertical="center"/>
    </xf>
    <xf numFmtId="0" fontId="55" fillId="0" borderId="29" applyNumberFormat="0" applyFill="0" applyAlignment="0" applyProtection="0">
      <alignment vertical="center"/>
    </xf>
    <xf numFmtId="0" fontId="56" fillId="8" borderId="0" applyNumberFormat="0" applyBorder="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0" fillId="13" borderId="0" applyNumberFormat="0" applyBorder="0" applyAlignment="0" applyProtection="0">
      <alignment vertical="center"/>
    </xf>
    <xf numFmtId="0" fontId="59" fillId="14" borderId="0" applyNumberFormat="0" applyBorder="0" applyAlignment="0" applyProtection="0">
      <alignment vertical="center"/>
    </xf>
    <xf numFmtId="0" fontId="59" fillId="15" borderId="0" applyNumberFormat="0" applyBorder="0" applyAlignment="0" applyProtection="0">
      <alignment vertical="center"/>
    </xf>
    <xf numFmtId="0" fontId="60" fillId="16" borderId="0" applyNumberFormat="0" applyBorder="0" applyAlignment="0" applyProtection="0">
      <alignment vertical="center"/>
    </xf>
    <xf numFmtId="0" fontId="60" fillId="17" borderId="0" applyNumberFormat="0" applyBorder="0" applyAlignment="0" applyProtection="0">
      <alignment vertical="center"/>
    </xf>
    <xf numFmtId="0" fontId="59" fillId="18" borderId="0" applyNumberFormat="0" applyBorder="0" applyAlignment="0" applyProtection="0">
      <alignment vertical="center"/>
    </xf>
    <xf numFmtId="0" fontId="59" fillId="19" borderId="0" applyNumberFormat="0" applyBorder="0" applyAlignment="0" applyProtection="0">
      <alignment vertical="center"/>
    </xf>
    <xf numFmtId="0" fontId="60" fillId="20" borderId="0" applyNumberFormat="0" applyBorder="0" applyAlignment="0" applyProtection="0">
      <alignment vertical="center"/>
    </xf>
    <xf numFmtId="0" fontId="60" fillId="21" borderId="0" applyNumberFormat="0" applyBorder="0" applyAlignment="0" applyProtection="0">
      <alignment vertical="center"/>
    </xf>
    <xf numFmtId="0" fontId="59" fillId="22" borderId="0" applyNumberFormat="0" applyBorder="0" applyAlignment="0" applyProtection="0">
      <alignment vertical="center"/>
    </xf>
    <xf numFmtId="0" fontId="59" fillId="23" borderId="0" applyNumberFormat="0" applyBorder="0" applyAlignment="0" applyProtection="0">
      <alignment vertical="center"/>
    </xf>
    <xf numFmtId="0" fontId="60" fillId="24"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0"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60" fillId="32" borderId="0" applyNumberFormat="0" applyBorder="0" applyAlignment="0" applyProtection="0">
      <alignment vertical="center"/>
    </xf>
    <xf numFmtId="0" fontId="60" fillId="33" borderId="0" applyNumberFormat="0" applyBorder="0" applyAlignment="0" applyProtection="0">
      <alignment vertical="center"/>
    </xf>
    <xf numFmtId="0" fontId="59" fillId="34" borderId="0" applyNumberFormat="0" applyBorder="0" applyAlignment="0" applyProtection="0">
      <alignment vertical="center"/>
    </xf>
  </cellStyleXfs>
  <cellXfs count="258">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8" fillId="0" borderId="0" xfId="0" applyFont="1" applyFill="1" applyAlignment="1">
      <alignment vertical="center"/>
    </xf>
    <xf numFmtId="0" fontId="9" fillId="0" borderId="0" xfId="0" applyFont="1">
      <alignment vertical="center"/>
    </xf>
    <xf numFmtId="0" fontId="10" fillId="0" borderId="0" xfId="0" applyFont="1" applyFill="1" applyAlignment="1">
      <alignment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1" fillId="0" borderId="6" xfId="0" applyFont="1" applyBorder="1" applyAlignment="1">
      <alignment horizontal="center" vertical="center" wrapText="1"/>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8" xfId="0" applyFont="1" applyBorder="1" applyAlignment="1">
      <alignment horizontal="center" vertical="center"/>
    </xf>
    <xf numFmtId="0" fontId="13" fillId="0" borderId="9" xfId="0" applyFont="1" applyBorder="1" applyAlignment="1">
      <alignment horizontal="center" vertical="center"/>
    </xf>
    <xf numFmtId="0" fontId="11" fillId="0" borderId="0" xfId="0" applyFont="1" applyFill="1" applyBorder="1" applyAlignment="1">
      <alignment vertical="center"/>
    </xf>
    <xf numFmtId="0" fontId="14" fillId="0" borderId="0" xfId="0" applyFont="1" applyFill="1" applyAlignment="1">
      <alignment vertical="center"/>
    </xf>
    <xf numFmtId="0" fontId="14" fillId="0" borderId="0" xfId="0" applyFont="1" applyFill="1" applyAlignment="1">
      <alignment horizontal="center" vertical="center"/>
    </xf>
    <xf numFmtId="10" fontId="14" fillId="0" borderId="0" xfId="0" applyNumberFormat="1" applyFont="1" applyFill="1" applyAlignment="1">
      <alignment vertical="center"/>
    </xf>
    <xf numFmtId="176" fontId="14" fillId="0" borderId="0" xfId="0" applyNumberFormat="1" applyFont="1" applyFill="1" applyAlignment="1">
      <alignment vertical="center"/>
    </xf>
    <xf numFmtId="0" fontId="9" fillId="0" borderId="0" xfId="0" applyFont="1" applyFill="1" applyAlignment="1">
      <alignment vertical="center"/>
    </xf>
    <xf numFmtId="176" fontId="15" fillId="0" borderId="1" xfId="0" applyNumberFormat="1" applyFont="1" applyFill="1" applyBorder="1" applyAlignment="1">
      <alignment horizontal="center" vertical="center"/>
    </xf>
    <xf numFmtId="176" fontId="15" fillId="0" borderId="2" xfId="0" applyNumberFormat="1" applyFont="1" applyFill="1" applyBorder="1" applyAlignment="1">
      <alignment horizontal="center" vertical="center"/>
    </xf>
    <xf numFmtId="10" fontId="15" fillId="0" borderId="2" xfId="0" applyNumberFormat="1" applyFont="1" applyFill="1" applyBorder="1" applyAlignment="1">
      <alignment horizontal="center" vertical="center"/>
    </xf>
    <xf numFmtId="176" fontId="15" fillId="0" borderId="3" xfId="0" applyNumberFormat="1" applyFont="1" applyFill="1" applyBorder="1" applyAlignment="1">
      <alignment horizontal="center" vertical="center"/>
    </xf>
    <xf numFmtId="0" fontId="15" fillId="0" borderId="4"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5" xfId="0" applyFont="1" applyFill="1" applyBorder="1" applyAlignment="1">
      <alignment horizontal="left" vertical="center" wrapText="1"/>
    </xf>
    <xf numFmtId="10" fontId="15" fillId="0" borderId="5" xfId="0" applyNumberFormat="1" applyFont="1" applyFill="1" applyBorder="1" applyAlignment="1">
      <alignment horizontal="center" vertical="center"/>
    </xf>
    <xf numFmtId="176" fontId="15" fillId="0" borderId="6" xfId="0" applyNumberFormat="1" applyFont="1" applyFill="1" applyBorder="1" applyAlignment="1">
      <alignment horizontal="center" vertical="center"/>
    </xf>
    <xf numFmtId="176" fontId="16" fillId="0" borderId="6" xfId="0" applyNumberFormat="1" applyFont="1" applyFill="1" applyBorder="1" applyAlignment="1">
      <alignment horizontal="center" vertical="center"/>
    </xf>
    <xf numFmtId="0" fontId="15" fillId="0" borderId="5" xfId="0" applyFont="1" applyFill="1" applyBorder="1" applyAlignment="1">
      <alignment horizontal="justify" vertical="center"/>
    </xf>
    <xf numFmtId="0" fontId="15" fillId="0" borderId="7"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8" xfId="0" applyFont="1" applyFill="1" applyBorder="1" applyAlignment="1">
      <alignment horizontal="left" vertical="center" wrapText="1"/>
    </xf>
    <xf numFmtId="10" fontId="15" fillId="0" borderId="8" xfId="0" applyNumberFormat="1" applyFont="1" applyFill="1" applyBorder="1" applyAlignment="1">
      <alignment horizontal="center" vertical="center"/>
    </xf>
    <xf numFmtId="176" fontId="16" fillId="0" borderId="9" xfId="0" applyNumberFormat="1" applyFont="1" applyFill="1" applyBorder="1" applyAlignment="1">
      <alignment horizontal="center" vertical="center"/>
    </xf>
    <xf numFmtId="10" fontId="9" fillId="0" borderId="0" xfId="3" applyNumberFormat="1" applyFont="1" applyFill="1" applyAlignment="1">
      <alignment vertical="center"/>
    </xf>
    <xf numFmtId="0" fontId="17" fillId="0" borderId="0" xfId="0" applyFont="1" applyFill="1" applyBorder="1" applyAlignment="1">
      <alignment vertical="center"/>
    </xf>
    <xf numFmtId="0" fontId="18" fillId="0" borderId="0" xfId="0" applyFont="1" applyFill="1" applyBorder="1" applyAlignment="1">
      <alignment horizontal="center" vertical="center"/>
    </xf>
    <xf numFmtId="176" fontId="15" fillId="0" borderId="0" xfId="0" applyNumberFormat="1" applyFont="1" applyFill="1" applyBorder="1" applyAlignment="1">
      <alignment horizontal="right" vertical="center"/>
    </xf>
    <xf numFmtId="176" fontId="15" fillId="0" borderId="5" xfId="0" applyNumberFormat="1" applyFont="1" applyFill="1" applyBorder="1" applyAlignment="1">
      <alignment horizontal="center" vertical="center"/>
    </xf>
    <xf numFmtId="176" fontId="15" fillId="0" borderId="8" xfId="0" applyNumberFormat="1" applyFont="1" applyFill="1" applyBorder="1" applyAlignment="1">
      <alignment horizontal="center" vertical="center"/>
    </xf>
    <xf numFmtId="0" fontId="14" fillId="0" borderId="10" xfId="0" applyFont="1" applyFill="1" applyBorder="1" applyAlignment="1">
      <alignment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176" fontId="11" fillId="0" borderId="5"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176" fontId="11" fillId="0" borderId="8" xfId="0" applyNumberFormat="1" applyFont="1" applyBorder="1" applyAlignment="1">
      <alignment horizontal="center" vertical="center"/>
    </xf>
    <xf numFmtId="0" fontId="11" fillId="0" borderId="9" xfId="0" applyFont="1" applyBorder="1" applyAlignment="1">
      <alignment horizontal="center" vertical="center"/>
    </xf>
    <xf numFmtId="0" fontId="19" fillId="0" borderId="0" xfId="0" applyFont="1" applyAlignment="1">
      <alignment horizontal="justify" vertical="center"/>
    </xf>
    <xf numFmtId="177" fontId="11" fillId="0" borderId="5" xfId="0" applyNumberFormat="1" applyFont="1" applyBorder="1" applyAlignment="1">
      <alignment horizontal="center" vertical="center"/>
    </xf>
    <xf numFmtId="177" fontId="11" fillId="0" borderId="8" xfId="0" applyNumberFormat="1" applyFont="1" applyBorder="1" applyAlignment="1">
      <alignment horizontal="center" vertical="center"/>
    </xf>
    <xf numFmtId="0" fontId="15" fillId="0" borderId="11" xfId="0" applyFont="1" applyFill="1" applyBorder="1" applyAlignment="1">
      <alignment horizontal="center" vertical="center" wrapText="1"/>
    </xf>
    <xf numFmtId="0" fontId="9" fillId="0" borderId="10" xfId="0" applyFont="1" applyBorder="1">
      <alignment vertical="center"/>
    </xf>
    <xf numFmtId="176" fontId="16" fillId="0" borderId="5" xfId="0" applyNumberFormat="1" applyFont="1" applyFill="1" applyBorder="1" applyAlignment="1">
      <alignment horizontal="center" vertical="center"/>
    </xf>
    <xf numFmtId="0" fontId="20" fillId="0" borderId="0" xfId="0" applyFont="1" applyFill="1" applyBorder="1" applyAlignment="1">
      <alignment horizontal="center" vertical="center"/>
    </xf>
    <xf numFmtId="0" fontId="4" fillId="0" borderId="0" xfId="0" applyFont="1" applyFill="1" applyBorder="1" applyAlignment="1">
      <alignment vertical="center"/>
    </xf>
    <xf numFmtId="0" fontId="21" fillId="0" borderId="0" xfId="0" applyFont="1" applyFill="1" applyAlignment="1">
      <alignment horizontal="center" vertical="center"/>
    </xf>
    <xf numFmtId="0" fontId="22" fillId="0" borderId="0" xfId="0" applyFont="1" applyFill="1" applyAlignment="1">
      <alignment horizontal="center" vertical="center"/>
    </xf>
    <xf numFmtId="176" fontId="22" fillId="0" borderId="0" xfId="0" applyNumberFormat="1" applyFont="1" applyFill="1" applyAlignment="1">
      <alignment horizontal="center" vertical="center"/>
    </xf>
    <xf numFmtId="0" fontId="0" fillId="0" borderId="0" xfId="0" applyFont="1" applyAlignment="1">
      <alignment horizontal="center" vertical="center"/>
    </xf>
    <xf numFmtId="0" fontId="23" fillId="0" borderId="0" xfId="0" applyFont="1" applyFill="1" applyAlignment="1">
      <alignment vertical="center"/>
    </xf>
    <xf numFmtId="0" fontId="24" fillId="0" borderId="0" xfId="0" applyFont="1" applyFill="1" applyBorder="1" applyAlignment="1">
      <alignment vertical="center"/>
    </xf>
    <xf numFmtId="0" fontId="24" fillId="0" borderId="0" xfId="0" applyFont="1" applyFill="1" applyAlignment="1">
      <alignment vertical="center"/>
    </xf>
    <xf numFmtId="176" fontId="23" fillId="0" borderId="0" xfId="0" applyNumberFormat="1" applyFont="1" applyFill="1" applyAlignment="1">
      <alignment vertical="center"/>
    </xf>
    <xf numFmtId="176" fontId="21" fillId="0" borderId="0" xfId="0" applyNumberFormat="1" applyFont="1" applyFill="1" applyAlignment="1">
      <alignment horizontal="right" vertical="center"/>
    </xf>
    <xf numFmtId="0" fontId="21" fillId="0" borderId="12" xfId="0" applyFont="1" applyFill="1" applyBorder="1" applyAlignment="1">
      <alignment horizontal="center" vertical="center" wrapText="1"/>
    </xf>
    <xf numFmtId="176" fontId="21" fillId="0" borderId="2" xfId="0" applyNumberFormat="1" applyFont="1" applyFill="1" applyBorder="1" applyAlignment="1">
      <alignment horizontal="center" vertical="center"/>
    </xf>
    <xf numFmtId="0" fontId="21" fillId="0" borderId="13" xfId="0" applyFont="1" applyFill="1" applyBorder="1" applyAlignment="1">
      <alignment horizontal="center" vertical="center" wrapText="1"/>
    </xf>
    <xf numFmtId="176" fontId="21" fillId="0" borderId="5" xfId="0" applyNumberFormat="1" applyFont="1" applyFill="1" applyBorder="1" applyAlignment="1">
      <alignment horizontal="center" vertical="center"/>
    </xf>
    <xf numFmtId="0" fontId="21" fillId="0" borderId="4" xfId="0" applyFont="1" applyFill="1" applyBorder="1" applyAlignment="1">
      <alignment horizontal="center" vertical="center" wrapText="1"/>
    </xf>
    <xf numFmtId="176" fontId="25" fillId="0" borderId="5" xfId="0" applyNumberFormat="1" applyFont="1" applyFill="1" applyBorder="1" applyAlignment="1">
      <alignment horizontal="center" vertical="center"/>
    </xf>
    <xf numFmtId="0" fontId="21" fillId="0" borderId="5" xfId="0" applyFont="1" applyFill="1" applyBorder="1" applyAlignment="1">
      <alignment horizontal="center" vertical="center"/>
    </xf>
    <xf numFmtId="0" fontId="25" fillId="0" borderId="5" xfId="0" applyFont="1" applyFill="1" applyBorder="1" applyAlignment="1">
      <alignment horizontal="center" vertical="center"/>
    </xf>
    <xf numFmtId="0" fontId="26" fillId="0" borderId="4" xfId="0" applyFont="1" applyFill="1" applyBorder="1" applyAlignment="1">
      <alignment horizontal="center" vertical="center" wrapText="1"/>
    </xf>
    <xf numFmtId="0" fontId="2" fillId="0" borderId="4" xfId="0" applyFont="1" applyFill="1" applyBorder="1" applyAlignment="1">
      <alignment horizontal="center" vertical="center"/>
    </xf>
    <xf numFmtId="0" fontId="27" fillId="0" borderId="5" xfId="0" applyFont="1" applyFill="1" applyBorder="1" applyAlignment="1">
      <alignment horizontal="center" vertical="center"/>
    </xf>
    <xf numFmtId="0" fontId="2" fillId="0" borderId="7" xfId="0" applyFont="1" applyFill="1" applyBorder="1" applyAlignment="1">
      <alignment horizontal="center" vertical="center"/>
    </xf>
    <xf numFmtId="176" fontId="21" fillId="0" borderId="8" xfId="0" applyNumberFormat="1" applyFont="1" applyFill="1" applyBorder="1" applyAlignment="1">
      <alignment horizontal="center" vertical="center"/>
    </xf>
    <xf numFmtId="0" fontId="22" fillId="0" borderId="0" xfId="0" applyFont="1" applyFill="1" applyAlignment="1">
      <alignment horizontal="left" vertical="center" wrapText="1"/>
    </xf>
    <xf numFmtId="176" fontId="21" fillId="0" borderId="3" xfId="0" applyNumberFormat="1" applyFont="1" applyFill="1" applyBorder="1" applyAlignment="1">
      <alignment horizontal="center" vertical="center"/>
    </xf>
    <xf numFmtId="176" fontId="21" fillId="0" borderId="6" xfId="0" applyNumberFormat="1" applyFont="1" applyFill="1" applyBorder="1" applyAlignment="1">
      <alignment horizontal="center" vertical="center"/>
    </xf>
    <xf numFmtId="0" fontId="25" fillId="0" borderId="6" xfId="0" applyFont="1" applyFill="1" applyBorder="1" applyAlignment="1">
      <alignment horizontal="center" vertical="center"/>
    </xf>
    <xf numFmtId="0" fontId="28" fillId="0" borderId="6" xfId="0" applyFont="1" applyFill="1" applyBorder="1" applyAlignment="1">
      <alignment horizontal="center" vertical="center"/>
    </xf>
    <xf numFmtId="0" fontId="21" fillId="2" borderId="6" xfId="0" applyFont="1" applyFill="1" applyBorder="1" applyAlignment="1">
      <alignment horizontal="center" vertical="center"/>
    </xf>
    <xf numFmtId="176" fontId="28" fillId="0" borderId="6" xfId="0" applyNumberFormat="1" applyFont="1" applyFill="1" applyBorder="1" applyAlignment="1">
      <alignment horizontal="center" vertical="center"/>
    </xf>
    <xf numFmtId="0" fontId="29" fillId="0" borderId="5" xfId="0" applyFont="1" applyFill="1" applyBorder="1" applyAlignment="1">
      <alignment horizontal="center" vertical="center"/>
    </xf>
    <xf numFmtId="176" fontId="26" fillId="0" borderId="5" xfId="0" applyNumberFormat="1" applyFont="1" applyFill="1" applyBorder="1" applyAlignment="1">
      <alignment horizontal="center" vertical="center"/>
    </xf>
    <xf numFmtId="176" fontId="26" fillId="0" borderId="6" xfId="0" applyNumberFormat="1" applyFont="1" applyFill="1" applyBorder="1" applyAlignment="1">
      <alignment horizontal="center" vertical="center"/>
    </xf>
    <xf numFmtId="0" fontId="30" fillId="0" borderId="6" xfId="0" applyFont="1" applyFill="1" applyBorder="1" applyAlignment="1">
      <alignment horizontal="center" vertical="center"/>
    </xf>
    <xf numFmtId="0" fontId="2" fillId="0" borderId="5" xfId="0" applyFont="1" applyFill="1" applyBorder="1" applyAlignment="1">
      <alignment horizontal="center" vertical="center"/>
    </xf>
    <xf numFmtId="0" fontId="31" fillId="0" borderId="6" xfId="0" applyFont="1" applyFill="1" applyBorder="1" applyAlignment="1">
      <alignment horizontal="center" vertical="center"/>
    </xf>
    <xf numFmtId="0" fontId="27" fillId="0" borderId="6" xfId="0" applyFont="1" applyFill="1" applyBorder="1" applyAlignment="1">
      <alignment horizontal="center" vertical="center"/>
    </xf>
    <xf numFmtId="0" fontId="27" fillId="0" borderId="8" xfId="0" applyFont="1" applyFill="1" applyBorder="1" applyAlignment="1">
      <alignment horizontal="center" vertical="center"/>
    </xf>
    <xf numFmtId="0" fontId="30" fillId="0" borderId="9" xfId="0" applyFont="1" applyFill="1" applyBorder="1" applyAlignment="1">
      <alignment horizontal="center" vertical="center"/>
    </xf>
    <xf numFmtId="43" fontId="21" fillId="0" borderId="0" xfId="0" applyNumberFormat="1" applyFont="1" applyFill="1" applyAlignment="1">
      <alignment horizontal="center" vertical="center"/>
    </xf>
    <xf numFmtId="0" fontId="24" fillId="0" borderId="0" xfId="0" applyFont="1" applyFill="1" applyBorder="1" applyAlignment="1">
      <alignment horizontal="center" vertical="center"/>
    </xf>
    <xf numFmtId="0" fontId="15" fillId="0" borderId="0" xfId="0" applyFont="1" applyFill="1" applyAlignment="1">
      <alignment horizontal="center" vertical="center"/>
    </xf>
    <xf numFmtId="0" fontId="3" fillId="0" borderId="0" xfId="0" applyFont="1" applyFill="1" applyAlignment="1">
      <alignment horizontal="center" vertical="center"/>
    </xf>
    <xf numFmtId="176" fontId="15" fillId="0" borderId="0" xfId="0" applyNumberFormat="1" applyFont="1" applyFill="1" applyAlignment="1">
      <alignment horizontal="right" vertical="center"/>
    </xf>
    <xf numFmtId="178" fontId="15" fillId="0" borderId="5" xfId="0" applyNumberFormat="1" applyFont="1" applyFill="1" applyBorder="1" applyAlignment="1">
      <alignment horizontal="center" vertical="center"/>
    </xf>
    <xf numFmtId="178" fontId="11" fillId="0" borderId="5" xfId="0" applyNumberFormat="1" applyFont="1" applyFill="1" applyBorder="1" applyAlignment="1">
      <alignment horizontal="center" vertical="center"/>
    </xf>
    <xf numFmtId="178" fontId="17" fillId="0" borderId="5" xfId="0" applyNumberFormat="1" applyFont="1" applyFill="1" applyBorder="1" applyAlignment="1">
      <alignment horizontal="center" vertical="center"/>
    </xf>
    <xf numFmtId="178" fontId="11" fillId="0" borderId="8" xfId="0" applyNumberFormat="1" applyFont="1" applyFill="1" applyBorder="1" applyAlignment="1">
      <alignment horizontal="center" vertical="center"/>
    </xf>
    <xf numFmtId="0" fontId="23" fillId="0" borderId="0" xfId="0" applyFont="1" applyFill="1" applyAlignment="1">
      <alignment horizontal="left" vertical="center" wrapText="1"/>
    </xf>
    <xf numFmtId="0" fontId="15" fillId="0" borderId="0" xfId="0" applyFont="1" applyFill="1" applyAlignment="1">
      <alignment vertical="center"/>
    </xf>
    <xf numFmtId="0" fontId="23" fillId="0" borderId="0" xfId="0" applyFont="1" applyFill="1" applyAlignment="1">
      <alignment horizontal="center" vertical="center"/>
    </xf>
    <xf numFmtId="177" fontId="23" fillId="0" borderId="0" xfId="0" applyNumberFormat="1" applyFont="1" applyFill="1" applyAlignment="1">
      <alignment horizontal="center" vertical="center"/>
    </xf>
    <xf numFmtId="0" fontId="23" fillId="0" borderId="0" xfId="0" applyFont="1" applyFill="1">
      <alignment vertical="center"/>
    </xf>
    <xf numFmtId="0" fontId="24" fillId="0" borderId="0" xfId="0" applyFont="1" applyFill="1" applyAlignment="1">
      <alignment horizontal="center" vertical="center"/>
    </xf>
    <xf numFmtId="177" fontId="24" fillId="0" borderId="0" xfId="0" applyNumberFormat="1" applyFont="1" applyFill="1" applyAlignment="1">
      <alignment horizontal="center" vertical="center"/>
    </xf>
    <xf numFmtId="177" fontId="3" fillId="0" borderId="0" xfId="0" applyNumberFormat="1" applyFont="1" applyAlignment="1">
      <alignment horizontal="center" vertical="center"/>
    </xf>
    <xf numFmtId="0" fontId="20" fillId="0" borderId="5" xfId="0" applyFont="1" applyFill="1" applyBorder="1" applyAlignment="1">
      <alignment horizontal="center" vertical="center" wrapText="1"/>
    </xf>
    <xf numFmtId="0" fontId="20" fillId="0" borderId="14" xfId="0" applyFont="1" applyFill="1" applyBorder="1" applyAlignment="1">
      <alignment horizontal="center" vertical="center" wrapText="1"/>
    </xf>
    <xf numFmtId="177" fontId="20" fillId="0" borderId="14" xfId="0" applyNumberFormat="1" applyFont="1" applyFill="1" applyBorder="1" applyAlignment="1">
      <alignment horizontal="center" vertical="center" wrapText="1"/>
    </xf>
    <xf numFmtId="176" fontId="20" fillId="0" borderId="5" xfId="0" applyNumberFormat="1" applyFont="1" applyFill="1" applyBorder="1" applyAlignment="1">
      <alignment horizontal="center" vertical="center"/>
    </xf>
    <xf numFmtId="0" fontId="20" fillId="0" borderId="15" xfId="0" applyFont="1" applyFill="1" applyBorder="1" applyAlignment="1">
      <alignment horizontal="center" vertical="center" wrapText="1"/>
    </xf>
    <xf numFmtId="177" fontId="20" fillId="0" borderId="16" xfId="0" applyNumberFormat="1" applyFont="1" applyFill="1" applyBorder="1" applyAlignment="1">
      <alignment horizontal="center" vertical="center" wrapText="1"/>
    </xf>
    <xf numFmtId="177" fontId="20" fillId="0" borderId="15" xfId="0" applyNumberFormat="1" applyFont="1" applyFill="1" applyBorder="1" applyAlignment="1">
      <alignment horizontal="center" vertical="center" wrapText="1"/>
    </xf>
    <xf numFmtId="0" fontId="20" fillId="0" borderId="16" xfId="0" applyFont="1" applyFill="1" applyBorder="1" applyAlignment="1">
      <alignment horizontal="center" vertical="center" wrapText="1"/>
    </xf>
    <xf numFmtId="177" fontId="20" fillId="0" borderId="5" xfId="0" applyNumberFormat="1" applyFont="1" applyFill="1" applyBorder="1" applyAlignment="1">
      <alignment horizontal="center" vertical="center" wrapText="1"/>
    </xf>
    <xf numFmtId="0" fontId="32" fillId="0" borderId="0" xfId="0" applyFont="1" applyFill="1" applyAlignment="1">
      <alignment vertical="center"/>
    </xf>
    <xf numFmtId="0" fontId="32" fillId="0" borderId="0" xfId="0" applyFont="1" applyFill="1" applyAlignment="1">
      <alignment horizontal="center" vertical="center"/>
    </xf>
    <xf numFmtId="176" fontId="32" fillId="0" borderId="0" xfId="0" applyNumberFormat="1" applyFont="1" applyFill="1" applyAlignment="1">
      <alignment vertical="center"/>
    </xf>
    <xf numFmtId="0" fontId="0" fillId="0" borderId="0" xfId="0" applyFill="1" applyAlignment="1">
      <alignment vertical="center"/>
    </xf>
    <xf numFmtId="0" fontId="6" fillId="0" borderId="0" xfId="0" applyFont="1" applyFill="1" applyBorder="1" applyAlignment="1">
      <alignment vertical="center"/>
    </xf>
    <xf numFmtId="0" fontId="33" fillId="0" borderId="0" xfId="0" applyFont="1" applyFill="1" applyBorder="1" applyAlignment="1">
      <alignment horizontal="center" vertical="center"/>
    </xf>
    <xf numFmtId="176" fontId="33" fillId="0" borderId="0" xfId="0" applyNumberFormat="1" applyFont="1" applyFill="1" applyBorder="1" applyAlignment="1">
      <alignment horizontal="center" vertical="center"/>
    </xf>
    <xf numFmtId="176" fontId="6" fillId="0" borderId="0" xfId="0" applyNumberFormat="1" applyFont="1" applyFill="1" applyBorder="1" applyAlignment="1">
      <alignment vertical="center"/>
    </xf>
    <xf numFmtId="176" fontId="21" fillId="0" borderId="0" xfId="0" applyNumberFormat="1" applyFont="1" applyFill="1" applyBorder="1" applyAlignment="1">
      <alignment horizontal="right" vertical="center"/>
    </xf>
    <xf numFmtId="176" fontId="21" fillId="0" borderId="1"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0" fontId="21" fillId="0" borderId="5" xfId="0" applyFont="1" applyFill="1" applyBorder="1" applyAlignment="1">
      <alignment horizontal="left" vertical="center" wrapText="1"/>
    </xf>
    <xf numFmtId="0" fontId="0" fillId="0" borderId="17" xfId="0" applyBorder="1">
      <alignment vertical="center"/>
    </xf>
    <xf numFmtId="0" fontId="21" fillId="0" borderId="5" xfId="0" applyFont="1" applyFill="1" applyBorder="1" applyAlignment="1">
      <alignment horizontal="justify" vertical="center"/>
    </xf>
    <xf numFmtId="176" fontId="21" fillId="0" borderId="5" xfId="0" applyNumberFormat="1" applyFont="1" applyFill="1" applyBorder="1" applyAlignment="1">
      <alignment horizontal="left" vertical="center" wrapText="1"/>
    </xf>
    <xf numFmtId="176" fontId="26" fillId="0" borderId="5" xfId="0" applyNumberFormat="1" applyFont="1" applyFill="1" applyBorder="1" applyAlignment="1">
      <alignment horizontal="left" vertical="center" wrapText="1"/>
    </xf>
    <xf numFmtId="176" fontId="0" fillId="0" borderId="5" xfId="0" applyNumberFormat="1" applyBorder="1" applyAlignment="1">
      <alignment horizontal="left" vertical="center"/>
    </xf>
    <xf numFmtId="176" fontId="0" fillId="0" borderId="5" xfId="0" applyNumberFormat="1" applyBorder="1">
      <alignment vertical="center"/>
    </xf>
    <xf numFmtId="176" fontId="21" fillId="0" borderId="5" xfId="0" applyNumberFormat="1" applyFont="1" applyFill="1" applyBorder="1" applyAlignment="1">
      <alignment horizontal="justify" vertical="center"/>
    </xf>
    <xf numFmtId="176" fontId="0" fillId="0" borderId="17" xfId="0" applyNumberFormat="1" applyBorder="1">
      <alignment vertical="center"/>
    </xf>
    <xf numFmtId="176" fontId="0" fillId="0" borderId="17" xfId="0" applyNumberFormat="1" applyBorder="1" applyAlignment="1">
      <alignment horizontal="left" vertical="center"/>
    </xf>
    <xf numFmtId="0" fontId="32" fillId="0" borderId="0" xfId="0" applyFont="1" applyFill="1" applyAlignment="1">
      <alignment horizontal="left" vertical="center"/>
    </xf>
    <xf numFmtId="0" fontId="32" fillId="0" borderId="0" xfId="0" applyNumberFormat="1" applyFont="1" applyFill="1" applyAlignment="1">
      <alignment horizontal="center" vertical="center"/>
    </xf>
    <xf numFmtId="0" fontId="2" fillId="0" borderId="0" xfId="0" applyFont="1" applyFill="1" applyAlignment="1">
      <alignment horizontal="left" vertical="center"/>
    </xf>
    <xf numFmtId="0" fontId="2" fillId="0" borderId="0" xfId="0" applyNumberFormat="1" applyFont="1" applyFill="1" applyAlignment="1">
      <alignment horizontal="center" vertical="center"/>
    </xf>
    <xf numFmtId="0" fontId="3" fillId="0" borderId="0" xfId="0" applyFont="1" applyAlignment="1">
      <alignment horizontal="left" vertical="center"/>
    </xf>
    <xf numFmtId="0" fontId="3" fillId="0" borderId="0" xfId="0" applyNumberFormat="1" applyFont="1" applyAlignment="1">
      <alignment horizontal="center" vertical="center"/>
    </xf>
    <xf numFmtId="0" fontId="33" fillId="0" borderId="0" xfId="0" applyFont="1" applyFill="1" applyBorder="1" applyAlignment="1">
      <alignment horizontal="left" vertical="center"/>
    </xf>
    <xf numFmtId="0" fontId="33" fillId="0" borderId="0" xfId="0" applyNumberFormat="1" applyFont="1" applyFill="1" applyBorder="1" applyAlignment="1">
      <alignment horizontal="center" vertical="center"/>
    </xf>
    <xf numFmtId="176" fontId="21" fillId="0" borderId="2" xfId="0" applyNumberFormat="1" applyFont="1" applyFill="1" applyBorder="1" applyAlignment="1">
      <alignment horizontal="left" vertical="center"/>
    </xf>
    <xf numFmtId="0" fontId="21" fillId="0" borderId="2" xfId="0" applyNumberFormat="1" applyFont="1" applyFill="1" applyBorder="1" applyAlignment="1">
      <alignment horizontal="center" vertical="center"/>
    </xf>
    <xf numFmtId="176" fontId="21" fillId="0" borderId="5" xfId="0" applyNumberFormat="1" applyFont="1" applyFill="1" applyBorder="1" applyAlignment="1">
      <alignment horizontal="left" vertical="center"/>
    </xf>
    <xf numFmtId="0" fontId="21" fillId="0" borderId="5"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34" fillId="0" borderId="0" xfId="0" applyFont="1" applyFill="1" applyBorder="1" applyAlignment="1">
      <alignment horizontal="center" vertical="center"/>
    </xf>
    <xf numFmtId="176" fontId="34" fillId="0" borderId="0" xfId="0" applyNumberFormat="1" applyFont="1" applyFill="1" applyBorder="1" applyAlignment="1">
      <alignment horizontal="center" vertical="center"/>
    </xf>
    <xf numFmtId="0" fontId="35" fillId="0" borderId="0" xfId="0" applyFont="1" applyAlignment="1">
      <alignment horizontal="center" vertical="center"/>
    </xf>
    <xf numFmtId="0" fontId="0" fillId="0" borderId="0" xfId="0" applyAlignment="1">
      <alignment horizontal="center" vertical="center"/>
    </xf>
    <xf numFmtId="0" fontId="11" fillId="0" borderId="18" xfId="0" applyFont="1" applyBorder="1" applyAlignment="1">
      <alignment horizontal="center" vertical="center"/>
    </xf>
    <xf numFmtId="0" fontId="17" fillId="0" borderId="5" xfId="0" applyFont="1" applyBorder="1" applyAlignment="1">
      <alignment horizontal="center" vertical="center"/>
    </xf>
    <xf numFmtId="177" fontId="17" fillId="0" borderId="5" xfId="0" applyNumberFormat="1" applyFont="1" applyBorder="1" applyAlignment="1">
      <alignment horizontal="center" vertical="center"/>
    </xf>
    <xf numFmtId="0" fontId="9" fillId="0" borderId="0" xfId="0" applyFont="1" applyAlignment="1">
      <alignment horizontal="center" vertical="center"/>
    </xf>
    <xf numFmtId="0" fontId="14" fillId="0" borderId="0" xfId="0" applyFont="1">
      <alignment vertical="center"/>
    </xf>
    <xf numFmtId="0" fontId="36" fillId="0" borderId="0" xfId="0" applyFont="1">
      <alignment vertical="center"/>
    </xf>
    <xf numFmtId="0" fontId="9" fillId="0" borderId="0" xfId="0" applyFont="1" applyFill="1">
      <alignment vertical="center"/>
    </xf>
    <xf numFmtId="0" fontId="37" fillId="0" borderId="0" xfId="0" applyFont="1" applyFill="1">
      <alignment vertical="center"/>
    </xf>
    <xf numFmtId="0" fontId="38" fillId="0" borderId="0" xfId="0" applyFont="1" applyAlignment="1">
      <alignment horizontal="justify" vertical="center"/>
    </xf>
    <xf numFmtId="0" fontId="17" fillId="3" borderId="12"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15"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 xfId="0" applyFont="1" applyFill="1" applyBorder="1" applyAlignment="1">
      <alignment horizontal="center" vertical="center" wrapText="1"/>
    </xf>
    <xf numFmtId="0" fontId="17" fillId="3" borderId="5" xfId="0" applyFont="1" applyFill="1" applyBorder="1" applyAlignment="1">
      <alignment horizontal="left"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left" vertical="center" wrapText="1"/>
    </xf>
    <xf numFmtId="0" fontId="17" fillId="3" borderId="5" xfId="0" applyFont="1" applyFill="1" applyBorder="1" applyAlignment="1">
      <alignment horizontal="justify" vertical="center" wrapText="1"/>
    </xf>
    <xf numFmtId="0" fontId="17" fillId="0" borderId="4" xfId="0" applyFont="1" applyFill="1" applyBorder="1" applyAlignment="1">
      <alignment horizontal="center" vertical="center" wrapText="1"/>
    </xf>
    <xf numFmtId="0" fontId="17" fillId="0" borderId="5" xfId="0" applyFont="1" applyFill="1" applyBorder="1" applyAlignment="1">
      <alignment horizontal="justify" vertical="center" wrapText="1"/>
    </xf>
    <xf numFmtId="0" fontId="17" fillId="0" borderId="5" xfId="0" applyFont="1" applyFill="1" applyBorder="1" applyAlignment="1">
      <alignment horizontal="center" vertical="center" wrapText="1"/>
    </xf>
    <xf numFmtId="0" fontId="17" fillId="0" borderId="6" xfId="0" applyFont="1" applyFill="1" applyBorder="1" applyAlignment="1">
      <alignment horizontal="left" vertical="center" wrapText="1"/>
    </xf>
    <xf numFmtId="0" fontId="39" fillId="0" borderId="4" xfId="0" applyFont="1" applyFill="1" applyBorder="1" applyAlignment="1">
      <alignment horizontal="center" vertical="center" wrapText="1"/>
    </xf>
    <xf numFmtId="0" fontId="17" fillId="3" borderId="5" xfId="0" applyFont="1" applyFill="1" applyBorder="1" applyAlignment="1">
      <alignment horizontal="center" vertical="center"/>
    </xf>
    <xf numFmtId="0" fontId="17" fillId="3" borderId="7" xfId="0" applyFont="1" applyFill="1" applyBorder="1" applyAlignment="1">
      <alignment horizontal="center" vertical="center" wrapText="1"/>
    </xf>
    <xf numFmtId="0" fontId="17" fillId="3" borderId="8" xfId="0" applyFont="1" applyFill="1" applyBorder="1" applyAlignment="1">
      <alignment horizontal="justify" vertical="center" wrapText="1"/>
    </xf>
    <xf numFmtId="0" fontId="17" fillId="3" borderId="8" xfId="0" applyFont="1" applyFill="1" applyBorder="1" applyAlignment="1">
      <alignment horizontal="center" vertical="center"/>
    </xf>
    <xf numFmtId="0" fontId="17" fillId="3" borderId="8" xfId="0" applyFont="1" applyFill="1" applyBorder="1" applyAlignment="1">
      <alignment horizontal="center" vertical="center" wrapText="1"/>
    </xf>
    <xf numFmtId="0" fontId="17" fillId="3" borderId="9"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left" vertical="center"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center" vertical="center"/>
    </xf>
    <xf numFmtId="0" fontId="17" fillId="3" borderId="6" xfId="0" applyFont="1" applyFill="1" applyBorder="1" applyAlignment="1">
      <alignment horizontal="left" vertical="center"/>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center"/>
    </xf>
    <xf numFmtId="0" fontId="40" fillId="0" borderId="0" xfId="0" applyFont="1" applyAlignment="1">
      <alignment horizontal="justify" vertical="center" indent="2"/>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1" fillId="0" borderId="0" xfId="0" applyFont="1">
      <alignment vertical="center"/>
    </xf>
    <xf numFmtId="0" fontId="11" fillId="0" borderId="11"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23" fillId="0" borderId="0" xfId="0" applyFont="1" applyAlignment="1">
      <alignment horizontal="left" vertical="center" wrapText="1"/>
    </xf>
    <xf numFmtId="0" fontId="11" fillId="0" borderId="21" xfId="0" applyFont="1" applyBorder="1" applyAlignment="1">
      <alignment horizontal="center" vertical="center" wrapText="1"/>
    </xf>
    <xf numFmtId="0" fontId="41"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6" xfId="0" applyFont="1" applyFill="1" applyBorder="1" applyAlignment="1">
      <alignment horizontal="center" vertical="center"/>
    </xf>
    <xf numFmtId="0" fontId="24" fillId="0" borderId="7" xfId="0" applyFont="1" applyFill="1" applyBorder="1" applyAlignment="1">
      <alignment horizontal="center" vertical="center"/>
    </xf>
    <xf numFmtId="0" fontId="24" fillId="0" borderId="9"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92D05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www.wps.cn/officeDocument/2023/relationships/customStorage" Target="customStorage/customStorage.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customXml" Target="../customXml/item4.xml"/><Relationship Id="rId26" Type="http://schemas.openxmlformats.org/officeDocument/2006/relationships/customXml" Target="../customXml/item3.xml"/><Relationship Id="rId25" Type="http://schemas.openxmlformats.org/officeDocument/2006/relationships/customXml" Target="../customXml/item2.xml"/><Relationship Id="rId24" Type="http://schemas.openxmlformats.org/officeDocument/2006/relationships/customXml" Target="../customXml/item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22"/>
  <sheetViews>
    <sheetView zoomScale="130" zoomScaleNormal="130" workbookViewId="0">
      <selection activeCell="B1" sqref="A1:B21"/>
    </sheetView>
  </sheetViews>
  <sheetFormatPr defaultColWidth="9" defaultRowHeight="13.5" outlineLevelCol="1"/>
  <cols>
    <col min="1" max="1" width="13.4583333333333" style="2" customWidth="1"/>
    <col min="2" max="2" width="56.825" style="2" customWidth="1"/>
    <col min="3" max="16384" width="9" style="2"/>
  </cols>
  <sheetData>
    <row r="1" ht="20.25" spans="1:2">
      <c r="A1" s="1" t="s">
        <v>0</v>
      </c>
      <c r="B1" s="18"/>
    </row>
    <row r="2" ht="20.25" spans="1:2">
      <c r="A2" s="20"/>
      <c r="B2" s="18"/>
    </row>
    <row r="3" ht="30" spans="1:2">
      <c r="A3" s="251" t="s">
        <v>1</v>
      </c>
      <c r="B3" s="251"/>
    </row>
    <row r="4" ht="15" customHeight="1" spans="1:2">
      <c r="A4" s="252" t="s">
        <v>2</v>
      </c>
      <c r="B4" s="253" t="s">
        <v>3</v>
      </c>
    </row>
    <row r="5" ht="15" customHeight="1" spans="1:2">
      <c r="A5" s="254">
        <v>1</v>
      </c>
      <c r="B5" s="255" t="s">
        <v>4</v>
      </c>
    </row>
    <row r="6" ht="15" customHeight="1" spans="1:2">
      <c r="A6" s="254">
        <v>2</v>
      </c>
      <c r="B6" s="255" t="s">
        <v>5</v>
      </c>
    </row>
    <row r="7" ht="15" customHeight="1" spans="1:2">
      <c r="A7" s="254">
        <v>3</v>
      </c>
      <c r="B7" s="255" t="s">
        <v>6</v>
      </c>
    </row>
    <row r="8" ht="15" customHeight="1" spans="1:2">
      <c r="A8" s="254">
        <v>4</v>
      </c>
      <c r="B8" s="255" t="s">
        <v>7</v>
      </c>
    </row>
    <row r="9" ht="15" customHeight="1" spans="1:2">
      <c r="A9" s="254">
        <v>5</v>
      </c>
      <c r="B9" s="255" t="s">
        <v>8</v>
      </c>
    </row>
    <row r="10" ht="15" customHeight="1" spans="1:2">
      <c r="A10" s="254">
        <v>6</v>
      </c>
      <c r="B10" s="255" t="s">
        <v>9</v>
      </c>
    </row>
    <row r="11" ht="15" customHeight="1" spans="1:2">
      <c r="A11" s="254">
        <v>7</v>
      </c>
      <c r="B11" s="255" t="s">
        <v>10</v>
      </c>
    </row>
    <row r="12" ht="15" customHeight="1" spans="1:2">
      <c r="A12" s="254">
        <v>8</v>
      </c>
      <c r="B12" s="255" t="s">
        <v>11</v>
      </c>
    </row>
    <row r="13" ht="15" customHeight="1" spans="1:2">
      <c r="A13" s="254">
        <v>9</v>
      </c>
      <c r="B13" s="255" t="s">
        <v>12</v>
      </c>
    </row>
    <row r="14" ht="15" customHeight="1" spans="1:2">
      <c r="A14" s="254">
        <v>10</v>
      </c>
      <c r="B14" s="255" t="s">
        <v>13</v>
      </c>
    </row>
    <row r="15" ht="15" customHeight="1" spans="1:2">
      <c r="A15" s="254">
        <v>11</v>
      </c>
      <c r="B15" s="255" t="s">
        <v>14</v>
      </c>
    </row>
    <row r="16" ht="15" customHeight="1" spans="1:2">
      <c r="A16" s="254">
        <v>12</v>
      </c>
      <c r="B16" s="255" t="s">
        <v>15</v>
      </c>
    </row>
    <row r="17" ht="15" customHeight="1" spans="1:2">
      <c r="A17" s="254">
        <v>13</v>
      </c>
      <c r="B17" s="255" t="s">
        <v>16</v>
      </c>
    </row>
    <row r="18" ht="15" customHeight="1" spans="1:2">
      <c r="A18" s="254">
        <v>14</v>
      </c>
      <c r="B18" s="255" t="s">
        <v>17</v>
      </c>
    </row>
    <row r="19" ht="15" customHeight="1" spans="1:2">
      <c r="A19" s="254">
        <v>15</v>
      </c>
      <c r="B19" s="255" t="s">
        <v>18</v>
      </c>
    </row>
    <row r="20" ht="15" customHeight="1" spans="1:2">
      <c r="A20" s="254">
        <v>16</v>
      </c>
      <c r="B20" s="255" t="s">
        <v>19</v>
      </c>
    </row>
    <row r="21" ht="15" customHeight="1" spans="1:2">
      <c r="A21" s="256">
        <v>17</v>
      </c>
      <c r="B21" s="257" t="s">
        <v>20</v>
      </c>
    </row>
    <row r="22" spans="1:2">
      <c r="A22" s="18"/>
      <c r="B22" s="18"/>
    </row>
  </sheetData>
  <sheetProtection formatCells="0" formatColumns="0" formatRows="0" insertRows="0" insertColumns="0" insertHyperlinks="0" deleteColumns="0" deleteRows="0" sort="0" autoFilter="0" pivotTables="0"/>
  <mergeCells count="1">
    <mergeCell ref="A3:B3"/>
  </mergeCells>
  <pageMargins left="1.10208333333333" right="1.02361111111111" top="1.45625" bottom="1.37777777777778" header="0.5" footer="0.984027777777778"/>
  <pageSetup paperSize="9" fitToHeight="0" orientation="portrait" horizontalDpi="600"/>
  <headerFooter differentOddEven="1">
    <oddFooter>&amp;L&amp;14&amp;B— 12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43"/>
  <sheetViews>
    <sheetView zoomScale="145" zoomScaleNormal="145" topLeftCell="A13" workbookViewId="0">
      <selection activeCell="A1" sqref="A1:C41"/>
    </sheetView>
  </sheetViews>
  <sheetFormatPr defaultColWidth="33.7583333333333" defaultRowHeight="13.5" outlineLevelCol="2"/>
  <cols>
    <col min="1" max="1" width="21.975" customWidth="1"/>
    <col min="2" max="2" width="42.15" customWidth="1"/>
    <col min="3" max="3" width="11.2083333333333" customWidth="1"/>
    <col min="4" max="4" width="7.56666666666667" customWidth="1"/>
    <col min="5" max="5" width="21.7166666666667" customWidth="1"/>
    <col min="6" max="16383" width="33.7583333333333" customWidth="1"/>
  </cols>
  <sheetData>
    <row r="1" ht="20.25" spans="1:3">
      <c r="A1" s="74" t="s">
        <v>21</v>
      </c>
      <c r="B1" s="19"/>
      <c r="C1" s="19"/>
    </row>
    <row r="2" ht="20.25" spans="1:3">
      <c r="A2" s="194"/>
      <c r="B2" s="19"/>
      <c r="C2" s="19"/>
    </row>
    <row r="3" ht="30" spans="1:3">
      <c r="A3" s="3" t="s">
        <v>22</v>
      </c>
      <c r="B3" s="3"/>
      <c r="C3" s="3"/>
    </row>
    <row r="4" spans="1:3">
      <c r="A4" s="21" t="s">
        <v>23</v>
      </c>
      <c r="B4" s="22" t="s">
        <v>24</v>
      </c>
      <c r="C4" s="23" t="s">
        <v>25</v>
      </c>
    </row>
    <row r="5" spans="1:3">
      <c r="A5" s="243" t="s">
        <v>26</v>
      </c>
      <c r="B5" s="234" t="s">
        <v>27</v>
      </c>
      <c r="C5" s="27">
        <v>1.1</v>
      </c>
    </row>
    <row r="6" spans="1:3">
      <c r="A6" s="244"/>
      <c r="B6" s="234" t="s">
        <v>28</v>
      </c>
      <c r="C6" s="27">
        <v>1.2</v>
      </c>
    </row>
    <row r="7" spans="1:3">
      <c r="A7" s="245"/>
      <c r="B7" s="234" t="s">
        <v>29</v>
      </c>
      <c r="C7" s="27">
        <v>2</v>
      </c>
    </row>
    <row r="8" spans="1:3">
      <c r="A8" s="233" t="s">
        <v>30</v>
      </c>
      <c r="B8" s="234" t="s">
        <v>31</v>
      </c>
      <c r="C8" s="27">
        <v>1.3</v>
      </c>
    </row>
    <row r="9" spans="1:3">
      <c r="A9" s="233"/>
      <c r="B9" s="234" t="s">
        <v>32</v>
      </c>
      <c r="C9" s="27">
        <v>1.5</v>
      </c>
    </row>
    <row r="10" spans="1:3">
      <c r="A10" s="233" t="s">
        <v>33</v>
      </c>
      <c r="B10" s="234" t="s">
        <v>34</v>
      </c>
      <c r="C10" s="27">
        <v>1.1</v>
      </c>
    </row>
    <row r="11" spans="1:3">
      <c r="A11" s="233"/>
      <c r="B11" s="234" t="s">
        <v>35</v>
      </c>
      <c r="C11" s="27">
        <v>0.9</v>
      </c>
    </row>
    <row r="12" spans="1:3">
      <c r="A12" s="233"/>
      <c r="B12" s="234" t="s">
        <v>36</v>
      </c>
      <c r="C12" s="27">
        <v>0.75</v>
      </c>
    </row>
    <row r="13" spans="1:3">
      <c r="A13" s="233"/>
      <c r="B13" s="234" t="s">
        <v>37</v>
      </c>
      <c r="C13" s="27">
        <v>0.65</v>
      </c>
    </row>
    <row r="14" spans="1:3">
      <c r="A14" s="233"/>
      <c r="B14" s="234" t="s">
        <v>38</v>
      </c>
      <c r="C14" s="27">
        <v>0.6</v>
      </c>
    </row>
    <row r="15" spans="1:3">
      <c r="A15" s="233"/>
      <c r="B15" s="234" t="s">
        <v>39</v>
      </c>
      <c r="C15" s="27">
        <v>1</v>
      </c>
    </row>
    <row r="16" spans="1:3">
      <c r="A16" s="233"/>
      <c r="B16" s="234" t="s">
        <v>40</v>
      </c>
      <c r="C16" s="27">
        <v>0.9</v>
      </c>
    </row>
    <row r="17" spans="1:3">
      <c r="A17" s="233"/>
      <c r="B17" s="234" t="s">
        <v>41</v>
      </c>
      <c r="C17" s="27">
        <v>0.75</v>
      </c>
    </row>
    <row r="18" spans="1:3">
      <c r="A18" s="233" t="s">
        <v>42</v>
      </c>
      <c r="B18" s="234" t="s">
        <v>43</v>
      </c>
      <c r="C18" s="27">
        <v>1</v>
      </c>
    </row>
    <row r="19" spans="1:3">
      <c r="A19" s="233"/>
      <c r="B19" s="234" t="s">
        <v>44</v>
      </c>
      <c r="C19" s="27">
        <v>0.9</v>
      </c>
    </row>
    <row r="20" spans="1:3">
      <c r="A20" s="233"/>
      <c r="B20" s="234" t="s">
        <v>45</v>
      </c>
      <c r="C20" s="27">
        <v>0.8</v>
      </c>
    </row>
    <row r="21" spans="1:3">
      <c r="A21" s="233" t="s">
        <v>46</v>
      </c>
      <c r="B21" s="234" t="s">
        <v>47</v>
      </c>
      <c r="C21" s="27">
        <v>1.6</v>
      </c>
    </row>
    <row r="22" spans="1:3">
      <c r="A22" s="245" t="s">
        <v>48</v>
      </c>
      <c r="B22" s="234" t="s">
        <v>49</v>
      </c>
      <c r="C22" s="27">
        <v>1.4</v>
      </c>
    </row>
    <row r="23" spans="1:3">
      <c r="A23" s="233" t="s">
        <v>50</v>
      </c>
      <c r="B23" s="234" t="s">
        <v>51</v>
      </c>
      <c r="C23" s="27">
        <v>2.2</v>
      </c>
    </row>
    <row r="24" ht="14.25" spans="1:3">
      <c r="A24" s="246"/>
      <c r="B24" s="247" t="s">
        <v>52</v>
      </c>
      <c r="C24" s="248">
        <v>2.5</v>
      </c>
    </row>
    <row r="25" ht="18" customHeight="1" spans="1:3">
      <c r="A25" s="249" t="s">
        <v>53</v>
      </c>
      <c r="B25" s="249"/>
      <c r="C25" s="249"/>
    </row>
    <row r="26" spans="1:3">
      <c r="A26" s="19"/>
      <c r="B26" s="19"/>
      <c r="C26" s="19"/>
    </row>
    <row r="27" ht="30" spans="1:3">
      <c r="A27" s="3" t="s">
        <v>54</v>
      </c>
      <c r="B27" s="3"/>
      <c r="C27" s="3"/>
    </row>
    <row r="28" spans="1:3">
      <c r="A28" s="21" t="s">
        <v>23</v>
      </c>
      <c r="B28" s="22" t="s">
        <v>24</v>
      </c>
      <c r="C28" s="23" t="s">
        <v>25</v>
      </c>
    </row>
    <row r="29" spans="1:3">
      <c r="A29" s="243" t="s">
        <v>50</v>
      </c>
      <c r="B29" s="234" t="s">
        <v>55</v>
      </c>
      <c r="C29" s="27">
        <v>1.6</v>
      </c>
    </row>
    <row r="30" spans="1:3">
      <c r="A30" s="244"/>
      <c r="B30" s="234" t="s">
        <v>56</v>
      </c>
      <c r="C30" s="27">
        <v>1.4</v>
      </c>
    </row>
    <row r="31" spans="1:3">
      <c r="A31" s="244"/>
      <c r="B31" s="234" t="s">
        <v>57</v>
      </c>
      <c r="C31" s="27">
        <v>1.2</v>
      </c>
    </row>
    <row r="32" ht="14.25" spans="1:3">
      <c r="A32" s="250"/>
      <c r="B32" s="247" t="s">
        <v>58</v>
      </c>
      <c r="C32" s="248">
        <v>0.9</v>
      </c>
    </row>
    <row r="33" spans="1:3">
      <c r="A33" s="19" t="s">
        <v>59</v>
      </c>
      <c r="B33" s="19"/>
      <c r="C33" s="19"/>
    </row>
    <row r="34" spans="1:3">
      <c r="A34" s="19"/>
      <c r="B34" s="19"/>
      <c r="C34" s="19"/>
    </row>
    <row r="35" ht="30" spans="1:3">
      <c r="A35" s="3" t="s">
        <v>60</v>
      </c>
      <c r="B35" s="3"/>
      <c r="C35" s="3"/>
    </row>
    <row r="36" spans="1:3">
      <c r="A36" s="21" t="s">
        <v>23</v>
      </c>
      <c r="B36" s="22" t="s">
        <v>24</v>
      </c>
      <c r="C36" s="23" t="s">
        <v>25</v>
      </c>
    </row>
    <row r="37" customHeight="1" spans="1:3">
      <c r="A37" s="243" t="s">
        <v>50</v>
      </c>
      <c r="B37" s="234" t="s">
        <v>61</v>
      </c>
      <c r="C37" s="27">
        <v>1.5</v>
      </c>
    </row>
    <row r="38" customHeight="1" spans="1:3">
      <c r="A38" s="244"/>
      <c r="B38" s="234" t="s">
        <v>62</v>
      </c>
      <c r="C38" s="27">
        <v>1.3</v>
      </c>
    </row>
    <row r="39" customHeight="1" spans="1:3">
      <c r="A39" s="244"/>
      <c r="B39" s="234" t="s">
        <v>63</v>
      </c>
      <c r="C39" s="27">
        <v>1.2</v>
      </c>
    </row>
    <row r="40" customHeight="1" spans="1:3">
      <c r="A40" s="250"/>
      <c r="B40" s="247" t="s">
        <v>64</v>
      </c>
      <c r="C40" s="248">
        <v>1.1</v>
      </c>
    </row>
    <row r="41" spans="1:3">
      <c r="A41" s="19" t="s">
        <v>65</v>
      </c>
      <c r="B41" s="19"/>
      <c r="C41" s="19"/>
    </row>
    <row r="42" spans="1:3">
      <c r="A42" s="19"/>
      <c r="B42" s="19"/>
      <c r="C42" s="19"/>
    </row>
    <row r="43" spans="1:3">
      <c r="A43" s="19"/>
      <c r="B43" s="19"/>
      <c r="C43" s="19"/>
    </row>
  </sheetData>
  <sheetProtection formatCells="0" formatColumns="0" formatRows="0" insertRows="0" insertColumns="0" insertHyperlinks="0" deleteColumns="0" deleteRows="0" sort="0" autoFilter="0" pivotTables="0"/>
  <mergeCells count="11">
    <mergeCell ref="A3:C3"/>
    <mergeCell ref="A25:C25"/>
    <mergeCell ref="A27:C27"/>
    <mergeCell ref="A35:C35"/>
    <mergeCell ref="A5:A7"/>
    <mergeCell ref="A8:A9"/>
    <mergeCell ref="A10:A17"/>
    <mergeCell ref="A18:A20"/>
    <mergeCell ref="A23:A24"/>
    <mergeCell ref="A29:A32"/>
    <mergeCell ref="A37:A40"/>
  </mergeCells>
  <pageMargins left="1.10208333333333" right="1.02361111111111" top="1.45625" bottom="1.37777777777778" header="0.298611111111111" footer="0.984027777777778"/>
  <pageSetup paperSize="9" orientation="portrait" horizontalDpi="600"/>
  <headerFooter differentOddEven="1">
    <oddFooter>&amp;R&amp;14&amp;B— 13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11"/>
  <sheetViews>
    <sheetView showWhiteSpace="0" workbookViewId="0">
      <selection activeCell="A1" sqref="A1:E10"/>
    </sheetView>
  </sheetViews>
  <sheetFormatPr defaultColWidth="27" defaultRowHeight="13.5" outlineLevelCol="4"/>
  <cols>
    <col min="1" max="1" width="7.1" customWidth="1"/>
    <col min="2" max="2" width="15.625" customWidth="1"/>
    <col min="3" max="3" width="24.25" customWidth="1"/>
    <col min="4" max="5" width="15.625" customWidth="1"/>
    <col min="6" max="16384" width="27" customWidth="1"/>
  </cols>
  <sheetData>
    <row r="1" customFormat="1" ht="20.25" spans="1:5">
      <c r="A1" s="1" t="s">
        <v>66</v>
      </c>
      <c r="B1" s="19"/>
      <c r="C1" s="19"/>
      <c r="D1" s="19"/>
      <c r="E1" s="19"/>
    </row>
    <row r="2" customFormat="1" ht="20.25" spans="1:5">
      <c r="A2" s="20"/>
      <c r="B2" s="19"/>
      <c r="C2" s="19"/>
      <c r="D2" s="19"/>
      <c r="E2" s="19"/>
    </row>
    <row r="3" ht="30" spans="1:5">
      <c r="A3" s="3" t="s">
        <v>5</v>
      </c>
      <c r="B3" s="3"/>
      <c r="C3" s="3"/>
      <c r="D3" s="3"/>
      <c r="E3" s="3"/>
    </row>
    <row r="4" spans="1:5">
      <c r="A4" s="21" t="s">
        <v>2</v>
      </c>
      <c r="B4" s="22" t="s">
        <v>67</v>
      </c>
      <c r="C4" s="64" t="s">
        <v>68</v>
      </c>
      <c r="D4" s="22" t="s">
        <v>69</v>
      </c>
      <c r="E4" s="23" t="s">
        <v>70</v>
      </c>
    </row>
    <row r="5" spans="1:5">
      <c r="A5" s="233"/>
      <c r="B5" s="234"/>
      <c r="C5" s="67"/>
      <c r="D5" s="234"/>
      <c r="E5" s="27"/>
    </row>
    <row r="6" spans="1:5">
      <c r="A6" s="235">
        <v>1</v>
      </c>
      <c r="B6" s="236" t="s">
        <v>71</v>
      </c>
      <c r="C6" s="187" t="s">
        <v>72</v>
      </c>
      <c r="D6" s="187">
        <v>38</v>
      </c>
      <c r="E6" s="237" t="s">
        <v>73</v>
      </c>
    </row>
    <row r="7" spans="1:5">
      <c r="A7" s="235">
        <v>2</v>
      </c>
      <c r="B7" s="236" t="s">
        <v>74</v>
      </c>
      <c r="C7" s="187" t="s">
        <v>75</v>
      </c>
      <c r="D7" s="187">
        <v>44</v>
      </c>
      <c r="E7" s="237">
        <v>88</v>
      </c>
    </row>
    <row r="8" spans="1:5">
      <c r="A8" s="235"/>
      <c r="B8" s="236"/>
      <c r="C8" s="187" t="s">
        <v>76</v>
      </c>
      <c r="D8" s="187">
        <v>38</v>
      </c>
      <c r="E8" s="237"/>
    </row>
    <row r="9" ht="14.25" spans="1:5">
      <c r="A9" s="238">
        <v>3</v>
      </c>
      <c r="B9" s="239" t="s">
        <v>77</v>
      </c>
      <c r="C9" s="240" t="s">
        <v>78</v>
      </c>
      <c r="D9" s="240">
        <v>38</v>
      </c>
      <c r="E9" s="241">
        <v>73</v>
      </c>
    </row>
    <row r="10" spans="1:5">
      <c r="A10" s="242" t="s">
        <v>79</v>
      </c>
      <c r="B10" s="19"/>
      <c r="C10" s="19"/>
      <c r="D10" s="19"/>
      <c r="E10" s="19"/>
    </row>
    <row r="11" spans="1:5">
      <c r="A11" s="19"/>
      <c r="B11" s="19"/>
      <c r="C11" s="19"/>
      <c r="D11" s="19"/>
      <c r="E11" s="19"/>
    </row>
  </sheetData>
  <sheetProtection formatCells="0" formatColumns="0" formatRows="0" insertRows="0" insertColumns="0" insertHyperlinks="0" deleteColumns="0" deleteRows="0" sort="0" autoFilter="0" pivotTables="0"/>
  <mergeCells count="9">
    <mergeCell ref="A3:E3"/>
    <mergeCell ref="A4:A5"/>
    <mergeCell ref="A7:A8"/>
    <mergeCell ref="B4:B5"/>
    <mergeCell ref="B7:B8"/>
    <mergeCell ref="C4:C5"/>
    <mergeCell ref="D4:D5"/>
    <mergeCell ref="E4:E5"/>
    <mergeCell ref="E7:E8"/>
  </mergeCells>
  <pageMargins left="1.10208333333333" right="1.02361111111111" top="1.45625" bottom="1.37777777777778" header="0.5" footer="0.984027777777778"/>
  <pageSetup paperSize="9" fitToHeight="0" orientation="portrait" horizontalDpi="600"/>
  <headerFooter differentOddEven="1">
    <oddFooter>&amp;L&amp;14&amp;B— 14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F20"/>
  <sheetViews>
    <sheetView zoomScale="130" zoomScaleNormal="130" workbookViewId="0">
      <selection activeCell="A1" sqref="A1:F19"/>
    </sheetView>
  </sheetViews>
  <sheetFormatPr defaultColWidth="9" defaultRowHeight="13.5" outlineLevelCol="5"/>
  <cols>
    <col min="1" max="1" width="8.75" customWidth="1"/>
    <col min="2" max="2" width="21.0416666666667" customWidth="1"/>
    <col min="3" max="3" width="11.925" customWidth="1"/>
    <col min="4" max="4" width="17.6833333333333" customWidth="1"/>
    <col min="5" max="5" width="15.8666666666667" customWidth="1"/>
    <col min="6" max="6" width="44.0583333333333" customWidth="1"/>
    <col min="7" max="7" width="10.1666666666667" customWidth="1"/>
  </cols>
  <sheetData>
    <row r="1" ht="20.25" spans="1:6">
      <c r="A1" s="1" t="s">
        <v>80</v>
      </c>
      <c r="B1" s="19"/>
      <c r="C1" s="19"/>
      <c r="D1" s="19"/>
      <c r="E1" s="19"/>
      <c r="F1" s="19"/>
    </row>
    <row r="2" ht="20.25" spans="1:6">
      <c r="A2" s="1"/>
      <c r="B2" s="19"/>
      <c r="C2" s="19"/>
      <c r="D2" s="19"/>
      <c r="E2" s="19"/>
      <c r="F2" s="19"/>
    </row>
    <row r="3" ht="30" spans="1:6">
      <c r="A3" s="3" t="s">
        <v>6</v>
      </c>
      <c r="B3" s="3"/>
      <c r="C3" s="3"/>
      <c r="D3" s="3"/>
      <c r="E3" s="3"/>
      <c r="F3" s="3"/>
    </row>
    <row r="4" ht="15" customHeight="1" spans="1:6">
      <c r="A4" s="219" t="s">
        <v>2</v>
      </c>
      <c r="B4" s="220" t="s">
        <v>81</v>
      </c>
      <c r="C4" s="220" t="s">
        <v>82</v>
      </c>
      <c r="D4" s="220" t="s">
        <v>83</v>
      </c>
      <c r="E4" s="220" t="s">
        <v>84</v>
      </c>
      <c r="F4" s="221" t="s">
        <v>85</v>
      </c>
    </row>
    <row r="5" ht="15" customHeight="1" spans="1:6">
      <c r="A5" s="222">
        <v>1</v>
      </c>
      <c r="B5" s="223" t="s">
        <v>86</v>
      </c>
      <c r="C5" s="224">
        <v>9</v>
      </c>
      <c r="D5" s="225">
        <v>3300</v>
      </c>
      <c r="E5" s="225">
        <v>31</v>
      </c>
      <c r="F5" s="206" t="s">
        <v>87</v>
      </c>
    </row>
    <row r="6" ht="15" customHeight="1" spans="1:6">
      <c r="A6" s="222">
        <v>2</v>
      </c>
      <c r="B6" s="223" t="s">
        <v>88</v>
      </c>
      <c r="C6" s="224">
        <v>23</v>
      </c>
      <c r="D6" s="225">
        <v>7400</v>
      </c>
      <c r="E6" s="225">
        <v>911</v>
      </c>
      <c r="F6" s="226" t="s">
        <v>89</v>
      </c>
    </row>
    <row r="7" ht="15" customHeight="1" spans="1:6">
      <c r="A7" s="222">
        <v>3</v>
      </c>
      <c r="B7" s="223" t="s">
        <v>90</v>
      </c>
      <c r="C7" s="224">
        <v>17</v>
      </c>
      <c r="D7" s="225">
        <v>5200</v>
      </c>
      <c r="E7" s="225">
        <v>444</v>
      </c>
      <c r="F7" s="226" t="s">
        <v>91</v>
      </c>
    </row>
    <row r="8" ht="15" customHeight="1" spans="1:6">
      <c r="A8" s="222">
        <v>4</v>
      </c>
      <c r="B8" s="223" t="s">
        <v>92</v>
      </c>
      <c r="C8" s="224">
        <v>21</v>
      </c>
      <c r="D8" s="225">
        <v>6190</v>
      </c>
      <c r="E8" s="225">
        <v>600</v>
      </c>
      <c r="F8" s="226" t="s">
        <v>93</v>
      </c>
    </row>
    <row r="9" ht="15" customHeight="1" spans="1:6">
      <c r="A9" s="222">
        <v>5</v>
      </c>
      <c r="B9" s="223" t="s">
        <v>94</v>
      </c>
      <c r="C9" s="224">
        <v>9</v>
      </c>
      <c r="D9" s="225">
        <v>3300</v>
      </c>
      <c r="E9" s="225">
        <v>741</v>
      </c>
      <c r="F9" s="226" t="s">
        <v>95</v>
      </c>
    </row>
    <row r="10" ht="15" customHeight="1" spans="1:6">
      <c r="A10" s="222">
        <v>6</v>
      </c>
      <c r="B10" s="223" t="s">
        <v>96</v>
      </c>
      <c r="C10" s="224">
        <v>12</v>
      </c>
      <c r="D10" s="225">
        <v>6000</v>
      </c>
      <c r="E10" s="225">
        <v>107</v>
      </c>
      <c r="F10" s="226" t="s">
        <v>97</v>
      </c>
    </row>
    <row r="11" ht="15" customHeight="1" spans="1:6">
      <c r="A11" s="222">
        <v>7</v>
      </c>
      <c r="B11" s="223" t="s">
        <v>98</v>
      </c>
      <c r="C11" s="224">
        <v>20</v>
      </c>
      <c r="D11" s="225">
        <v>10000</v>
      </c>
      <c r="E11" s="225">
        <v>82</v>
      </c>
      <c r="F11" s="226"/>
    </row>
    <row r="12" ht="15" customHeight="1" spans="1:6">
      <c r="A12" s="222">
        <v>8</v>
      </c>
      <c r="B12" s="223" t="s">
        <v>99</v>
      </c>
      <c r="C12" s="224">
        <v>15</v>
      </c>
      <c r="D12" s="225">
        <v>6560</v>
      </c>
      <c r="E12" s="225">
        <v>134</v>
      </c>
      <c r="F12" s="226" t="s">
        <v>100</v>
      </c>
    </row>
    <row r="13" ht="15" customHeight="1" spans="1:6">
      <c r="A13" s="222">
        <v>9</v>
      </c>
      <c r="B13" s="223" t="s">
        <v>42</v>
      </c>
      <c r="C13" s="224">
        <v>26</v>
      </c>
      <c r="D13" s="225">
        <v>3820</v>
      </c>
      <c r="E13" s="225">
        <v>317</v>
      </c>
      <c r="F13" s="226" t="s">
        <v>101</v>
      </c>
    </row>
    <row r="14" ht="15" customHeight="1" spans="1:6">
      <c r="A14" s="222">
        <v>10</v>
      </c>
      <c r="B14" s="223" t="s">
        <v>30</v>
      </c>
      <c r="C14" s="224">
        <v>22</v>
      </c>
      <c r="D14" s="225">
        <v>2570</v>
      </c>
      <c r="E14" s="225">
        <v>286</v>
      </c>
      <c r="F14" s="226" t="s">
        <v>102</v>
      </c>
    </row>
    <row r="15" ht="15" customHeight="1" spans="1:6">
      <c r="A15" s="222">
        <v>11</v>
      </c>
      <c r="B15" s="223" t="s">
        <v>103</v>
      </c>
      <c r="C15" s="224">
        <v>6</v>
      </c>
      <c r="D15" s="225">
        <v>1800</v>
      </c>
      <c r="E15" s="225">
        <v>0</v>
      </c>
      <c r="F15" s="206" t="s">
        <v>104</v>
      </c>
    </row>
    <row r="16" ht="15" customHeight="1" spans="1:6">
      <c r="A16" s="222">
        <v>12</v>
      </c>
      <c r="B16" s="223" t="s">
        <v>105</v>
      </c>
      <c r="C16" s="224">
        <v>5</v>
      </c>
      <c r="D16" s="225">
        <v>2500</v>
      </c>
      <c r="E16" s="225">
        <v>20</v>
      </c>
      <c r="F16" s="226"/>
    </row>
    <row r="17" ht="15" customHeight="1" spans="1:6">
      <c r="A17" s="222">
        <v>13</v>
      </c>
      <c r="B17" s="223" t="s">
        <v>33</v>
      </c>
      <c r="C17" s="224">
        <v>112</v>
      </c>
      <c r="D17" s="225">
        <v>75700</v>
      </c>
      <c r="E17" s="225">
        <v>335</v>
      </c>
      <c r="F17" s="226" t="s">
        <v>106</v>
      </c>
    </row>
    <row r="18" ht="15" customHeight="1" spans="1:6">
      <c r="A18" s="227" t="s">
        <v>107</v>
      </c>
      <c r="B18" s="228"/>
      <c r="C18" s="228">
        <f>SUM(C5:C17)</f>
        <v>297</v>
      </c>
      <c r="D18" s="228">
        <f>SUM(D5:D17)</f>
        <v>134340</v>
      </c>
      <c r="E18" s="228">
        <f>SUM(E5:E17)</f>
        <v>4008</v>
      </c>
      <c r="F18" s="229"/>
    </row>
    <row r="19" ht="84" customHeight="1" spans="1:6">
      <c r="A19" s="230" t="s">
        <v>108</v>
      </c>
      <c r="B19" s="231"/>
      <c r="C19" s="231"/>
      <c r="D19" s="231"/>
      <c r="E19" s="231"/>
      <c r="F19" s="231"/>
    </row>
    <row r="20" ht="15.75" spans="1:1">
      <c r="A20" s="232"/>
    </row>
  </sheetData>
  <sheetProtection formatCells="0" formatColumns="0" formatRows="0" insertRows="0" insertColumns="0" insertHyperlinks="0" deleteColumns="0" deleteRows="0" sort="0" autoFilter="0" pivotTables="0"/>
  <mergeCells count="3">
    <mergeCell ref="A3:F3"/>
    <mergeCell ref="A18:B18"/>
    <mergeCell ref="A19:F19"/>
  </mergeCells>
  <pageMargins left="1.10208333333333" right="1.02361111111111" top="1.45625" bottom="1.37777777777778" header="0.5" footer="0.984027777777778"/>
  <pageSetup paperSize="9" orientation="landscape" horizontalDpi="600"/>
  <headerFooter differentOddEven="1">
    <oddFooter>&amp;R&amp;14&amp;B— 15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F37"/>
  <sheetViews>
    <sheetView workbookViewId="0">
      <selection activeCell="A1" sqref="$A1:$XFD1048576"/>
    </sheetView>
  </sheetViews>
  <sheetFormatPr defaultColWidth="9" defaultRowHeight="13.5" outlineLevelCol="5"/>
  <cols>
    <col min="1" max="1" width="15.1083333333333" style="19" customWidth="1"/>
    <col min="2" max="2" width="29.875" style="19" customWidth="1"/>
    <col min="3" max="3" width="9.45833333333333" style="19" customWidth="1"/>
    <col min="4" max="4" width="13.0333333333333" style="19" customWidth="1"/>
    <col min="5" max="5" width="10.5416666666667" style="19" customWidth="1"/>
    <col min="6" max="6" width="145.375" style="19" customWidth="1"/>
    <col min="7" max="16384" width="9" style="19"/>
  </cols>
  <sheetData>
    <row r="1" ht="20.25" spans="1:1">
      <c r="A1" s="74" t="s">
        <v>109</v>
      </c>
    </row>
    <row r="2" ht="20.25" spans="1:1">
      <c r="A2" s="194"/>
    </row>
    <row r="3" ht="36" customHeight="1" spans="1:6">
      <c r="A3" s="3" t="s">
        <v>7</v>
      </c>
      <c r="B3" s="3"/>
      <c r="C3" s="3"/>
      <c r="D3" s="3"/>
      <c r="E3" s="3"/>
      <c r="F3" s="3"/>
    </row>
    <row r="4" spans="1:6">
      <c r="A4" s="195" t="s">
        <v>110</v>
      </c>
      <c r="B4" s="196" t="s">
        <v>111</v>
      </c>
      <c r="C4" s="196" t="s">
        <v>112</v>
      </c>
      <c r="D4" s="196" t="s">
        <v>113</v>
      </c>
      <c r="E4" s="196" t="s">
        <v>114</v>
      </c>
      <c r="F4" s="197" t="s">
        <v>115</v>
      </c>
    </row>
    <row r="5" spans="1:6">
      <c r="A5" s="198"/>
      <c r="B5" s="199"/>
      <c r="C5" s="199"/>
      <c r="D5" s="199"/>
      <c r="E5" s="199"/>
      <c r="F5" s="200"/>
    </row>
    <row r="6" ht="19" customHeight="1" spans="1:6">
      <c r="A6" s="198" t="s">
        <v>116</v>
      </c>
      <c r="B6" s="201" t="s">
        <v>117</v>
      </c>
      <c r="C6" s="199" t="s">
        <v>118</v>
      </c>
      <c r="D6" s="199">
        <v>0</v>
      </c>
      <c r="E6" s="199" t="s">
        <v>119</v>
      </c>
      <c r="F6" s="202" t="s">
        <v>120</v>
      </c>
    </row>
    <row r="7" ht="29" customHeight="1" spans="1:6">
      <c r="A7" s="203"/>
      <c r="B7" s="204" t="s">
        <v>121</v>
      </c>
      <c r="C7" s="205" t="s">
        <v>122</v>
      </c>
      <c r="D7" s="205">
        <v>0</v>
      </c>
      <c r="E7" s="205" t="s">
        <v>123</v>
      </c>
      <c r="F7" s="206" t="s">
        <v>124</v>
      </c>
    </row>
    <row r="8" ht="19" customHeight="1" spans="1:6">
      <c r="A8" s="203"/>
      <c r="B8" s="204" t="s">
        <v>125</v>
      </c>
      <c r="C8" s="205"/>
      <c r="D8" s="205"/>
      <c r="E8" s="205" t="s">
        <v>123</v>
      </c>
      <c r="F8" s="206" t="s">
        <v>126</v>
      </c>
    </row>
    <row r="9" s="190" customFormat="1" ht="29" customHeight="1" spans="1:6">
      <c r="A9" s="203"/>
      <c r="B9" s="204" t="s">
        <v>127</v>
      </c>
      <c r="C9" s="205" t="s">
        <v>128</v>
      </c>
      <c r="D9" s="204"/>
      <c r="E9" s="205" t="s">
        <v>123</v>
      </c>
      <c r="F9" s="206" t="s">
        <v>129</v>
      </c>
    </row>
    <row r="10" ht="19" customHeight="1" spans="1:6">
      <c r="A10" s="203"/>
      <c r="B10" s="204" t="s">
        <v>130</v>
      </c>
      <c r="C10" s="205"/>
      <c r="D10" s="205"/>
      <c r="E10" s="205" t="s">
        <v>119</v>
      </c>
      <c r="F10" s="206" t="s">
        <v>131</v>
      </c>
    </row>
    <row r="11" s="191" customFormat="1" ht="19" customHeight="1" spans="1:6">
      <c r="A11" s="203" t="s">
        <v>88</v>
      </c>
      <c r="B11" s="204" t="s">
        <v>132</v>
      </c>
      <c r="C11" s="205" t="s">
        <v>128</v>
      </c>
      <c r="D11" s="205"/>
      <c r="E11" s="205" t="s">
        <v>119</v>
      </c>
      <c r="F11" s="206" t="s">
        <v>133</v>
      </c>
    </row>
    <row r="12" s="190" customFormat="1" ht="19" customHeight="1" spans="1:6">
      <c r="A12" s="203"/>
      <c r="B12" s="207" t="s">
        <v>134</v>
      </c>
      <c r="C12" s="205" t="s">
        <v>118</v>
      </c>
      <c r="D12" s="205"/>
      <c r="E12" s="205" t="s">
        <v>135</v>
      </c>
      <c r="F12" s="206" t="s">
        <v>136</v>
      </c>
    </row>
    <row r="13" ht="19" customHeight="1" spans="1:6">
      <c r="A13" s="203"/>
      <c r="B13" s="207" t="s">
        <v>137</v>
      </c>
      <c r="C13" s="205" t="s">
        <v>138</v>
      </c>
      <c r="D13" s="205"/>
      <c r="E13" s="205" t="s">
        <v>123</v>
      </c>
      <c r="F13" s="206" t="s">
        <v>139</v>
      </c>
    </row>
    <row r="14" ht="19" customHeight="1" spans="1:6">
      <c r="A14" s="203"/>
      <c r="B14" s="204" t="s">
        <v>140</v>
      </c>
      <c r="C14" s="205" t="s">
        <v>138</v>
      </c>
      <c r="D14" s="205"/>
      <c r="E14" s="205" t="s">
        <v>123</v>
      </c>
      <c r="F14" s="206" t="s">
        <v>141</v>
      </c>
    </row>
    <row r="15" s="192" customFormat="1" ht="19" customHeight="1" spans="1:6">
      <c r="A15" s="208"/>
      <c r="B15" s="209" t="s">
        <v>142</v>
      </c>
      <c r="C15" s="210" t="s">
        <v>143</v>
      </c>
      <c r="D15" s="210"/>
      <c r="E15" s="210" t="s">
        <v>144</v>
      </c>
      <c r="F15" s="211" t="s">
        <v>145</v>
      </c>
    </row>
    <row r="16" s="192" customFormat="1" ht="29" customHeight="1" spans="1:6">
      <c r="A16" s="208"/>
      <c r="B16" s="209" t="s">
        <v>146</v>
      </c>
      <c r="C16" s="210" t="s">
        <v>143</v>
      </c>
      <c r="D16" s="210"/>
      <c r="E16" s="210" t="s">
        <v>144</v>
      </c>
      <c r="F16" s="211" t="s">
        <v>147</v>
      </c>
    </row>
    <row r="17" s="192" customFormat="1" ht="19" customHeight="1" spans="1:6">
      <c r="A17" s="208" t="s">
        <v>148</v>
      </c>
      <c r="B17" s="209" t="s">
        <v>149</v>
      </c>
      <c r="C17" s="210" t="s">
        <v>128</v>
      </c>
      <c r="D17" s="210"/>
      <c r="E17" s="210" t="s">
        <v>150</v>
      </c>
      <c r="F17" s="211" t="s">
        <v>151</v>
      </c>
    </row>
    <row r="18" s="193" customFormat="1" ht="19" customHeight="1" spans="1:6">
      <c r="A18" s="212"/>
      <c r="B18" s="209" t="s">
        <v>152</v>
      </c>
      <c r="C18" s="210" t="s">
        <v>128</v>
      </c>
      <c r="D18" s="210"/>
      <c r="E18" s="210" t="s">
        <v>144</v>
      </c>
      <c r="F18" s="211" t="s">
        <v>153</v>
      </c>
    </row>
    <row r="19" s="192" customFormat="1" ht="19" customHeight="1" spans="1:6">
      <c r="A19" s="208"/>
      <c r="B19" s="209" t="s">
        <v>154</v>
      </c>
      <c r="C19" s="210" t="s">
        <v>155</v>
      </c>
      <c r="D19" s="210"/>
      <c r="E19" s="210" t="s">
        <v>135</v>
      </c>
      <c r="F19" s="211" t="s">
        <v>156</v>
      </c>
    </row>
    <row r="20" s="192" customFormat="1" ht="19" customHeight="1" spans="1:6">
      <c r="A20" s="208"/>
      <c r="B20" s="209" t="s">
        <v>157</v>
      </c>
      <c r="C20" s="210" t="s">
        <v>128</v>
      </c>
      <c r="D20" s="210"/>
      <c r="E20" s="210" t="s">
        <v>150</v>
      </c>
      <c r="F20" s="211" t="s">
        <v>158</v>
      </c>
    </row>
    <row r="21" s="192" customFormat="1" ht="19" customHeight="1" spans="1:6">
      <c r="A21" s="208"/>
      <c r="B21" s="209" t="s">
        <v>159</v>
      </c>
      <c r="C21" s="210" t="s">
        <v>128</v>
      </c>
      <c r="D21" s="210"/>
      <c r="E21" s="210" t="s">
        <v>144</v>
      </c>
      <c r="F21" s="211" t="s">
        <v>160</v>
      </c>
    </row>
    <row r="22" s="192" customFormat="1" ht="19" customHeight="1" spans="1:6">
      <c r="A22" s="208"/>
      <c r="B22" s="209" t="s">
        <v>161</v>
      </c>
      <c r="C22" s="210" t="s">
        <v>162</v>
      </c>
      <c r="D22" s="210" t="s">
        <v>163</v>
      </c>
      <c r="E22" s="210" t="s">
        <v>119</v>
      </c>
      <c r="F22" s="211" t="s">
        <v>164</v>
      </c>
    </row>
    <row r="23" s="192" customFormat="1" ht="19" customHeight="1" spans="1:6">
      <c r="A23" s="208"/>
      <c r="B23" s="209" t="s">
        <v>165</v>
      </c>
      <c r="C23" s="210"/>
      <c r="D23" s="210"/>
      <c r="E23" s="210" t="s">
        <v>166</v>
      </c>
      <c r="F23" s="211" t="s">
        <v>167</v>
      </c>
    </row>
    <row r="24" s="192" customFormat="1" ht="19" customHeight="1" spans="1:6">
      <c r="A24" s="208" t="s">
        <v>92</v>
      </c>
      <c r="B24" s="209" t="s">
        <v>168</v>
      </c>
      <c r="C24" s="210" t="s">
        <v>169</v>
      </c>
      <c r="D24" s="210">
        <v>0</v>
      </c>
      <c r="E24" s="210" t="s">
        <v>123</v>
      </c>
      <c r="F24" s="211" t="s">
        <v>170</v>
      </c>
    </row>
    <row r="25" s="192" customFormat="1" ht="19" customHeight="1" spans="1:6">
      <c r="A25" s="208"/>
      <c r="B25" s="209" t="s">
        <v>171</v>
      </c>
      <c r="C25" s="210"/>
      <c r="D25" s="210"/>
      <c r="E25" s="210" t="s">
        <v>119</v>
      </c>
      <c r="F25" s="211" t="s">
        <v>172</v>
      </c>
    </row>
    <row r="26" ht="19" customHeight="1" spans="1:6">
      <c r="A26" s="203"/>
      <c r="B26" s="207" t="s">
        <v>173</v>
      </c>
      <c r="C26" s="205"/>
      <c r="D26" s="205"/>
      <c r="E26" s="205" t="s">
        <v>123</v>
      </c>
      <c r="F26" s="206" t="s">
        <v>174</v>
      </c>
    </row>
    <row r="27" ht="19" customHeight="1" spans="1:6">
      <c r="A27" s="203"/>
      <c r="B27" s="207" t="s">
        <v>175</v>
      </c>
      <c r="C27" s="205"/>
      <c r="D27" s="205"/>
      <c r="E27" s="205" t="s">
        <v>176</v>
      </c>
      <c r="F27" s="206" t="s">
        <v>177</v>
      </c>
    </row>
    <row r="28" ht="19" customHeight="1" spans="1:6">
      <c r="A28" s="203" t="s">
        <v>94</v>
      </c>
      <c r="B28" s="207" t="s">
        <v>134</v>
      </c>
      <c r="C28" s="205" t="s">
        <v>118</v>
      </c>
      <c r="D28" s="205"/>
      <c r="E28" s="205" t="s">
        <v>135</v>
      </c>
      <c r="F28" s="206" t="s">
        <v>136</v>
      </c>
    </row>
    <row r="29" ht="29" customHeight="1" spans="1:6">
      <c r="A29" s="203"/>
      <c r="B29" s="207" t="s">
        <v>178</v>
      </c>
      <c r="C29" s="205" t="s">
        <v>128</v>
      </c>
      <c r="D29" s="205">
        <v>0.8</v>
      </c>
      <c r="E29" s="205" t="s">
        <v>119</v>
      </c>
      <c r="F29" s="206" t="s">
        <v>179</v>
      </c>
    </row>
    <row r="30" ht="24" spans="1:6">
      <c r="A30" s="203"/>
      <c r="B30" s="207" t="s">
        <v>180</v>
      </c>
      <c r="C30" s="205" t="s">
        <v>118</v>
      </c>
      <c r="D30" s="205">
        <v>3</v>
      </c>
      <c r="E30" s="205" t="s">
        <v>119</v>
      </c>
      <c r="F30" s="206" t="s">
        <v>181</v>
      </c>
    </row>
    <row r="31" ht="19" customHeight="1" spans="1:6">
      <c r="A31" s="203" t="s">
        <v>42</v>
      </c>
      <c r="B31" s="207" t="s">
        <v>182</v>
      </c>
      <c r="C31" s="205" t="s">
        <v>128</v>
      </c>
      <c r="D31" s="205">
        <v>1.5</v>
      </c>
      <c r="E31" s="205" t="s">
        <v>119</v>
      </c>
      <c r="F31" s="206" t="s">
        <v>183</v>
      </c>
    </row>
    <row r="32" ht="19" customHeight="1" spans="1:6">
      <c r="A32" s="203"/>
      <c r="B32" s="207" t="s">
        <v>184</v>
      </c>
      <c r="C32" s="205" t="s">
        <v>169</v>
      </c>
      <c r="D32" s="205">
        <v>0</v>
      </c>
      <c r="E32" s="205" t="s">
        <v>119</v>
      </c>
      <c r="F32" s="206" t="s">
        <v>185</v>
      </c>
    </row>
    <row r="33" ht="19" customHeight="1" spans="1:6">
      <c r="A33" s="203"/>
      <c r="B33" s="207" t="s">
        <v>186</v>
      </c>
      <c r="C33" s="205" t="s">
        <v>187</v>
      </c>
      <c r="D33" s="205">
        <v>2</v>
      </c>
      <c r="E33" s="205" t="s">
        <v>119</v>
      </c>
      <c r="F33" s="206" t="s">
        <v>188</v>
      </c>
    </row>
    <row r="34" ht="19" customHeight="1" spans="1:6">
      <c r="A34" s="203" t="s">
        <v>33</v>
      </c>
      <c r="B34" s="207" t="s">
        <v>189</v>
      </c>
      <c r="C34" s="205" t="s">
        <v>190</v>
      </c>
      <c r="D34" s="205">
        <v>4000</v>
      </c>
      <c r="E34" s="205" t="s">
        <v>119</v>
      </c>
      <c r="F34" s="206" t="s">
        <v>191</v>
      </c>
    </row>
    <row r="35" ht="19" customHeight="1" spans="1:6">
      <c r="A35" s="203"/>
      <c r="B35" s="207" t="s">
        <v>192</v>
      </c>
      <c r="C35" s="213" t="s">
        <v>193</v>
      </c>
      <c r="D35" s="213"/>
      <c r="E35" s="205" t="s">
        <v>119</v>
      </c>
      <c r="F35" s="206" t="s">
        <v>194</v>
      </c>
    </row>
    <row r="36" ht="19" customHeight="1" spans="1:6">
      <c r="A36" s="203"/>
      <c r="B36" s="207" t="s">
        <v>195</v>
      </c>
      <c r="C36" s="213" t="s">
        <v>196</v>
      </c>
      <c r="D36" s="213" t="s">
        <v>197</v>
      </c>
      <c r="E36" s="205" t="s">
        <v>176</v>
      </c>
      <c r="F36" s="206" t="s">
        <v>198</v>
      </c>
    </row>
    <row r="37" ht="19" customHeight="1" spans="1:6">
      <c r="A37" s="214"/>
      <c r="B37" s="215" t="s">
        <v>199</v>
      </c>
      <c r="C37" s="216" t="s">
        <v>200</v>
      </c>
      <c r="D37" s="216">
        <v>50</v>
      </c>
      <c r="E37" s="217" t="s">
        <v>119</v>
      </c>
      <c r="F37" s="218" t="s">
        <v>201</v>
      </c>
    </row>
  </sheetData>
  <sheetProtection formatCells="0" formatColumns="0" formatRows="0" insertRows="0" insertColumns="0" insertHyperlinks="0" deleteColumns="0" deleteRows="0" sort="0" autoFilter="0" pivotTables="0"/>
  <mergeCells count="14">
    <mergeCell ref="A3:F3"/>
    <mergeCell ref="A4:A5"/>
    <mergeCell ref="A6:A10"/>
    <mergeCell ref="A11:A16"/>
    <mergeCell ref="A17:A23"/>
    <mergeCell ref="A24:A27"/>
    <mergeCell ref="A28:A30"/>
    <mergeCell ref="A31:A33"/>
    <mergeCell ref="A34:A37"/>
    <mergeCell ref="B4:B5"/>
    <mergeCell ref="C4:C5"/>
    <mergeCell ref="D4:D5"/>
    <mergeCell ref="E4:E5"/>
    <mergeCell ref="F4:F5"/>
  </mergeCells>
  <pageMargins left="1.10208333333333" right="1.02361111111111" top="1.02361111111111" bottom="1.37777777777778" header="0.5" footer="0.984027777777778"/>
  <pageSetup paperSize="9" scale="55" fitToHeight="0" orientation="landscape" horizontalDpi="600"/>
  <headerFooter differentOddEven="1">
    <oddFooter>&amp;L&amp;14&amp;B— 16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E19"/>
  <sheetViews>
    <sheetView zoomScale="145" zoomScaleNormal="145" workbookViewId="0">
      <selection activeCell="A1" sqref="$A1:$XFD1048576"/>
    </sheetView>
  </sheetViews>
  <sheetFormatPr defaultColWidth="9" defaultRowHeight="13.5" outlineLevelCol="4"/>
  <cols>
    <col min="1" max="1" width="14.625" style="185" customWidth="1"/>
    <col min="2" max="2" width="19.9916666666667" style="185" customWidth="1"/>
    <col min="3" max="5" width="14.625" style="185" customWidth="1"/>
    <col min="6" max="6" width="9" style="185"/>
    <col min="7" max="7" width="12.625" style="185"/>
    <col min="8" max="16384" width="9" style="185"/>
  </cols>
  <sheetData>
    <row r="1" s="2" customFormat="1" ht="20.25" spans="1:5">
      <c r="A1" s="1" t="s">
        <v>202</v>
      </c>
      <c r="B1" s="74"/>
      <c r="C1" s="18"/>
      <c r="D1" s="18"/>
      <c r="E1" s="18"/>
    </row>
    <row r="2" s="2" customFormat="1" ht="20.25" spans="1:5">
      <c r="A2" s="20"/>
      <c r="B2" s="74"/>
      <c r="C2" s="18"/>
      <c r="D2" s="18"/>
      <c r="E2" s="18"/>
    </row>
    <row r="3" ht="30" spans="1:5">
      <c r="A3" s="3" t="s">
        <v>8</v>
      </c>
      <c r="B3" s="3"/>
      <c r="C3" s="3"/>
      <c r="D3" s="3"/>
      <c r="E3" s="3"/>
    </row>
    <row r="4" ht="15" customHeight="1" spans="1:5">
      <c r="A4" s="63" t="s">
        <v>2</v>
      </c>
      <c r="B4" s="186" t="s">
        <v>203</v>
      </c>
      <c r="C4" s="64" t="s">
        <v>81</v>
      </c>
      <c r="D4" s="64" t="s">
        <v>204</v>
      </c>
      <c r="E4" s="65" t="s">
        <v>85</v>
      </c>
    </row>
    <row r="5" ht="15" customHeight="1" spans="1:5">
      <c r="A5" s="66">
        <v>1</v>
      </c>
      <c r="B5" s="67" t="s">
        <v>205</v>
      </c>
      <c r="C5" s="67" t="s">
        <v>206</v>
      </c>
      <c r="D5" s="75">
        <v>7245.33333333333</v>
      </c>
      <c r="E5" s="69"/>
    </row>
    <row r="6" ht="15" customHeight="1" spans="1:5">
      <c r="A6" s="66">
        <v>2</v>
      </c>
      <c r="B6" s="67" t="s">
        <v>207</v>
      </c>
      <c r="C6" s="67" t="s">
        <v>206</v>
      </c>
      <c r="D6" s="75">
        <v>1811.33333333333</v>
      </c>
      <c r="E6" s="69"/>
    </row>
    <row r="7" ht="15" customHeight="1" spans="1:5">
      <c r="A7" s="66">
        <v>3</v>
      </c>
      <c r="B7" s="67" t="s">
        <v>208</v>
      </c>
      <c r="C7" s="67" t="s">
        <v>206</v>
      </c>
      <c r="D7" s="75">
        <v>3622.66666666667</v>
      </c>
      <c r="E7" s="69"/>
    </row>
    <row r="8" ht="15" customHeight="1" spans="1:5">
      <c r="A8" s="66">
        <v>4</v>
      </c>
      <c r="B8" s="67" t="s">
        <v>209</v>
      </c>
      <c r="C8" s="67" t="s">
        <v>206</v>
      </c>
      <c r="D8" s="75">
        <v>16302</v>
      </c>
      <c r="E8" s="69" t="s">
        <v>210</v>
      </c>
    </row>
    <row r="9" ht="15" customHeight="1" spans="1:5">
      <c r="A9" s="66">
        <v>5</v>
      </c>
      <c r="B9" s="67" t="s">
        <v>211</v>
      </c>
      <c r="C9" s="67" t="s">
        <v>206</v>
      </c>
      <c r="D9" s="75">
        <v>21736</v>
      </c>
      <c r="E9" s="69" t="s">
        <v>210</v>
      </c>
    </row>
    <row r="10" ht="15" customHeight="1" spans="1:5">
      <c r="A10" s="66">
        <v>6</v>
      </c>
      <c r="B10" s="67" t="s">
        <v>212</v>
      </c>
      <c r="C10" s="67" t="s">
        <v>206</v>
      </c>
      <c r="D10" s="75">
        <v>3622.66666666667</v>
      </c>
      <c r="E10" s="69"/>
    </row>
    <row r="11" ht="15" customHeight="1" spans="1:5">
      <c r="A11" s="66">
        <v>7</v>
      </c>
      <c r="B11" s="67" t="s">
        <v>213</v>
      </c>
      <c r="C11" s="67" t="s">
        <v>206</v>
      </c>
      <c r="D11" s="75">
        <v>1811.33333333333</v>
      </c>
      <c r="E11" s="69"/>
    </row>
    <row r="12" ht="15" customHeight="1" spans="1:5">
      <c r="A12" s="66">
        <v>8</v>
      </c>
      <c r="B12" s="67" t="s">
        <v>214</v>
      </c>
      <c r="C12" s="67" t="s">
        <v>206</v>
      </c>
      <c r="D12" s="75">
        <v>1811.33333333333</v>
      </c>
      <c r="E12" s="69"/>
    </row>
    <row r="13" ht="15" customHeight="1" spans="1:5">
      <c r="A13" s="66">
        <v>9</v>
      </c>
      <c r="B13" s="67" t="s">
        <v>215</v>
      </c>
      <c r="C13" s="67" t="s">
        <v>206</v>
      </c>
      <c r="D13" s="75">
        <v>1811.33333333333</v>
      </c>
      <c r="E13" s="69"/>
    </row>
    <row r="14" ht="15" customHeight="1" spans="1:5">
      <c r="A14" s="66">
        <v>10</v>
      </c>
      <c r="B14" s="67" t="s">
        <v>216</v>
      </c>
      <c r="C14" s="67" t="s">
        <v>206</v>
      </c>
      <c r="D14" s="75">
        <v>5434</v>
      </c>
      <c r="E14" s="69"/>
    </row>
    <row r="15" ht="15" customHeight="1" spans="1:5">
      <c r="A15" s="66">
        <v>11</v>
      </c>
      <c r="B15" s="67" t="s">
        <v>217</v>
      </c>
      <c r="C15" s="67" t="s">
        <v>206</v>
      </c>
      <c r="D15" s="75">
        <v>5434</v>
      </c>
      <c r="E15" s="69"/>
    </row>
    <row r="16" ht="15" customHeight="1" spans="1:5">
      <c r="A16" s="66">
        <v>12</v>
      </c>
      <c r="B16" s="67" t="s">
        <v>218</v>
      </c>
      <c r="C16" s="67" t="s">
        <v>206</v>
      </c>
      <c r="D16" s="75">
        <v>3622.66666666667</v>
      </c>
      <c r="E16" s="69"/>
    </row>
    <row r="17" s="184" customFormat="1" ht="15" customHeight="1" spans="1:5">
      <c r="A17" s="66">
        <v>13</v>
      </c>
      <c r="B17" s="187" t="s">
        <v>219</v>
      </c>
      <c r="C17" s="187" t="s">
        <v>220</v>
      </c>
      <c r="D17" s="188">
        <v>6000</v>
      </c>
      <c r="E17" s="29"/>
    </row>
    <row r="18" ht="15" customHeight="1" spans="1:5">
      <c r="A18" s="70">
        <v>14</v>
      </c>
      <c r="B18" s="71" t="s">
        <v>221</v>
      </c>
      <c r="C18" s="71" t="s">
        <v>222</v>
      </c>
      <c r="D18" s="76">
        <v>104.866666666667</v>
      </c>
      <c r="E18" s="73"/>
    </row>
    <row r="19" spans="1:5">
      <c r="A19" s="189"/>
      <c r="B19" s="189"/>
      <c r="C19" s="189"/>
      <c r="D19" s="189"/>
      <c r="E19" s="189"/>
    </row>
  </sheetData>
  <sheetProtection formatCells="0" formatColumns="0" formatRows="0" insertRows="0" insertColumns="0" insertHyperlinks="0" deleteColumns="0" deleteRows="0" sort="0" autoFilter="0" pivotTables="0"/>
  <mergeCells count="1">
    <mergeCell ref="A3:E3"/>
  </mergeCells>
  <pageMargins left="1.10208333333333" right="1.02361111111111" top="1.45625" bottom="1.37777777777778" header="0.298611111111111" footer="0.984027777777778"/>
  <pageSetup paperSize="9" orientation="portrait" horizontalDpi="600"/>
  <headerFooter differentOddEven="1">
    <oddFooter>&amp;R&amp;14&amp;B— 17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F45"/>
  <sheetViews>
    <sheetView zoomScale="115" zoomScaleNormal="115" workbookViewId="0">
      <pane ySplit="4" topLeftCell="A5" activePane="bottomLeft" state="frozen"/>
      <selection/>
      <selection pane="bottomLeft" activeCell="A3" sqref="A3:F3"/>
    </sheetView>
  </sheetViews>
  <sheetFormatPr defaultColWidth="4.875" defaultRowHeight="16" customHeight="1" outlineLevelCol="5"/>
  <cols>
    <col min="1" max="3" width="14.625" style="146" customWidth="1"/>
    <col min="4" max="4" width="14.625" style="147" customWidth="1"/>
    <col min="5" max="6" width="14.625" style="148" customWidth="1"/>
    <col min="7" max="8" width="4.875" style="149"/>
    <col min="9" max="9" width="4.34166666666667" style="149" customWidth="1"/>
    <col min="10" max="11" width="4.55833333333333" style="149" customWidth="1"/>
    <col min="12" max="16343" width="4.875" style="149"/>
  </cols>
  <sheetData>
    <row r="1" s="2" customFormat="1" ht="20.25" spans="1:6">
      <c r="A1" s="1" t="s">
        <v>223</v>
      </c>
      <c r="B1" s="18"/>
      <c r="C1" s="18"/>
      <c r="D1" s="18"/>
      <c r="E1" s="18"/>
      <c r="F1" s="18"/>
    </row>
    <row r="2" s="2" customFormat="1" ht="20.25" spans="1:6">
      <c r="A2" s="20"/>
      <c r="B2" s="18"/>
      <c r="C2" s="18"/>
      <c r="D2" s="18"/>
      <c r="E2" s="18"/>
      <c r="F2" s="18"/>
    </row>
    <row r="3" s="81" customFormat="1" ht="29.25" spans="1:6">
      <c r="A3" s="3" t="s">
        <v>9</v>
      </c>
      <c r="B3" s="3"/>
      <c r="C3" s="3"/>
      <c r="D3" s="3"/>
      <c r="E3" s="3"/>
      <c r="F3" s="3"/>
    </row>
    <row r="4" s="81" customFormat="1" customHeight="1" spans="1:6">
      <c r="A4" s="57"/>
      <c r="B4" s="57"/>
      <c r="C4" s="58"/>
      <c r="D4" s="58"/>
      <c r="E4" s="59" t="s">
        <v>224</v>
      </c>
      <c r="F4" s="59"/>
    </row>
    <row r="5" ht="15" customHeight="1" spans="1:6">
      <c r="A5" s="40" t="s">
        <v>2</v>
      </c>
      <c r="B5" s="41" t="s">
        <v>225</v>
      </c>
      <c r="C5" s="41" t="s">
        <v>226</v>
      </c>
      <c r="D5" s="41" t="s">
        <v>227</v>
      </c>
      <c r="E5" s="41" t="s">
        <v>228</v>
      </c>
      <c r="F5" s="43" t="s">
        <v>85</v>
      </c>
    </row>
    <row r="6" ht="15" customHeight="1" spans="1:6">
      <c r="A6" s="44">
        <v>1</v>
      </c>
      <c r="B6" s="45" t="s">
        <v>229</v>
      </c>
      <c r="C6" s="46" t="s">
        <v>230</v>
      </c>
      <c r="D6" s="45">
        <v>2</v>
      </c>
      <c r="E6" s="60">
        <v>0.42831377808662</v>
      </c>
      <c r="F6" s="48"/>
    </row>
    <row r="7" ht="15" customHeight="1" spans="1:6">
      <c r="A7" s="44">
        <v>2</v>
      </c>
      <c r="B7" s="45" t="s">
        <v>229</v>
      </c>
      <c r="C7" s="46" t="s">
        <v>231</v>
      </c>
      <c r="D7" s="45">
        <v>2</v>
      </c>
      <c r="E7" s="60">
        <v>0.299858757062653</v>
      </c>
      <c r="F7" s="48"/>
    </row>
    <row r="8" ht="15" customHeight="1" spans="1:6">
      <c r="A8" s="44">
        <v>3</v>
      </c>
      <c r="B8" s="45" t="s">
        <v>229</v>
      </c>
      <c r="C8" s="46" t="s">
        <v>232</v>
      </c>
      <c r="D8" s="45">
        <v>2</v>
      </c>
      <c r="E8" s="60">
        <v>0.438440616500453</v>
      </c>
      <c r="F8" s="48"/>
    </row>
    <row r="9" ht="15" customHeight="1" spans="1:6">
      <c r="A9" s="44">
        <v>4</v>
      </c>
      <c r="B9" s="45" t="s">
        <v>229</v>
      </c>
      <c r="C9" s="46" t="s">
        <v>233</v>
      </c>
      <c r="D9" s="45">
        <v>2</v>
      </c>
      <c r="E9" s="60">
        <v>0.385010005457522</v>
      </c>
      <c r="F9" s="48"/>
    </row>
    <row r="10" ht="15" customHeight="1" spans="1:6">
      <c r="A10" s="44">
        <v>5</v>
      </c>
      <c r="B10" s="45" t="s">
        <v>229</v>
      </c>
      <c r="C10" s="46" t="s">
        <v>234</v>
      </c>
      <c r="D10" s="45">
        <v>2</v>
      </c>
      <c r="E10" s="60">
        <v>0.320448179271709</v>
      </c>
      <c r="F10" s="48"/>
    </row>
    <row r="11" ht="15" customHeight="1" spans="1:6">
      <c r="A11" s="44">
        <v>6</v>
      </c>
      <c r="B11" s="45" t="s">
        <v>229</v>
      </c>
      <c r="C11" s="46" t="s">
        <v>235</v>
      </c>
      <c r="D11" s="45">
        <v>2</v>
      </c>
      <c r="E11" s="60">
        <v>0.275441412520064</v>
      </c>
      <c r="F11" s="49"/>
    </row>
    <row r="12" ht="15" customHeight="1" spans="1:6">
      <c r="A12" s="44">
        <v>7</v>
      </c>
      <c r="B12" s="45" t="s">
        <v>229</v>
      </c>
      <c r="C12" s="46" t="s">
        <v>236</v>
      </c>
      <c r="D12" s="45">
        <v>2</v>
      </c>
      <c r="E12" s="60"/>
      <c r="F12" s="48"/>
    </row>
    <row r="13" ht="15" customHeight="1" spans="1:6">
      <c r="A13" s="44">
        <v>8</v>
      </c>
      <c r="B13" s="45" t="s">
        <v>229</v>
      </c>
      <c r="C13" s="46" t="s">
        <v>237</v>
      </c>
      <c r="D13" s="45">
        <v>2</v>
      </c>
      <c r="E13" s="60">
        <v>1.46789252105147</v>
      </c>
      <c r="F13" s="48"/>
    </row>
    <row r="14" ht="15" customHeight="1" spans="1:6">
      <c r="A14" s="44">
        <v>9</v>
      </c>
      <c r="B14" s="45" t="s">
        <v>229</v>
      </c>
      <c r="C14" s="46" t="s">
        <v>238</v>
      </c>
      <c r="D14" s="45">
        <v>2</v>
      </c>
      <c r="E14" s="60">
        <v>0.351651109102515</v>
      </c>
      <c r="F14" s="48"/>
    </row>
    <row r="15" ht="15" customHeight="1" spans="1:6">
      <c r="A15" s="44">
        <v>10</v>
      </c>
      <c r="B15" s="45" t="s">
        <v>229</v>
      </c>
      <c r="C15" s="46" t="s">
        <v>239</v>
      </c>
      <c r="D15" s="45">
        <v>2</v>
      </c>
      <c r="E15" s="60">
        <v>0.509186116098145</v>
      </c>
      <c r="F15" s="48"/>
    </row>
    <row r="16" ht="15" customHeight="1" spans="1:6">
      <c r="A16" s="44">
        <v>11</v>
      </c>
      <c r="B16" s="45" t="s">
        <v>229</v>
      </c>
      <c r="C16" s="46" t="s">
        <v>240</v>
      </c>
      <c r="D16" s="45">
        <v>2</v>
      </c>
      <c r="E16" s="60">
        <v>0.370826580226904</v>
      </c>
      <c r="F16" s="48"/>
    </row>
    <row r="17" ht="15" customHeight="1" spans="1:6">
      <c r="A17" s="44">
        <v>12</v>
      </c>
      <c r="B17" s="45" t="s">
        <v>229</v>
      </c>
      <c r="C17" s="46" t="s">
        <v>241</v>
      </c>
      <c r="D17" s="45">
        <v>2</v>
      </c>
      <c r="E17" s="60">
        <v>0.418208450515797</v>
      </c>
      <c r="F17" s="48"/>
    </row>
    <row r="18" ht="15" customHeight="1" spans="1:6">
      <c r="A18" s="44">
        <v>13</v>
      </c>
      <c r="B18" s="45" t="s">
        <v>229</v>
      </c>
      <c r="C18" s="50" t="s">
        <v>242</v>
      </c>
      <c r="D18" s="45">
        <v>2</v>
      </c>
      <c r="E18" s="60">
        <v>0.285870059064062</v>
      </c>
      <c r="F18" s="48"/>
    </row>
    <row r="19" ht="15" customHeight="1" spans="1:6">
      <c r="A19" s="44">
        <v>14</v>
      </c>
      <c r="B19" s="45" t="s">
        <v>229</v>
      </c>
      <c r="C19" s="46" t="s">
        <v>243</v>
      </c>
      <c r="D19" s="45">
        <v>2</v>
      </c>
      <c r="E19" s="60">
        <v>0.432864864864865</v>
      </c>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0.349968462217738</v>
      </c>
      <c r="F21" s="48"/>
    </row>
    <row r="22" ht="15" customHeight="1" spans="1:6">
      <c r="A22" s="44">
        <v>17</v>
      </c>
      <c r="B22" s="45" t="s">
        <v>245</v>
      </c>
      <c r="C22" s="46" t="s">
        <v>246</v>
      </c>
      <c r="D22" s="45">
        <v>2</v>
      </c>
      <c r="E22" s="60">
        <v>0.463370802109757</v>
      </c>
      <c r="F22" s="48"/>
    </row>
    <row r="23" ht="15" customHeight="1" spans="1:6">
      <c r="A23" s="44">
        <v>18</v>
      </c>
      <c r="B23" s="45" t="s">
        <v>245</v>
      </c>
      <c r="C23" s="46" t="s">
        <v>247</v>
      </c>
      <c r="D23" s="45">
        <v>2</v>
      </c>
      <c r="E23" s="60">
        <v>0.309571997296547</v>
      </c>
      <c r="F23" s="48"/>
    </row>
    <row r="24" ht="15" customHeight="1" spans="1:6">
      <c r="A24" s="44">
        <v>19</v>
      </c>
      <c r="B24" s="45" t="s">
        <v>245</v>
      </c>
      <c r="C24" s="46" t="s">
        <v>244</v>
      </c>
      <c r="D24" s="45">
        <v>2</v>
      </c>
      <c r="E24" s="60">
        <v>0.59434375</v>
      </c>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0.450780035383048</v>
      </c>
      <c r="F26" s="48"/>
    </row>
    <row r="27" ht="15" customHeight="1" spans="1:6">
      <c r="A27" s="44">
        <v>22</v>
      </c>
      <c r="B27" s="45" t="s">
        <v>229</v>
      </c>
      <c r="C27" s="46" t="s">
        <v>246</v>
      </c>
      <c r="D27" s="45">
        <v>3</v>
      </c>
      <c r="E27" s="60">
        <v>0.438384536863057</v>
      </c>
      <c r="F27" s="48"/>
    </row>
    <row r="28" ht="15" customHeight="1" spans="1:6">
      <c r="A28" s="44">
        <v>23</v>
      </c>
      <c r="B28" s="45" t="s">
        <v>229</v>
      </c>
      <c r="C28" s="46" t="s">
        <v>247</v>
      </c>
      <c r="D28" s="45">
        <v>3</v>
      </c>
      <c r="E28" s="60">
        <v>0.597749196141479</v>
      </c>
      <c r="F28" s="48"/>
    </row>
    <row r="29" ht="15" customHeight="1" spans="1:6">
      <c r="A29" s="44">
        <v>24</v>
      </c>
      <c r="B29" s="45" t="s">
        <v>229</v>
      </c>
      <c r="C29" s="46" t="s">
        <v>231</v>
      </c>
      <c r="D29" s="45">
        <v>3</v>
      </c>
      <c r="E29" s="60">
        <v>0.572536753206131</v>
      </c>
      <c r="F29" s="48"/>
    </row>
    <row r="30" ht="15" customHeight="1" spans="1:6">
      <c r="A30" s="44">
        <v>25</v>
      </c>
      <c r="B30" s="45" t="s">
        <v>229</v>
      </c>
      <c r="C30" s="46" t="s">
        <v>249</v>
      </c>
      <c r="D30" s="45">
        <v>3</v>
      </c>
      <c r="E30" s="60">
        <v>0.698778359511344</v>
      </c>
      <c r="F30" s="48"/>
    </row>
    <row r="31" ht="15" customHeight="1" spans="1:6">
      <c r="A31" s="44">
        <v>26</v>
      </c>
      <c r="B31" s="45" t="s">
        <v>229</v>
      </c>
      <c r="C31" s="46" t="s">
        <v>237</v>
      </c>
      <c r="D31" s="45">
        <v>3</v>
      </c>
      <c r="E31" s="60">
        <v>1.3646056929538</v>
      </c>
      <c r="F31" s="48"/>
    </row>
    <row r="32" ht="15" customHeight="1" spans="1:6">
      <c r="A32" s="44">
        <v>27</v>
      </c>
      <c r="B32" s="45" t="s">
        <v>229</v>
      </c>
      <c r="C32" s="46" t="s">
        <v>250</v>
      </c>
      <c r="D32" s="45">
        <v>3</v>
      </c>
      <c r="E32" s="60">
        <v>0.448419113205127</v>
      </c>
      <c r="F32" s="48"/>
    </row>
    <row r="33" ht="15" customHeight="1" spans="1:6">
      <c r="A33" s="44">
        <v>28</v>
      </c>
      <c r="B33" s="45" t="s">
        <v>229</v>
      </c>
      <c r="C33" s="46" t="s">
        <v>241</v>
      </c>
      <c r="D33" s="45">
        <v>3</v>
      </c>
      <c r="E33" s="60">
        <v>0.510876620660764</v>
      </c>
      <c r="F33" s="48"/>
    </row>
    <row r="34" ht="15" customHeight="1" spans="1:6">
      <c r="A34" s="44">
        <v>29</v>
      </c>
      <c r="B34" s="45" t="s">
        <v>245</v>
      </c>
      <c r="C34" s="46" t="s">
        <v>230</v>
      </c>
      <c r="D34" s="45">
        <v>3</v>
      </c>
      <c r="E34" s="60">
        <v>0.383214385671935</v>
      </c>
      <c r="F34" s="48"/>
    </row>
    <row r="35" ht="15" customHeight="1" spans="1:6">
      <c r="A35" s="44">
        <v>30</v>
      </c>
      <c r="B35" s="45" t="s">
        <v>245</v>
      </c>
      <c r="C35" s="46" t="s">
        <v>246</v>
      </c>
      <c r="D35" s="45">
        <v>3</v>
      </c>
      <c r="E35" s="60">
        <v>0.431540520807982</v>
      </c>
      <c r="F35" s="48"/>
    </row>
    <row r="36" ht="15" customHeight="1" spans="1:6">
      <c r="A36" s="44">
        <v>31</v>
      </c>
      <c r="B36" s="45" t="s">
        <v>245</v>
      </c>
      <c r="C36" s="46" t="s">
        <v>247</v>
      </c>
      <c r="D36" s="45">
        <v>3</v>
      </c>
      <c r="E36" s="60">
        <v>0.511087921611631</v>
      </c>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0.457345429647381</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51">
        <v>39</v>
      </c>
      <c r="B44" s="52" t="s">
        <v>229</v>
      </c>
      <c r="C44" s="53" t="s">
        <v>252</v>
      </c>
      <c r="D44" s="52">
        <v>4</v>
      </c>
      <c r="E44" s="61"/>
      <c r="F44" s="55"/>
    </row>
    <row r="45" customHeight="1" spans="1:6">
      <c r="A45" s="35"/>
      <c r="B45" s="35"/>
      <c r="C45" s="35"/>
      <c r="D45" s="36"/>
      <c r="E45" s="38"/>
      <c r="F45" s="38"/>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&amp;L&amp;18&amp;B— 18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XER45"/>
  <sheetViews>
    <sheetView zoomScale="115" zoomScaleNormal="115" workbookViewId="0">
      <pane ySplit="5" topLeftCell="A6" activePane="bottomLeft" state="frozen"/>
      <selection/>
      <selection pane="bottomLeft" activeCell="A16" sqref="A16"/>
    </sheetView>
  </sheetViews>
  <sheetFormatPr defaultColWidth="4.875" defaultRowHeight="16" customHeight="1"/>
  <cols>
    <col min="1" max="3" width="13.625" style="146" customWidth="1"/>
    <col min="4" max="4" width="13.625" style="147" customWidth="1"/>
    <col min="5" max="7" width="13.625" style="148" customWidth="1"/>
    <col min="8" max="16343" width="4.875" style="149"/>
  </cols>
  <sheetData>
    <row r="1" s="2" customFormat="1" ht="20.25" spans="1:7">
      <c r="A1" s="1" t="s">
        <v>253</v>
      </c>
      <c r="B1" s="18"/>
      <c r="C1" s="18"/>
      <c r="D1" s="18"/>
      <c r="E1" s="18"/>
      <c r="F1" s="18"/>
      <c r="G1" s="18"/>
    </row>
    <row r="2" s="2" customFormat="1" ht="20.25" spans="1:7">
      <c r="A2" s="20"/>
      <c r="B2" s="18"/>
      <c r="C2" s="18"/>
      <c r="D2" s="18"/>
      <c r="E2" s="18"/>
      <c r="F2" s="18"/>
      <c r="G2" s="18"/>
    </row>
    <row r="3" s="81" customFormat="1" ht="29.25" spans="1:7">
      <c r="A3" s="182" t="s">
        <v>10</v>
      </c>
      <c r="B3" s="182"/>
      <c r="C3" s="182"/>
      <c r="D3" s="182"/>
      <c r="E3" s="183"/>
      <c r="F3" s="183"/>
      <c r="G3" s="183"/>
    </row>
    <row r="4" s="81" customFormat="1" customHeight="1" spans="1:7">
      <c r="A4" s="57"/>
      <c r="B4" s="57"/>
      <c r="C4" s="58"/>
      <c r="D4" s="58"/>
      <c r="E4" s="59" t="s">
        <v>254</v>
      </c>
      <c r="F4" s="59"/>
      <c r="G4" s="59"/>
    </row>
    <row r="5" s="130" customFormat="1" ht="15" customHeight="1" spans="1:16372">
      <c r="A5" s="40" t="s">
        <v>2</v>
      </c>
      <c r="B5" s="41" t="s">
        <v>225</v>
      </c>
      <c r="C5" s="41" t="s">
        <v>226</v>
      </c>
      <c r="D5" s="41" t="s">
        <v>227</v>
      </c>
      <c r="E5" s="41" t="s">
        <v>255</v>
      </c>
      <c r="F5" s="41" t="s">
        <v>256</v>
      </c>
      <c r="G5" s="43" t="s">
        <v>85</v>
      </c>
      <c r="H5" s="149"/>
      <c r="XDP5"/>
      <c r="XDQ5"/>
      <c r="XDR5"/>
      <c r="XDS5"/>
      <c r="XDT5"/>
      <c r="XDU5"/>
      <c r="XDV5"/>
      <c r="XDW5"/>
      <c r="XDX5"/>
      <c r="XDY5"/>
      <c r="XDZ5"/>
      <c r="XEA5"/>
      <c r="XEB5"/>
      <c r="XEC5"/>
      <c r="XED5"/>
      <c r="XEE5"/>
      <c r="XEF5"/>
      <c r="XEG5"/>
      <c r="XEH5"/>
      <c r="XEI5"/>
      <c r="XEJ5"/>
      <c r="XEK5"/>
      <c r="XEL5"/>
      <c r="XEM5"/>
      <c r="XEN5"/>
      <c r="XEO5"/>
      <c r="XEP5"/>
      <c r="XEQ5"/>
      <c r="XER5"/>
    </row>
    <row r="6" s="130" customFormat="1" ht="15" customHeight="1" spans="1:16372">
      <c r="A6" s="44">
        <v>1</v>
      </c>
      <c r="B6" s="45" t="s">
        <v>229</v>
      </c>
      <c r="C6" s="46" t="s">
        <v>230</v>
      </c>
      <c r="D6" s="45">
        <v>2</v>
      </c>
      <c r="E6" s="60">
        <v>18.7200077835061</v>
      </c>
      <c r="F6" s="60">
        <v>21.2160088213069</v>
      </c>
      <c r="G6" s="48"/>
      <c r="H6" s="149"/>
      <c r="XDP6"/>
      <c r="XDQ6"/>
      <c r="XDR6"/>
      <c r="XDS6"/>
      <c r="XDT6"/>
      <c r="XDU6"/>
      <c r="XDV6"/>
      <c r="XDW6"/>
      <c r="XDX6"/>
      <c r="XDY6"/>
      <c r="XDZ6"/>
      <c r="XEA6"/>
      <c r="XEB6"/>
      <c r="XEC6"/>
      <c r="XED6"/>
      <c r="XEE6"/>
      <c r="XEF6"/>
      <c r="XEG6"/>
      <c r="XEH6"/>
      <c r="XEI6"/>
      <c r="XEJ6"/>
      <c r="XEK6"/>
      <c r="XEL6"/>
      <c r="XEM6"/>
      <c r="XEN6"/>
      <c r="XEO6"/>
      <c r="XEP6"/>
      <c r="XEQ6"/>
      <c r="XER6"/>
    </row>
    <row r="7" s="130" customFormat="1" ht="15" customHeight="1" spans="1:16372">
      <c r="A7" s="44">
        <v>2</v>
      </c>
      <c r="B7" s="45" t="s">
        <v>229</v>
      </c>
      <c r="C7" s="46" t="s">
        <v>231</v>
      </c>
      <c r="D7" s="45">
        <v>2</v>
      </c>
      <c r="E7" s="60">
        <v>13.1057149065845</v>
      </c>
      <c r="F7" s="60">
        <v>14.8531435607957</v>
      </c>
      <c r="G7" s="48"/>
      <c r="H7" s="149"/>
      <c r="XDP7"/>
      <c r="XDQ7"/>
      <c r="XDR7"/>
      <c r="XDS7"/>
      <c r="XDT7"/>
      <c r="XDU7"/>
      <c r="XDV7"/>
      <c r="XDW7"/>
      <c r="XDX7"/>
      <c r="XDY7"/>
      <c r="XDZ7"/>
      <c r="XEA7"/>
      <c r="XEB7"/>
      <c r="XEC7"/>
      <c r="XED7"/>
      <c r="XEE7"/>
      <c r="XEF7"/>
      <c r="XEG7"/>
      <c r="XEH7"/>
      <c r="XEI7"/>
      <c r="XEJ7"/>
      <c r="XEK7"/>
      <c r="XEL7"/>
      <c r="XEM7"/>
      <c r="XEN7"/>
      <c r="XEO7"/>
      <c r="XEP7"/>
      <c r="XEQ7"/>
      <c r="XER7"/>
    </row>
    <row r="8" s="130" customFormat="1" ht="15" customHeight="1" spans="1:16372">
      <c r="A8" s="44">
        <v>3</v>
      </c>
      <c r="B8" s="45" t="s">
        <v>229</v>
      </c>
      <c r="C8" s="46" t="s">
        <v>232</v>
      </c>
      <c r="D8" s="45">
        <v>2</v>
      </c>
      <c r="E8" s="60">
        <v>19.1626143575373</v>
      </c>
      <c r="F8" s="60">
        <v>21.7176296052089</v>
      </c>
      <c r="G8" s="48"/>
      <c r="H8" s="149"/>
      <c r="XDP8"/>
      <c r="XDQ8"/>
      <c r="XDR8"/>
      <c r="XDS8"/>
      <c r="XDT8"/>
      <c r="XDU8"/>
      <c r="XDV8"/>
      <c r="XDW8"/>
      <c r="XDX8"/>
      <c r="XDY8"/>
      <c r="XDZ8"/>
      <c r="XEA8"/>
      <c r="XEB8"/>
      <c r="XEC8"/>
      <c r="XED8"/>
      <c r="XEE8"/>
      <c r="XEF8"/>
      <c r="XEG8"/>
      <c r="XEH8"/>
      <c r="XEI8"/>
      <c r="XEJ8"/>
      <c r="XEK8"/>
      <c r="XEL8"/>
      <c r="XEM8"/>
      <c r="XEN8"/>
      <c r="XEO8"/>
      <c r="XEP8"/>
      <c r="XEQ8"/>
      <c r="XER8"/>
    </row>
    <row r="9" s="130" customFormat="1" ht="15" customHeight="1" spans="1:16372">
      <c r="A9" s="44">
        <v>4</v>
      </c>
      <c r="B9" s="45" t="s">
        <v>229</v>
      </c>
      <c r="C9" s="46" t="s">
        <v>233</v>
      </c>
      <c r="D9" s="45">
        <v>2</v>
      </c>
      <c r="E9" s="60">
        <v>16.8273603783882</v>
      </c>
      <c r="F9" s="60">
        <v>19.07100842884</v>
      </c>
      <c r="G9" s="48"/>
      <c r="H9" s="149"/>
      <c r="XDP9"/>
      <c r="XDQ9"/>
      <c r="XDR9"/>
      <c r="XDS9"/>
      <c r="XDT9"/>
      <c r="XDU9"/>
      <c r="XDV9"/>
      <c r="XDW9"/>
      <c r="XDX9"/>
      <c r="XDY9"/>
      <c r="XDZ9"/>
      <c r="XEA9"/>
      <c r="XEB9"/>
      <c r="XEC9"/>
      <c r="XED9"/>
      <c r="XEE9"/>
      <c r="XEF9"/>
      <c r="XEG9"/>
      <c r="XEH9"/>
      <c r="XEI9"/>
      <c r="XEJ9"/>
      <c r="XEK9"/>
      <c r="XEL9"/>
      <c r="XEM9"/>
      <c r="XEN9"/>
      <c r="XEO9"/>
      <c r="XEP9"/>
      <c r="XEQ9"/>
      <c r="XER9"/>
    </row>
    <row r="10" s="130" customFormat="1" ht="15" customHeight="1" spans="1:16372">
      <c r="A10" s="44">
        <v>5</v>
      </c>
      <c r="B10" s="45" t="s">
        <v>229</v>
      </c>
      <c r="C10" s="46" t="s">
        <v>234</v>
      </c>
      <c r="D10" s="45">
        <v>2</v>
      </c>
      <c r="E10" s="60">
        <v>14.0056022408964</v>
      </c>
      <c r="F10" s="60">
        <v>15.8730158730159</v>
      </c>
      <c r="G10" s="48"/>
      <c r="H10" s="149"/>
      <c r="XDP10"/>
      <c r="XDQ10"/>
      <c r="XDR10"/>
      <c r="XDS10"/>
      <c r="XDT10"/>
      <c r="XDU10"/>
      <c r="XDV10"/>
      <c r="XDW10"/>
      <c r="XDX10"/>
      <c r="XDY10"/>
      <c r="XDZ10"/>
      <c r="XEA10"/>
      <c r="XEB10"/>
      <c r="XEC10"/>
      <c r="XED10"/>
      <c r="XEE10"/>
      <c r="XEF10"/>
      <c r="XEG10"/>
      <c r="XEH10"/>
      <c r="XEI10"/>
      <c r="XEJ10"/>
      <c r="XEK10"/>
      <c r="XEL10"/>
      <c r="XEM10"/>
      <c r="XEN10"/>
      <c r="XEO10"/>
      <c r="XEP10"/>
      <c r="XEQ10"/>
      <c r="XER10"/>
    </row>
    <row r="11" s="130" customFormat="1" ht="15" customHeight="1" spans="1:16372">
      <c r="A11" s="44">
        <v>6</v>
      </c>
      <c r="B11" s="45" t="s">
        <v>229</v>
      </c>
      <c r="C11" s="46" t="s">
        <v>235</v>
      </c>
      <c r="D11" s="45">
        <v>2</v>
      </c>
      <c r="E11" s="60">
        <v>12.0385232744783</v>
      </c>
      <c r="F11" s="60">
        <v>13.6436597110754</v>
      </c>
      <c r="G11" s="49"/>
      <c r="H11" s="149"/>
      <c r="XDP11"/>
      <c r="XDQ11"/>
      <c r="XDR11"/>
      <c r="XDS11"/>
      <c r="XDT11"/>
      <c r="XDU11"/>
      <c r="XDV11"/>
      <c r="XDW11"/>
      <c r="XDX11"/>
      <c r="XDY11"/>
      <c r="XDZ11"/>
      <c r="XEA11"/>
      <c r="XEB11"/>
      <c r="XEC11"/>
      <c r="XED11"/>
      <c r="XEE11"/>
      <c r="XEF11"/>
      <c r="XEG11"/>
      <c r="XEH11"/>
      <c r="XEI11"/>
      <c r="XEJ11"/>
      <c r="XEK11"/>
      <c r="XEL11"/>
      <c r="XEM11"/>
      <c r="XEN11"/>
      <c r="XEO11"/>
      <c r="XEP11"/>
      <c r="XEQ11"/>
      <c r="XER11"/>
    </row>
    <row r="12" s="130" customFormat="1" ht="15" customHeight="1" spans="1:16372">
      <c r="A12" s="44">
        <v>7</v>
      </c>
      <c r="B12" s="45" t="s">
        <v>229</v>
      </c>
      <c r="C12" s="46" t="s">
        <v>236</v>
      </c>
      <c r="D12" s="45">
        <v>2</v>
      </c>
      <c r="E12" s="60"/>
      <c r="F12" s="60"/>
      <c r="G12" s="48"/>
      <c r="H12" s="149"/>
      <c r="XDP12"/>
      <c r="XDQ12"/>
      <c r="XDR12"/>
      <c r="XDS12"/>
      <c r="XDT12"/>
      <c r="XDU12"/>
      <c r="XDV12"/>
      <c r="XDW12"/>
      <c r="XDX12"/>
      <c r="XDY12"/>
      <c r="XDZ12"/>
      <c r="XEA12"/>
      <c r="XEB12"/>
      <c r="XEC12"/>
      <c r="XED12"/>
      <c r="XEE12"/>
      <c r="XEF12"/>
      <c r="XEG12"/>
      <c r="XEH12"/>
      <c r="XEI12"/>
      <c r="XEJ12"/>
      <c r="XEK12"/>
      <c r="XEL12"/>
      <c r="XEM12"/>
      <c r="XEN12"/>
      <c r="XEO12"/>
      <c r="XEP12"/>
      <c r="XEQ12"/>
      <c r="XER12"/>
    </row>
    <row r="13" s="130" customFormat="1" ht="15" customHeight="1" spans="1:16372">
      <c r="A13" s="44">
        <v>8</v>
      </c>
      <c r="B13" s="45" t="s">
        <v>229</v>
      </c>
      <c r="C13" s="46" t="s">
        <v>237</v>
      </c>
      <c r="D13" s="45">
        <v>2</v>
      </c>
      <c r="E13" s="60">
        <v>64.1561416543473</v>
      </c>
      <c r="F13" s="60">
        <v>72.710293874927</v>
      </c>
      <c r="G13" s="48"/>
      <c r="H13" s="149"/>
      <c r="XDP13"/>
      <c r="XDQ13"/>
      <c r="XDR13"/>
      <c r="XDS13"/>
      <c r="XDT13"/>
      <c r="XDU13"/>
      <c r="XDV13"/>
      <c r="XDW13"/>
      <c r="XDX13"/>
      <c r="XDY13"/>
      <c r="XDZ13"/>
      <c r="XEA13"/>
      <c r="XEB13"/>
      <c r="XEC13"/>
      <c r="XED13"/>
      <c r="XEE13"/>
      <c r="XEF13"/>
      <c r="XEG13"/>
      <c r="XEH13"/>
      <c r="XEI13"/>
      <c r="XEJ13"/>
      <c r="XEK13"/>
      <c r="XEL13"/>
      <c r="XEM13"/>
      <c r="XEN13"/>
      <c r="XEO13"/>
      <c r="XEP13"/>
      <c r="XEQ13"/>
      <c r="XER13"/>
    </row>
    <row r="14" s="130" customFormat="1" ht="15" customHeight="1" spans="1:16372">
      <c r="A14" s="44">
        <v>9</v>
      </c>
      <c r="B14" s="45" t="s">
        <v>229</v>
      </c>
      <c r="C14" s="46" t="s">
        <v>238</v>
      </c>
      <c r="D14" s="45">
        <v>2</v>
      </c>
      <c r="E14" s="60">
        <v>15.3693666565784</v>
      </c>
      <c r="F14" s="60">
        <v>17.4186155441222</v>
      </c>
      <c r="G14" s="48"/>
      <c r="H14" s="149"/>
      <c r="XDP14"/>
      <c r="XDQ14"/>
      <c r="XDR14"/>
      <c r="XDS14"/>
      <c r="XDT14"/>
      <c r="XDU14"/>
      <c r="XDV14"/>
      <c r="XDW14"/>
      <c r="XDX14"/>
      <c r="XDY14"/>
      <c r="XDZ14"/>
      <c r="XEA14"/>
      <c r="XEB14"/>
      <c r="XEC14"/>
      <c r="XED14"/>
      <c r="XEE14"/>
      <c r="XEF14"/>
      <c r="XEG14"/>
      <c r="XEH14"/>
      <c r="XEI14"/>
      <c r="XEJ14"/>
      <c r="XEK14"/>
      <c r="XEL14"/>
      <c r="XEM14"/>
      <c r="XEN14"/>
      <c r="XEO14"/>
      <c r="XEP14"/>
      <c r="XEQ14"/>
      <c r="XER14"/>
    </row>
    <row r="15" s="130" customFormat="1" ht="15" customHeight="1" spans="1:16372">
      <c r="A15" s="44">
        <v>10</v>
      </c>
      <c r="B15" s="45" t="s">
        <v>229</v>
      </c>
      <c r="C15" s="46" t="s">
        <v>239</v>
      </c>
      <c r="D15" s="45">
        <v>2</v>
      </c>
      <c r="E15" s="60">
        <v>22.2546379413525</v>
      </c>
      <c r="F15" s="60">
        <v>25.2219230001995</v>
      </c>
      <c r="G15" s="48"/>
      <c r="H15" s="149"/>
      <c r="XDP15"/>
      <c r="XDQ15"/>
      <c r="XDR15"/>
      <c r="XDS15"/>
      <c r="XDT15"/>
      <c r="XDU15"/>
      <c r="XDV15"/>
      <c r="XDW15"/>
      <c r="XDX15"/>
      <c r="XDY15"/>
      <c r="XDZ15"/>
      <c r="XEA15"/>
      <c r="XEB15"/>
      <c r="XEC15"/>
      <c r="XED15"/>
      <c r="XEE15"/>
      <c r="XEF15"/>
      <c r="XEG15"/>
      <c r="XEH15"/>
      <c r="XEI15"/>
      <c r="XEJ15"/>
      <c r="XEK15"/>
      <c r="XEL15"/>
      <c r="XEM15"/>
      <c r="XEN15"/>
      <c r="XEO15"/>
      <c r="XEP15"/>
      <c r="XEQ15"/>
      <c r="XER15"/>
    </row>
    <row r="16" s="130" customFormat="1" ht="15" customHeight="1" spans="1:16372">
      <c r="A16" s="44">
        <v>11</v>
      </c>
      <c r="B16" s="45" t="s">
        <v>229</v>
      </c>
      <c r="C16" s="46" t="s">
        <v>240</v>
      </c>
      <c r="D16" s="45">
        <v>2</v>
      </c>
      <c r="E16" s="60">
        <v>16.2074554294976</v>
      </c>
      <c r="F16" s="60">
        <v>18.3684494867639</v>
      </c>
      <c r="G16" s="48"/>
      <c r="H16" s="149"/>
      <c r="XDP16"/>
      <c r="XDQ16"/>
      <c r="XDR16"/>
      <c r="XDS16"/>
      <c r="XDT16"/>
      <c r="XDU16"/>
      <c r="XDV16"/>
      <c r="XDW16"/>
      <c r="XDX16"/>
      <c r="XDY16"/>
      <c r="XDZ16"/>
      <c r="XEA16"/>
      <c r="XEB16"/>
      <c r="XEC16"/>
      <c r="XED16"/>
      <c r="XEE16"/>
      <c r="XEF16"/>
      <c r="XEG16"/>
      <c r="XEH16"/>
      <c r="XEI16"/>
      <c r="XEJ16"/>
      <c r="XEK16"/>
      <c r="XEL16"/>
      <c r="XEM16"/>
      <c r="XEN16"/>
      <c r="XEO16"/>
      <c r="XEP16"/>
      <c r="XEQ16"/>
      <c r="XER16"/>
    </row>
    <row r="17" s="130" customFormat="1" ht="15" customHeight="1" spans="1:16372">
      <c r="A17" s="44">
        <v>12</v>
      </c>
      <c r="B17" s="45" t="s">
        <v>229</v>
      </c>
      <c r="C17" s="46" t="s">
        <v>241</v>
      </c>
      <c r="D17" s="45">
        <v>2</v>
      </c>
      <c r="E17" s="60">
        <v>18.2783413686974</v>
      </c>
      <c r="F17" s="60">
        <v>20.7154535511904</v>
      </c>
      <c r="G17" s="48"/>
      <c r="H17" s="149"/>
      <c r="XDP17"/>
      <c r="XDQ17"/>
      <c r="XDR17"/>
      <c r="XDS17"/>
      <c r="XDT17"/>
      <c r="XDU17"/>
      <c r="XDV17"/>
      <c r="XDW17"/>
      <c r="XDX17"/>
      <c r="XDY17"/>
      <c r="XDZ17"/>
      <c r="XEA17"/>
      <c r="XEB17"/>
      <c r="XEC17"/>
      <c r="XED17"/>
      <c r="XEE17"/>
      <c r="XEF17"/>
      <c r="XEG17"/>
      <c r="XEH17"/>
      <c r="XEI17"/>
      <c r="XEJ17"/>
      <c r="XEK17"/>
      <c r="XEL17"/>
      <c r="XEM17"/>
      <c r="XEN17"/>
      <c r="XEO17"/>
      <c r="XEP17"/>
      <c r="XEQ17"/>
      <c r="XER17"/>
    </row>
    <row r="18" s="130" customFormat="1" ht="15" customHeight="1" spans="1:16372">
      <c r="A18" s="44">
        <v>13</v>
      </c>
      <c r="B18" s="45" t="s">
        <v>229</v>
      </c>
      <c r="C18" s="50" t="s">
        <v>242</v>
      </c>
      <c r="D18" s="45">
        <v>2</v>
      </c>
      <c r="E18" s="60">
        <v>12.4943207632894</v>
      </c>
      <c r="F18" s="60">
        <v>14.1602301983947</v>
      </c>
      <c r="G18" s="48"/>
      <c r="H18" s="149"/>
      <c r="XDP18"/>
      <c r="XDQ18"/>
      <c r="XDR18"/>
      <c r="XDS18"/>
      <c r="XDT18"/>
      <c r="XDU18"/>
      <c r="XDV18"/>
      <c r="XDW18"/>
      <c r="XDX18"/>
      <c r="XDY18"/>
      <c r="XDZ18"/>
      <c r="XEA18"/>
      <c r="XEB18"/>
      <c r="XEC18"/>
      <c r="XED18"/>
      <c r="XEE18"/>
      <c r="XEF18"/>
      <c r="XEG18"/>
      <c r="XEH18"/>
      <c r="XEI18"/>
      <c r="XEJ18"/>
      <c r="XEK18"/>
      <c r="XEL18"/>
      <c r="XEM18"/>
      <c r="XEN18"/>
      <c r="XEO18"/>
      <c r="XEP18"/>
      <c r="XEQ18"/>
      <c r="XER18"/>
    </row>
    <row r="19" s="130" customFormat="1" ht="15" customHeight="1" spans="1:16372">
      <c r="A19" s="44">
        <v>14</v>
      </c>
      <c r="B19" s="45" t="s">
        <v>229</v>
      </c>
      <c r="C19" s="46" t="s">
        <v>243</v>
      </c>
      <c r="D19" s="45">
        <v>2</v>
      </c>
      <c r="E19" s="60">
        <v>18.9189189189189</v>
      </c>
      <c r="F19" s="60">
        <v>21.4414414414414</v>
      </c>
      <c r="G19" s="48"/>
      <c r="H19" s="149"/>
      <c r="XDP19"/>
      <c r="XDQ19"/>
      <c r="XDR19"/>
      <c r="XDS19"/>
      <c r="XDT19"/>
      <c r="XDU19"/>
      <c r="XDV19"/>
      <c r="XDW19"/>
      <c r="XDX19"/>
      <c r="XDY19"/>
      <c r="XDZ19"/>
      <c r="XEA19"/>
      <c r="XEB19"/>
      <c r="XEC19"/>
      <c r="XED19"/>
      <c r="XEE19"/>
      <c r="XEF19"/>
      <c r="XEG19"/>
      <c r="XEH19"/>
      <c r="XEI19"/>
      <c r="XEJ19"/>
      <c r="XEK19"/>
      <c r="XEL19"/>
      <c r="XEM19"/>
      <c r="XEN19"/>
      <c r="XEO19"/>
      <c r="XEP19"/>
      <c r="XEQ19"/>
      <c r="XER19"/>
    </row>
    <row r="20" s="130" customFormat="1" ht="15" customHeight="1" spans="1:16372">
      <c r="A20" s="44">
        <v>15</v>
      </c>
      <c r="B20" s="45" t="s">
        <v>229</v>
      </c>
      <c r="C20" s="46" t="s">
        <v>244</v>
      </c>
      <c r="D20" s="45">
        <v>2</v>
      </c>
      <c r="E20" s="60"/>
      <c r="F20" s="60"/>
      <c r="G20" s="48"/>
      <c r="H20" s="149"/>
      <c r="XDP20"/>
      <c r="XDQ20"/>
      <c r="XDR20"/>
      <c r="XDS20"/>
      <c r="XDT20"/>
      <c r="XDU20"/>
      <c r="XDV20"/>
      <c r="XDW20"/>
      <c r="XDX20"/>
      <c r="XDY20"/>
      <c r="XDZ20"/>
      <c r="XEA20"/>
      <c r="XEB20"/>
      <c r="XEC20"/>
      <c r="XED20"/>
      <c r="XEE20"/>
      <c r="XEF20"/>
      <c r="XEG20"/>
      <c r="XEH20"/>
      <c r="XEI20"/>
      <c r="XEJ20"/>
      <c r="XEK20"/>
      <c r="XEL20"/>
      <c r="XEM20"/>
      <c r="XEN20"/>
      <c r="XEO20"/>
      <c r="XEP20"/>
      <c r="XEQ20"/>
      <c r="XER20"/>
    </row>
    <row r="21" s="130" customFormat="1" ht="15" customHeight="1" spans="1:16372">
      <c r="A21" s="44">
        <v>16</v>
      </c>
      <c r="B21" s="45" t="s">
        <v>245</v>
      </c>
      <c r="C21" s="46" t="s">
        <v>230</v>
      </c>
      <c r="D21" s="45">
        <v>2</v>
      </c>
      <c r="E21" s="60">
        <v>15.2958243976284</v>
      </c>
      <c r="F21" s="60">
        <v>17.3352676506455</v>
      </c>
      <c r="G21" s="48"/>
      <c r="H21" s="149"/>
      <c r="XDP21"/>
      <c r="XDQ21"/>
      <c r="XDR21"/>
      <c r="XDS21"/>
      <c r="XDT21"/>
      <c r="XDU21"/>
      <c r="XDV21"/>
      <c r="XDW21"/>
      <c r="XDX21"/>
      <c r="XDY21"/>
      <c r="XDZ21"/>
      <c r="XEA21"/>
      <c r="XEB21"/>
      <c r="XEC21"/>
      <c r="XED21"/>
      <c r="XEE21"/>
      <c r="XEF21"/>
      <c r="XEG21"/>
      <c r="XEH21"/>
      <c r="XEI21"/>
      <c r="XEJ21"/>
      <c r="XEK21"/>
      <c r="XEL21"/>
      <c r="XEM21"/>
      <c r="XEN21"/>
      <c r="XEO21"/>
      <c r="XEP21"/>
      <c r="XEQ21"/>
      <c r="XER21"/>
    </row>
    <row r="22" s="130" customFormat="1" ht="15" customHeight="1" spans="1:16372">
      <c r="A22" s="44">
        <v>17</v>
      </c>
      <c r="B22" s="45" t="s">
        <v>245</v>
      </c>
      <c r="C22" s="46" t="s">
        <v>246</v>
      </c>
      <c r="D22" s="45">
        <v>2</v>
      </c>
      <c r="E22" s="60">
        <v>20.25222037193</v>
      </c>
      <c r="F22" s="60">
        <v>22.9525164215206</v>
      </c>
      <c r="G22" s="48"/>
      <c r="H22" s="149"/>
      <c r="XDP22"/>
      <c r="XDQ22"/>
      <c r="XDR22"/>
      <c r="XDS22"/>
      <c r="XDT22"/>
      <c r="XDU22"/>
      <c r="XDV22"/>
      <c r="XDW22"/>
      <c r="XDX22"/>
      <c r="XDY22"/>
      <c r="XDZ22"/>
      <c r="XEA22"/>
      <c r="XEB22"/>
      <c r="XEC22"/>
      <c r="XED22"/>
      <c r="XEE22"/>
      <c r="XEF22"/>
      <c r="XEG22"/>
      <c r="XEH22"/>
      <c r="XEI22"/>
      <c r="XEJ22"/>
      <c r="XEK22"/>
      <c r="XEL22"/>
      <c r="XEM22"/>
      <c r="XEN22"/>
      <c r="XEO22"/>
      <c r="XEP22"/>
      <c r="XEQ22"/>
      <c r="XER22"/>
    </row>
    <row r="23" s="130" customFormat="1" ht="15" customHeight="1" spans="1:16372">
      <c r="A23" s="44">
        <v>18</v>
      </c>
      <c r="B23" s="45" t="s">
        <v>245</v>
      </c>
      <c r="C23" s="46" t="s">
        <v>247</v>
      </c>
      <c r="D23" s="45">
        <v>2</v>
      </c>
      <c r="E23" s="60">
        <v>13.5302446370868</v>
      </c>
      <c r="F23" s="60">
        <v>15.3342772553651</v>
      </c>
      <c r="G23" s="48"/>
      <c r="H23" s="149"/>
      <c r="XDP23"/>
      <c r="XDQ23"/>
      <c r="XDR23"/>
      <c r="XDS23"/>
      <c r="XDT23"/>
      <c r="XDU23"/>
      <c r="XDV23"/>
      <c r="XDW23"/>
      <c r="XDX23"/>
      <c r="XDY23"/>
      <c r="XDZ23"/>
      <c r="XEA23"/>
      <c r="XEB23"/>
      <c r="XEC23"/>
      <c r="XED23"/>
      <c r="XEE23"/>
      <c r="XEF23"/>
      <c r="XEG23"/>
      <c r="XEH23"/>
      <c r="XEI23"/>
      <c r="XEJ23"/>
      <c r="XEK23"/>
      <c r="XEL23"/>
      <c r="XEM23"/>
      <c r="XEN23"/>
      <c r="XEO23"/>
      <c r="XEP23"/>
      <c r="XEQ23"/>
      <c r="XER23"/>
    </row>
    <row r="24" s="130" customFormat="1" ht="15" customHeight="1" spans="1:16372">
      <c r="A24" s="44">
        <v>19</v>
      </c>
      <c r="B24" s="45" t="s">
        <v>245</v>
      </c>
      <c r="C24" s="46" t="s">
        <v>244</v>
      </c>
      <c r="D24" s="45">
        <v>2</v>
      </c>
      <c r="E24" s="60">
        <v>25.9765625</v>
      </c>
      <c r="F24" s="60">
        <v>29.4401041666667</v>
      </c>
      <c r="G24" s="48"/>
      <c r="H24" s="149"/>
      <c r="XDP24"/>
      <c r="XDQ24"/>
      <c r="XDR24"/>
      <c r="XDS24"/>
      <c r="XDT24"/>
      <c r="XDU24"/>
      <c r="XDV24"/>
      <c r="XDW24"/>
      <c r="XDX24"/>
      <c r="XDY24"/>
      <c r="XDZ24"/>
      <c r="XEA24"/>
      <c r="XEB24"/>
      <c r="XEC24"/>
      <c r="XED24"/>
      <c r="XEE24"/>
      <c r="XEF24"/>
      <c r="XEG24"/>
      <c r="XEH24"/>
      <c r="XEI24"/>
      <c r="XEJ24"/>
      <c r="XEK24"/>
      <c r="XEL24"/>
      <c r="XEM24"/>
      <c r="XEN24"/>
      <c r="XEO24"/>
      <c r="XEP24"/>
      <c r="XEQ24"/>
      <c r="XER24"/>
    </row>
    <row r="25" s="130" customFormat="1" ht="15" customHeight="1" spans="1:16372">
      <c r="A25" s="44">
        <v>20</v>
      </c>
      <c r="B25" s="45" t="s">
        <v>248</v>
      </c>
      <c r="C25" s="46" t="s">
        <v>237</v>
      </c>
      <c r="D25" s="45">
        <v>2</v>
      </c>
      <c r="E25" s="60"/>
      <c r="F25" s="60"/>
      <c r="G25" s="48"/>
      <c r="H25" s="149"/>
      <c r="XDP25"/>
      <c r="XDQ25"/>
      <c r="XDR25"/>
      <c r="XDS25"/>
      <c r="XDT25"/>
      <c r="XDU25"/>
      <c r="XDV25"/>
      <c r="XDW25"/>
      <c r="XDX25"/>
      <c r="XDY25"/>
      <c r="XDZ25"/>
      <c r="XEA25"/>
      <c r="XEB25"/>
      <c r="XEC25"/>
      <c r="XED25"/>
      <c r="XEE25"/>
      <c r="XEF25"/>
      <c r="XEG25"/>
      <c r="XEH25"/>
      <c r="XEI25"/>
      <c r="XEJ25"/>
      <c r="XEK25"/>
      <c r="XEL25"/>
      <c r="XEM25"/>
      <c r="XEN25"/>
      <c r="XEO25"/>
      <c r="XEP25"/>
      <c r="XEQ25"/>
      <c r="XER25"/>
    </row>
    <row r="26" s="130" customFormat="1" ht="15" customHeight="1" spans="1:16372">
      <c r="A26" s="44">
        <v>21</v>
      </c>
      <c r="B26" s="45" t="s">
        <v>229</v>
      </c>
      <c r="C26" s="46" t="s">
        <v>230</v>
      </c>
      <c r="D26" s="45">
        <v>3</v>
      </c>
      <c r="E26" s="60">
        <v>19.701924623385</v>
      </c>
      <c r="F26" s="60">
        <v>22.328847906503</v>
      </c>
      <c r="G26" s="48"/>
      <c r="H26" s="149"/>
      <c r="XDP26"/>
      <c r="XDQ26"/>
      <c r="XDR26"/>
      <c r="XDS26"/>
      <c r="XDT26"/>
      <c r="XDU26"/>
      <c r="XDV26"/>
      <c r="XDW26"/>
      <c r="XDX26"/>
      <c r="XDY26"/>
      <c r="XDZ26"/>
      <c r="XEA26"/>
      <c r="XEB26"/>
      <c r="XEC26"/>
      <c r="XED26"/>
      <c r="XEE26"/>
      <c r="XEF26"/>
      <c r="XEG26"/>
      <c r="XEH26"/>
      <c r="XEI26"/>
      <c r="XEJ26"/>
      <c r="XEK26"/>
      <c r="XEL26"/>
      <c r="XEM26"/>
      <c r="XEN26"/>
      <c r="XEO26"/>
      <c r="XEP26"/>
      <c r="XEQ26"/>
      <c r="XER26"/>
    </row>
    <row r="27" s="130" customFormat="1" ht="15" customHeight="1" spans="1:16372">
      <c r="A27" s="44">
        <v>22</v>
      </c>
      <c r="B27" s="45" t="s">
        <v>229</v>
      </c>
      <c r="C27" s="46" t="s">
        <v>246</v>
      </c>
      <c r="D27" s="45">
        <v>3</v>
      </c>
      <c r="E27" s="60">
        <v>19.1601633244343</v>
      </c>
      <c r="F27" s="60">
        <v>21.7148517676922</v>
      </c>
      <c r="G27" s="48"/>
      <c r="H27" s="149"/>
      <c r="XDP27"/>
      <c r="XDQ27"/>
      <c r="XDR27"/>
      <c r="XDS27"/>
      <c r="XDT27"/>
      <c r="XDU27"/>
      <c r="XDV27"/>
      <c r="XDW27"/>
      <c r="XDX27"/>
      <c r="XDY27"/>
      <c r="XDZ27"/>
      <c r="XEA27"/>
      <c r="XEB27"/>
      <c r="XEC27"/>
      <c r="XED27"/>
      <c r="XEE27"/>
      <c r="XEF27"/>
      <c r="XEG27"/>
      <c r="XEH27"/>
      <c r="XEI27"/>
      <c r="XEJ27"/>
      <c r="XEK27"/>
      <c r="XEL27"/>
      <c r="XEM27"/>
      <c r="XEN27"/>
      <c r="XEO27"/>
      <c r="XEP27"/>
      <c r="XEQ27"/>
      <c r="XER27"/>
    </row>
    <row r="28" s="130" customFormat="1" ht="15" customHeight="1" spans="1:16372">
      <c r="A28" s="44">
        <v>23</v>
      </c>
      <c r="B28" s="45" t="s">
        <v>229</v>
      </c>
      <c r="C28" s="46" t="s">
        <v>247</v>
      </c>
      <c r="D28" s="45">
        <v>3</v>
      </c>
      <c r="E28" s="60">
        <v>26.1254019292605</v>
      </c>
      <c r="F28" s="60">
        <v>29.6087888531618</v>
      </c>
      <c r="G28" s="48"/>
      <c r="H28" s="149"/>
      <c r="XDP28"/>
      <c r="XDQ28"/>
      <c r="XDR28"/>
      <c r="XDS28"/>
      <c r="XDT28"/>
      <c r="XDU28"/>
      <c r="XDV28"/>
      <c r="XDW28"/>
      <c r="XDX28"/>
      <c r="XDY28"/>
      <c r="XDZ28"/>
      <c r="XEA28"/>
      <c r="XEB28"/>
      <c r="XEC28"/>
      <c r="XED28"/>
      <c r="XEE28"/>
      <c r="XEF28"/>
      <c r="XEG28"/>
      <c r="XEH28"/>
      <c r="XEI28"/>
      <c r="XEJ28"/>
      <c r="XEK28"/>
      <c r="XEL28"/>
      <c r="XEM28"/>
      <c r="XEN28"/>
      <c r="XEO28"/>
      <c r="XEP28"/>
      <c r="XEQ28"/>
      <c r="XER28"/>
    </row>
    <row r="29" s="130" customFormat="1" ht="15" customHeight="1" spans="1:16372">
      <c r="A29" s="44">
        <v>24</v>
      </c>
      <c r="B29" s="45" t="s">
        <v>229</v>
      </c>
      <c r="C29" s="46" t="s">
        <v>231</v>
      </c>
      <c r="D29" s="45">
        <v>3</v>
      </c>
      <c r="E29" s="60">
        <v>25.0234594932749</v>
      </c>
      <c r="F29" s="60">
        <v>28.3599207590449</v>
      </c>
      <c r="G29" s="48"/>
      <c r="H29" s="149"/>
      <c r="XDP29"/>
      <c r="XDQ29"/>
      <c r="XDR29"/>
      <c r="XDS29"/>
      <c r="XDT29"/>
      <c r="XDU29"/>
      <c r="XDV29"/>
      <c r="XDW29"/>
      <c r="XDX29"/>
      <c r="XDY29"/>
      <c r="XDZ29"/>
      <c r="XEA29"/>
      <c r="XEB29"/>
      <c r="XEC29"/>
      <c r="XED29"/>
      <c r="XEE29"/>
      <c r="XEF29"/>
      <c r="XEG29"/>
      <c r="XEH29"/>
      <c r="XEI29"/>
      <c r="XEJ29"/>
      <c r="XEK29"/>
      <c r="XEL29"/>
      <c r="XEM29"/>
      <c r="XEN29"/>
      <c r="XEO29"/>
      <c r="XEP29"/>
      <c r="XEQ29"/>
      <c r="XER29"/>
    </row>
    <row r="30" s="130" customFormat="1" ht="15" customHeight="1" spans="1:16372">
      <c r="A30" s="44">
        <v>25</v>
      </c>
      <c r="B30" s="45" t="s">
        <v>229</v>
      </c>
      <c r="C30" s="46" t="s">
        <v>249</v>
      </c>
      <c r="D30" s="45">
        <v>3</v>
      </c>
      <c r="E30" s="60">
        <v>30.5410122164049</v>
      </c>
      <c r="F30" s="60">
        <v>34.6131471785922</v>
      </c>
      <c r="G30" s="48"/>
      <c r="H30" s="149"/>
      <c r="XDP30"/>
      <c r="XDQ30"/>
      <c r="XDR30"/>
      <c r="XDS30"/>
      <c r="XDT30"/>
      <c r="XDU30"/>
      <c r="XDV30"/>
      <c r="XDW30"/>
      <c r="XDX30"/>
      <c r="XDY30"/>
      <c r="XDZ30"/>
      <c r="XEA30"/>
      <c r="XEB30"/>
      <c r="XEC30"/>
      <c r="XED30"/>
      <c r="XEE30"/>
      <c r="XEF30"/>
      <c r="XEG30"/>
      <c r="XEH30"/>
      <c r="XEI30"/>
      <c r="XEJ30"/>
      <c r="XEK30"/>
      <c r="XEL30"/>
      <c r="XEM30"/>
      <c r="XEN30"/>
      <c r="XEO30"/>
      <c r="XEP30"/>
      <c r="XEQ30"/>
      <c r="XER30"/>
    </row>
    <row r="31" s="130" customFormat="1" ht="15" customHeight="1" spans="1:16372">
      <c r="A31" s="44">
        <v>26</v>
      </c>
      <c r="B31" s="45" t="s">
        <v>229</v>
      </c>
      <c r="C31" s="46" t="s">
        <v>237</v>
      </c>
      <c r="D31" s="45">
        <v>3</v>
      </c>
      <c r="E31" s="60">
        <v>59.6418572095194</v>
      </c>
      <c r="F31" s="60">
        <v>67.5941048374553</v>
      </c>
      <c r="G31" s="48"/>
      <c r="H31" s="149"/>
      <c r="XDP31"/>
      <c r="XDQ31"/>
      <c r="XDR31"/>
      <c r="XDS31"/>
      <c r="XDT31"/>
      <c r="XDU31"/>
      <c r="XDV31"/>
      <c r="XDW31"/>
      <c r="XDX31"/>
      <c r="XDY31"/>
      <c r="XDZ31"/>
      <c r="XEA31"/>
      <c r="XEB31"/>
      <c r="XEC31"/>
      <c r="XED31"/>
      <c r="XEE31"/>
      <c r="XEF31"/>
      <c r="XEG31"/>
      <c r="XEH31"/>
      <c r="XEI31"/>
      <c r="XEJ31"/>
      <c r="XEK31"/>
      <c r="XEL31"/>
      <c r="XEM31"/>
      <c r="XEN31"/>
      <c r="XEO31"/>
      <c r="XEP31"/>
      <c r="XEQ31"/>
      <c r="XER31"/>
    </row>
    <row r="32" s="130" customFormat="1" ht="15" customHeight="1" spans="1:16372">
      <c r="A32" s="44">
        <v>27</v>
      </c>
      <c r="B32" s="45" t="s">
        <v>229</v>
      </c>
      <c r="C32" s="46" t="s">
        <v>250</v>
      </c>
      <c r="D32" s="45">
        <v>3</v>
      </c>
      <c r="E32" s="60">
        <v>19.5987374652591</v>
      </c>
      <c r="F32" s="60">
        <v>22.2119024606269</v>
      </c>
      <c r="G32" s="48"/>
      <c r="H32" s="149"/>
      <c r="XDP32"/>
      <c r="XDQ32"/>
      <c r="XDR32"/>
      <c r="XDS32"/>
      <c r="XDT32"/>
      <c r="XDU32"/>
      <c r="XDV32"/>
      <c r="XDW32"/>
      <c r="XDX32"/>
      <c r="XDY32"/>
      <c r="XDZ32"/>
      <c r="XEA32"/>
      <c r="XEB32"/>
      <c r="XEC32"/>
      <c r="XED32"/>
      <c r="XEE32"/>
      <c r="XEF32"/>
      <c r="XEG32"/>
      <c r="XEH32"/>
      <c r="XEI32"/>
      <c r="XEJ32"/>
      <c r="XEK32"/>
      <c r="XEL32"/>
      <c r="XEM32"/>
      <c r="XEN32"/>
      <c r="XEO32"/>
      <c r="XEP32"/>
      <c r="XEQ32"/>
      <c r="XER32"/>
    </row>
    <row r="33" s="130" customFormat="1" ht="15" customHeight="1" spans="1:16372">
      <c r="A33" s="44">
        <v>28</v>
      </c>
      <c r="B33" s="45" t="s">
        <v>229</v>
      </c>
      <c r="C33" s="46" t="s">
        <v>241</v>
      </c>
      <c r="D33" s="45">
        <v>3</v>
      </c>
      <c r="E33" s="60">
        <v>22.3285236302782</v>
      </c>
      <c r="F33" s="60">
        <v>25.3056601143152</v>
      </c>
      <c r="G33" s="48"/>
      <c r="H33" s="149"/>
      <c r="XDP33"/>
      <c r="XDQ33"/>
      <c r="XDR33"/>
      <c r="XDS33"/>
      <c r="XDT33"/>
      <c r="XDU33"/>
      <c r="XDV33"/>
      <c r="XDW33"/>
      <c r="XDX33"/>
      <c r="XDY33"/>
      <c r="XDZ33"/>
      <c r="XEA33"/>
      <c r="XEB33"/>
      <c r="XEC33"/>
      <c r="XED33"/>
      <c r="XEE33"/>
      <c r="XEF33"/>
      <c r="XEG33"/>
      <c r="XEH33"/>
      <c r="XEI33"/>
      <c r="XEJ33"/>
      <c r="XEK33"/>
      <c r="XEL33"/>
      <c r="XEM33"/>
      <c r="XEN33"/>
      <c r="XEO33"/>
      <c r="XEP33"/>
      <c r="XEQ33"/>
      <c r="XER33"/>
    </row>
    <row r="34" s="130" customFormat="1" ht="15" customHeight="1" spans="1:16372">
      <c r="A34" s="44">
        <v>29</v>
      </c>
      <c r="B34" s="45" t="s">
        <v>245</v>
      </c>
      <c r="C34" s="46" t="s">
        <v>230</v>
      </c>
      <c r="D34" s="45">
        <v>3</v>
      </c>
      <c r="E34" s="60">
        <v>16.7488804926545</v>
      </c>
      <c r="F34" s="60">
        <v>18.9820645583418</v>
      </c>
      <c r="G34" s="48"/>
      <c r="H34" s="149"/>
      <c r="XDP34"/>
      <c r="XDQ34"/>
      <c r="XDR34"/>
      <c r="XDS34"/>
      <c r="XDT34"/>
      <c r="XDU34"/>
      <c r="XDV34"/>
      <c r="XDW34"/>
      <c r="XDX34"/>
      <c r="XDY34"/>
      <c r="XDZ34"/>
      <c r="XEA34"/>
      <c r="XEB34"/>
      <c r="XEC34"/>
      <c r="XED34"/>
      <c r="XEE34"/>
      <c r="XEF34"/>
      <c r="XEG34"/>
      <c r="XEH34"/>
      <c r="XEI34"/>
      <c r="XEJ34"/>
      <c r="XEK34"/>
      <c r="XEL34"/>
      <c r="XEM34"/>
      <c r="XEN34"/>
      <c r="XEO34"/>
      <c r="XEP34"/>
      <c r="XEQ34"/>
      <c r="XER34"/>
    </row>
    <row r="35" s="130" customFormat="1" ht="15" customHeight="1" spans="1:16372">
      <c r="A35" s="44">
        <v>30</v>
      </c>
      <c r="B35" s="45" t="s">
        <v>245</v>
      </c>
      <c r="C35" s="46" t="s">
        <v>246</v>
      </c>
      <c r="D35" s="45">
        <v>3</v>
      </c>
      <c r="E35" s="60">
        <v>18.8610367486006</v>
      </c>
      <c r="F35" s="60">
        <v>21.3758416484141</v>
      </c>
      <c r="G35" s="48"/>
      <c r="H35" s="149"/>
      <c r="XDP35"/>
      <c r="XDQ35"/>
      <c r="XDR35"/>
      <c r="XDS35"/>
      <c r="XDT35"/>
      <c r="XDU35"/>
      <c r="XDV35"/>
      <c r="XDW35"/>
      <c r="XDX35"/>
      <c r="XDY35"/>
      <c r="XDZ35"/>
      <c r="XEA35"/>
      <c r="XEB35"/>
      <c r="XEC35"/>
      <c r="XED35"/>
      <c r="XEE35"/>
      <c r="XEF35"/>
      <c r="XEG35"/>
      <c r="XEH35"/>
      <c r="XEI35"/>
      <c r="XEJ35"/>
      <c r="XEK35"/>
      <c r="XEL35"/>
      <c r="XEM35"/>
      <c r="XEN35"/>
      <c r="XEO35"/>
      <c r="XEP35"/>
      <c r="XEQ35"/>
      <c r="XER35"/>
    </row>
    <row r="36" s="130" customFormat="1" ht="15" customHeight="1" spans="1:16372">
      <c r="A36" s="44">
        <v>31</v>
      </c>
      <c r="B36" s="45" t="s">
        <v>245</v>
      </c>
      <c r="C36" s="46" t="s">
        <v>247</v>
      </c>
      <c r="D36" s="45">
        <v>3</v>
      </c>
      <c r="E36" s="60">
        <v>22.3377588116972</v>
      </c>
      <c r="F36" s="60">
        <v>25.3161266532568</v>
      </c>
      <c r="G36" s="49"/>
      <c r="H36" s="149"/>
      <c r="XDP36"/>
      <c r="XDQ36"/>
      <c r="XDR36"/>
      <c r="XDS36"/>
      <c r="XDT36"/>
      <c r="XDU36"/>
      <c r="XDV36"/>
      <c r="XDW36"/>
      <c r="XDX36"/>
      <c r="XDY36"/>
      <c r="XDZ36"/>
      <c r="XEA36"/>
      <c r="XEB36"/>
      <c r="XEC36"/>
      <c r="XED36"/>
      <c r="XEE36"/>
      <c r="XEF36"/>
      <c r="XEG36"/>
      <c r="XEH36"/>
      <c r="XEI36"/>
      <c r="XEJ36"/>
      <c r="XEK36"/>
      <c r="XEL36"/>
      <c r="XEM36"/>
      <c r="XEN36"/>
      <c r="XEO36"/>
      <c r="XEP36"/>
      <c r="XEQ36"/>
      <c r="XER36"/>
    </row>
    <row r="37" s="130" customFormat="1" ht="15" customHeight="1" spans="1:16372">
      <c r="A37" s="44">
        <v>32</v>
      </c>
      <c r="B37" s="45" t="s">
        <v>245</v>
      </c>
      <c r="C37" s="46" t="s">
        <v>231</v>
      </c>
      <c r="D37" s="45">
        <v>3</v>
      </c>
      <c r="E37" s="60"/>
      <c r="F37" s="60"/>
      <c r="G37" s="49"/>
      <c r="H37" s="149"/>
      <c r="XDP37"/>
      <c r="XDQ37"/>
      <c r="XDR37"/>
      <c r="XDS37"/>
      <c r="XDT37"/>
      <c r="XDU37"/>
      <c r="XDV37"/>
      <c r="XDW37"/>
      <c r="XDX37"/>
      <c r="XDY37"/>
      <c r="XDZ37"/>
      <c r="XEA37"/>
      <c r="XEB37"/>
      <c r="XEC37"/>
      <c r="XED37"/>
      <c r="XEE37"/>
      <c r="XEF37"/>
      <c r="XEG37"/>
      <c r="XEH37"/>
      <c r="XEI37"/>
      <c r="XEJ37"/>
      <c r="XEK37"/>
      <c r="XEL37"/>
      <c r="XEM37"/>
      <c r="XEN37"/>
      <c r="XEO37"/>
      <c r="XEP37"/>
      <c r="XEQ37"/>
      <c r="XER37"/>
    </row>
    <row r="38" s="130" customFormat="1" ht="15" customHeight="1" spans="1:16372">
      <c r="A38" s="44">
        <v>33</v>
      </c>
      <c r="B38" s="45" t="s">
        <v>245</v>
      </c>
      <c r="C38" s="46" t="s">
        <v>250</v>
      </c>
      <c r="D38" s="45">
        <v>3</v>
      </c>
      <c r="E38" s="60">
        <v>19.9888736733995</v>
      </c>
      <c r="F38" s="60">
        <v>22.6540568298528</v>
      </c>
      <c r="G38" s="48"/>
      <c r="H38" s="149"/>
      <c r="XDP38"/>
      <c r="XDQ38"/>
      <c r="XDR38"/>
      <c r="XDS38"/>
      <c r="XDT38"/>
      <c r="XDU38"/>
      <c r="XDV38"/>
      <c r="XDW38"/>
      <c r="XDX38"/>
      <c r="XDY38"/>
      <c r="XDZ38"/>
      <c r="XEA38"/>
      <c r="XEB38"/>
      <c r="XEC38"/>
      <c r="XED38"/>
      <c r="XEE38"/>
      <c r="XEF38"/>
      <c r="XEG38"/>
      <c r="XEH38"/>
      <c r="XEI38"/>
      <c r="XEJ38"/>
      <c r="XEK38"/>
      <c r="XEL38"/>
      <c r="XEM38"/>
      <c r="XEN38"/>
      <c r="XEO38"/>
      <c r="XEP38"/>
      <c r="XEQ38"/>
      <c r="XER38"/>
    </row>
    <row r="39" s="130" customFormat="1" ht="15" customHeight="1" spans="1:16372">
      <c r="A39" s="44">
        <v>34</v>
      </c>
      <c r="B39" s="45" t="s">
        <v>245</v>
      </c>
      <c r="C39" s="46" t="s">
        <v>239</v>
      </c>
      <c r="D39" s="45">
        <v>3</v>
      </c>
      <c r="E39" s="60"/>
      <c r="F39" s="60"/>
      <c r="G39" s="49"/>
      <c r="H39" s="149"/>
      <c r="XDP39"/>
      <c r="XDQ39"/>
      <c r="XDR39"/>
      <c r="XDS39"/>
      <c r="XDT39"/>
      <c r="XDU39"/>
      <c r="XDV39"/>
      <c r="XDW39"/>
      <c r="XDX39"/>
      <c r="XDY39"/>
      <c r="XDZ39"/>
      <c r="XEA39"/>
      <c r="XEB39"/>
      <c r="XEC39"/>
      <c r="XED39"/>
      <c r="XEE39"/>
      <c r="XEF39"/>
      <c r="XEG39"/>
      <c r="XEH39"/>
      <c r="XEI39"/>
      <c r="XEJ39"/>
      <c r="XEK39"/>
      <c r="XEL39"/>
      <c r="XEM39"/>
      <c r="XEN39"/>
      <c r="XEO39"/>
      <c r="XEP39"/>
      <c r="XEQ39"/>
      <c r="XER39"/>
    </row>
    <row r="40" s="130" customFormat="1" ht="15" customHeight="1" spans="1:16372">
      <c r="A40" s="44">
        <v>35</v>
      </c>
      <c r="B40" s="45" t="s">
        <v>245</v>
      </c>
      <c r="C40" s="46" t="s">
        <v>251</v>
      </c>
      <c r="D40" s="45">
        <v>3</v>
      </c>
      <c r="E40" s="60"/>
      <c r="F40" s="60"/>
      <c r="G40" s="49"/>
      <c r="H40" s="149"/>
      <c r="XDP40"/>
      <c r="XDQ40"/>
      <c r="XDR40"/>
      <c r="XDS40"/>
      <c r="XDT40"/>
      <c r="XDU40"/>
      <c r="XDV40"/>
      <c r="XDW40"/>
      <c r="XDX40"/>
      <c r="XDY40"/>
      <c r="XDZ40"/>
      <c r="XEA40"/>
      <c r="XEB40"/>
      <c r="XEC40"/>
      <c r="XED40"/>
      <c r="XEE40"/>
      <c r="XEF40"/>
      <c r="XEG40"/>
      <c r="XEH40"/>
      <c r="XEI40"/>
      <c r="XEJ40"/>
      <c r="XEK40"/>
      <c r="XEL40"/>
      <c r="XEM40"/>
      <c r="XEN40"/>
      <c r="XEO40"/>
      <c r="XEP40"/>
      <c r="XEQ40"/>
      <c r="XER40"/>
    </row>
    <row r="41" s="130" customFormat="1" ht="15" customHeight="1" spans="1:16372">
      <c r="A41" s="44">
        <v>36</v>
      </c>
      <c r="B41" s="45" t="s">
        <v>245</v>
      </c>
      <c r="C41" s="46" t="s">
        <v>241</v>
      </c>
      <c r="D41" s="45">
        <v>3</v>
      </c>
      <c r="E41" s="60"/>
      <c r="F41" s="60"/>
      <c r="G41" s="48"/>
      <c r="H41" s="149"/>
      <c r="XDP41"/>
      <c r="XDQ41"/>
      <c r="XDR41"/>
      <c r="XDS41"/>
      <c r="XDT41"/>
      <c r="XDU41"/>
      <c r="XDV41"/>
      <c r="XDW41"/>
      <c r="XDX41"/>
      <c r="XDY41"/>
      <c r="XDZ41"/>
      <c r="XEA41"/>
      <c r="XEB41"/>
      <c r="XEC41"/>
      <c r="XED41"/>
      <c r="XEE41"/>
      <c r="XEF41"/>
      <c r="XEG41"/>
      <c r="XEH41"/>
      <c r="XEI41"/>
      <c r="XEJ41"/>
      <c r="XEK41"/>
      <c r="XEL41"/>
      <c r="XEM41"/>
      <c r="XEN41"/>
      <c r="XEO41"/>
      <c r="XEP41"/>
      <c r="XEQ41"/>
      <c r="XER41"/>
    </row>
    <row r="42" s="130" customFormat="1" ht="15" customHeight="1" spans="1:16372">
      <c r="A42" s="44">
        <v>37</v>
      </c>
      <c r="B42" s="45" t="s">
        <v>248</v>
      </c>
      <c r="C42" s="46" t="s">
        <v>237</v>
      </c>
      <c r="D42" s="45">
        <v>3</v>
      </c>
      <c r="E42" s="60"/>
      <c r="F42" s="60"/>
      <c r="G42" s="48"/>
      <c r="H42" s="149"/>
      <c r="XDP42"/>
      <c r="XDQ42"/>
      <c r="XDR42"/>
      <c r="XDS42"/>
      <c r="XDT42"/>
      <c r="XDU42"/>
      <c r="XDV42"/>
      <c r="XDW42"/>
      <c r="XDX42"/>
      <c r="XDY42"/>
      <c r="XDZ42"/>
      <c r="XEA42"/>
      <c r="XEB42"/>
      <c r="XEC42"/>
      <c r="XED42"/>
      <c r="XEE42"/>
      <c r="XEF42"/>
      <c r="XEG42"/>
      <c r="XEH42"/>
      <c r="XEI42"/>
      <c r="XEJ42"/>
      <c r="XEK42"/>
      <c r="XEL42"/>
      <c r="XEM42"/>
      <c r="XEN42"/>
      <c r="XEO42"/>
      <c r="XEP42"/>
      <c r="XEQ42"/>
      <c r="XER42"/>
    </row>
    <row r="43" s="130" customFormat="1" ht="15" customHeight="1" spans="1:16372">
      <c r="A43" s="44">
        <v>38</v>
      </c>
      <c r="B43" s="45" t="s">
        <v>229</v>
      </c>
      <c r="C43" s="46" t="s">
        <v>230</v>
      </c>
      <c r="D43" s="45">
        <v>4</v>
      </c>
      <c r="E43" s="60"/>
      <c r="F43" s="60"/>
      <c r="G43" s="48"/>
      <c r="H43" s="149"/>
      <c r="XDP43"/>
      <c r="XDQ43"/>
      <c r="XDR43"/>
      <c r="XDS43"/>
      <c r="XDT43"/>
      <c r="XDU43"/>
      <c r="XDV43"/>
      <c r="XDW43"/>
      <c r="XDX43"/>
      <c r="XDY43"/>
      <c r="XDZ43"/>
      <c r="XEA43"/>
      <c r="XEB43"/>
      <c r="XEC43"/>
      <c r="XED43"/>
      <c r="XEE43"/>
      <c r="XEF43"/>
      <c r="XEG43"/>
      <c r="XEH43"/>
      <c r="XEI43"/>
      <c r="XEJ43"/>
      <c r="XEK43"/>
      <c r="XEL43"/>
      <c r="XEM43"/>
      <c r="XEN43"/>
      <c r="XEO43"/>
      <c r="XEP43"/>
      <c r="XEQ43"/>
      <c r="XER43"/>
    </row>
    <row r="44" s="130" customFormat="1" ht="15" customHeight="1" spans="1:16372">
      <c r="A44" s="51">
        <v>39</v>
      </c>
      <c r="B44" s="52" t="s">
        <v>229</v>
      </c>
      <c r="C44" s="53" t="s">
        <v>252</v>
      </c>
      <c r="D44" s="52">
        <v>4</v>
      </c>
      <c r="E44" s="61"/>
      <c r="F44" s="61"/>
      <c r="G44" s="55"/>
      <c r="H44" s="149"/>
      <c r="XDP44"/>
      <c r="XDQ44"/>
      <c r="XDR44"/>
      <c r="XDS44"/>
      <c r="XDT44"/>
      <c r="XDU44"/>
      <c r="XDV44"/>
      <c r="XDW44"/>
      <c r="XDX44"/>
      <c r="XDY44"/>
      <c r="XDZ44"/>
      <c r="XEA44"/>
      <c r="XEB44"/>
      <c r="XEC44"/>
      <c r="XED44"/>
      <c r="XEE44"/>
      <c r="XEF44"/>
      <c r="XEG44"/>
      <c r="XEH44"/>
      <c r="XEI44"/>
      <c r="XEJ44"/>
      <c r="XEK44"/>
      <c r="XEL44"/>
      <c r="XEM44"/>
      <c r="XEN44"/>
      <c r="XEO44"/>
      <c r="XEP44"/>
      <c r="XEQ44"/>
      <c r="XER44"/>
    </row>
    <row r="45" customHeight="1" spans="1:7">
      <c r="A45" s="35"/>
      <c r="B45" s="35"/>
      <c r="C45" s="35"/>
      <c r="D45" s="36"/>
      <c r="E45" s="38"/>
      <c r="F45" s="38"/>
      <c r="G45" s="38"/>
    </row>
  </sheetData>
  <sheetProtection formatCells="0" formatColumns="0" formatRows="0" insertRows="0" insertColumns="0" insertHyperlinks="0" deleteColumns="0" deleteRows="0" sort="0" autoFilter="0" pivotTables="0"/>
  <mergeCells count="2">
    <mergeCell ref="A3:G3"/>
    <mergeCell ref="E4:G4"/>
  </mergeCells>
  <pageMargins left="1.10208333333333" right="1.02361111111111" top="1.45625" bottom="1.37777777777778" header="0.314583333333333" footer="0.984027777777778"/>
  <pageSetup paperSize="9" scale="81" orientation="portrait" horizontalDpi="600"/>
  <headerFooter differentOddEven="1">
    <oddFooter>&amp;R&amp;14&amp;B— 19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P41"/>
  <sheetViews>
    <sheetView workbookViewId="0">
      <pane ySplit="3" topLeftCell="A4" activePane="bottomLeft" state="frozen"/>
      <selection/>
      <selection pane="bottomLeft" activeCell="U44" sqref="U44"/>
    </sheetView>
  </sheetViews>
  <sheetFormatPr defaultColWidth="4.875" defaultRowHeight="16" customHeight="1"/>
  <cols>
    <col min="1" max="1" width="4.16666666666667" style="146" customWidth="1"/>
    <col min="2" max="2" width="6.45833333333333" style="146" customWidth="1"/>
    <col min="3" max="3" width="9.5" style="167" customWidth="1"/>
    <col min="4" max="4" width="6.625" style="168" customWidth="1"/>
    <col min="5" max="8" width="14.625" style="148" customWidth="1"/>
    <col min="9" max="9" width="4.875" style="149"/>
    <col min="10" max="10" width="6.45833333333333" style="146" customWidth="1"/>
    <col min="11" max="11" width="9.5" style="167" customWidth="1"/>
    <col min="12" max="12" width="6.625" style="168" customWidth="1"/>
    <col min="13" max="13" width="9.5" style="149" customWidth="1"/>
    <col min="14" max="14" width="10.875" style="149" customWidth="1"/>
    <col min="15" max="15" width="9.625" style="149" customWidth="1"/>
    <col min="16" max="16" width="11.875" style="149" customWidth="1"/>
    <col min="17" max="16354" width="4.875" style="149"/>
  </cols>
  <sheetData>
    <row r="1" s="2" customFormat="1" ht="20.25" spans="1:12">
      <c r="A1" s="1" t="s">
        <v>257</v>
      </c>
      <c r="C1" s="169"/>
      <c r="D1" s="170"/>
      <c r="K1" s="169"/>
      <c r="L1" s="170"/>
    </row>
    <row r="2" s="81" customFormat="1" ht="29.25" spans="1:16">
      <c r="A2" s="3" t="s">
        <v>258</v>
      </c>
      <c r="B2" s="3"/>
      <c r="C2" s="171"/>
      <c r="D2" s="172"/>
      <c r="E2" s="3"/>
      <c r="F2" s="3"/>
      <c r="G2" s="3"/>
      <c r="H2" s="3"/>
      <c r="J2" s="3"/>
      <c r="K2" s="171"/>
      <c r="L2" s="172"/>
      <c r="M2" s="180" t="s">
        <v>259</v>
      </c>
      <c r="N2" s="180"/>
      <c r="O2" s="181" t="s">
        <v>260</v>
      </c>
      <c r="P2" s="181"/>
    </row>
    <row r="3" s="81" customFormat="1" customHeight="1" spans="1:16">
      <c r="A3" s="150"/>
      <c r="B3" s="150"/>
      <c r="C3" s="173"/>
      <c r="D3" s="174"/>
      <c r="E3" s="152"/>
      <c r="F3" s="153"/>
      <c r="G3" s="154" t="s">
        <v>254</v>
      </c>
      <c r="H3" s="154"/>
      <c r="J3" s="150"/>
      <c r="K3" s="173"/>
      <c r="L3" s="174"/>
      <c r="M3" s="81" t="s">
        <v>261</v>
      </c>
      <c r="N3" s="81" t="s">
        <v>262</v>
      </c>
      <c r="O3" s="81" t="s">
        <v>261</v>
      </c>
      <c r="P3" s="81" t="s">
        <v>262</v>
      </c>
    </row>
    <row r="4" ht="32" customHeight="1" spans="1:16">
      <c r="A4" s="155" t="s">
        <v>2</v>
      </c>
      <c r="B4" s="92" t="s">
        <v>225</v>
      </c>
      <c r="C4" s="175" t="s">
        <v>226</v>
      </c>
      <c r="D4" s="176" t="s">
        <v>227</v>
      </c>
      <c r="E4" s="92" t="s">
        <v>263</v>
      </c>
      <c r="F4" s="92" t="s">
        <v>264</v>
      </c>
      <c r="G4" s="92" t="s">
        <v>265</v>
      </c>
      <c r="H4" s="105" t="s">
        <v>85</v>
      </c>
      <c r="J4" s="92" t="s">
        <v>225</v>
      </c>
      <c r="K4" s="175" t="s">
        <v>226</v>
      </c>
      <c r="L4" s="176" t="s">
        <v>227</v>
      </c>
      <c r="M4" s="94" t="s">
        <v>265</v>
      </c>
      <c r="N4" s="94" t="s">
        <v>265</v>
      </c>
      <c r="O4" s="94" t="s">
        <v>265</v>
      </c>
      <c r="P4" s="94" t="s">
        <v>265</v>
      </c>
    </row>
    <row r="5" customHeight="1" spans="1:16">
      <c r="A5" s="95">
        <v>1</v>
      </c>
      <c r="B5" s="94" t="s">
        <v>229</v>
      </c>
      <c r="C5" s="177" t="s">
        <v>230</v>
      </c>
      <c r="D5" s="178">
        <v>2</v>
      </c>
      <c r="E5" s="94">
        <v>3238.6875</v>
      </c>
      <c r="F5" s="94">
        <v>811397.065422315</v>
      </c>
      <c r="G5" s="94">
        <f>F5/E5</f>
        <v>250.532681965245</v>
      </c>
      <c r="H5" s="113"/>
      <c r="J5" s="94" t="s">
        <v>229</v>
      </c>
      <c r="K5" s="177" t="s">
        <v>230</v>
      </c>
      <c r="L5" s="178">
        <v>2</v>
      </c>
      <c r="M5" s="177" t="e">
        <f>VLOOKUP(C$5:C$17,#REF!,5,FALSE)</f>
        <v>#REF!</v>
      </c>
      <c r="N5" s="177">
        <v>177.976328830475</v>
      </c>
      <c r="O5" s="177">
        <v>209.799781339498</v>
      </c>
      <c r="P5" s="177">
        <v>174.754399643573</v>
      </c>
    </row>
    <row r="6" customHeight="1" spans="1:16">
      <c r="A6" s="95">
        <v>2</v>
      </c>
      <c r="B6" s="94" t="s">
        <v>229</v>
      </c>
      <c r="C6" s="177" t="s">
        <v>231</v>
      </c>
      <c r="D6" s="178">
        <v>2</v>
      </c>
      <c r="E6" s="94">
        <v>1917.5</v>
      </c>
      <c r="F6" s="94">
        <v>251792.158145185</v>
      </c>
      <c r="G6" s="94">
        <f t="shared" ref="G6:G28" si="0">F6/E6</f>
        <v>131.312729150031</v>
      </c>
      <c r="H6" s="106"/>
      <c r="J6" s="94" t="s">
        <v>229</v>
      </c>
      <c r="K6" s="177" t="s">
        <v>231</v>
      </c>
      <c r="L6" s="178">
        <v>2</v>
      </c>
      <c r="M6" s="177" t="e">
        <f>VLOOKUP(C$5:C$17,#REF!,5,FALSE)</f>
        <v>#REF!</v>
      </c>
      <c r="N6" s="177">
        <v>78.8417845484222</v>
      </c>
      <c r="O6" s="177">
        <v>119.634451677516</v>
      </c>
      <c r="P6" s="177">
        <v>112.388465723613</v>
      </c>
    </row>
    <row r="7" customHeight="1" spans="1:16">
      <c r="A7" s="95">
        <v>3</v>
      </c>
      <c r="B7" s="94" t="s">
        <v>229</v>
      </c>
      <c r="C7" s="177" t="s">
        <v>232</v>
      </c>
      <c r="D7" s="178">
        <v>2</v>
      </c>
      <c r="E7" s="94">
        <v>1516.625</v>
      </c>
      <c r="F7" s="94">
        <v>268978.125</v>
      </c>
      <c r="G7" s="94">
        <f t="shared" si="0"/>
        <v>177.353086623259</v>
      </c>
      <c r="H7" s="106"/>
      <c r="J7" s="94" t="s">
        <v>229</v>
      </c>
      <c r="K7" s="177" t="s">
        <v>232</v>
      </c>
      <c r="L7" s="178">
        <v>2</v>
      </c>
      <c r="M7" s="177" t="e">
        <f>VLOOKUP(C$5:C$17,#REF!,5,FALSE)</f>
        <v>#REF!</v>
      </c>
      <c r="N7" s="177"/>
      <c r="O7" s="177">
        <v>161.68713426193</v>
      </c>
      <c r="P7" s="177"/>
    </row>
    <row r="8" customHeight="1" spans="1:16">
      <c r="A8" s="95">
        <v>4</v>
      </c>
      <c r="B8" s="94" t="s">
        <v>229</v>
      </c>
      <c r="C8" s="177" t="s">
        <v>233</v>
      </c>
      <c r="D8" s="178">
        <v>2</v>
      </c>
      <c r="E8" s="94">
        <v>2748.5</v>
      </c>
      <c r="F8" s="94">
        <v>433459</v>
      </c>
      <c r="G8" s="94">
        <f t="shared" si="0"/>
        <v>157.70747680553</v>
      </c>
      <c r="H8" s="106"/>
      <c r="J8" s="94" t="s">
        <v>229</v>
      </c>
      <c r="K8" s="177" t="s">
        <v>233</v>
      </c>
      <c r="L8" s="178">
        <v>2</v>
      </c>
      <c r="M8" s="177" t="e">
        <f>VLOOKUP(C$5:C$17,#REF!,5,FALSE)</f>
        <v>#REF!</v>
      </c>
      <c r="N8" s="177"/>
      <c r="O8" s="177">
        <v>125.712206658177</v>
      </c>
      <c r="P8" s="177"/>
    </row>
    <row r="9" customHeight="1" spans="1:16">
      <c r="A9" s="95">
        <v>5</v>
      </c>
      <c r="B9" s="94" t="s">
        <v>229</v>
      </c>
      <c r="C9" s="177" t="s">
        <v>234</v>
      </c>
      <c r="D9" s="178">
        <v>2</v>
      </c>
      <c r="E9" s="94">
        <v>1785</v>
      </c>
      <c r="F9" s="94">
        <v>312767</v>
      </c>
      <c r="G9" s="94">
        <f t="shared" si="0"/>
        <v>175.219607843137</v>
      </c>
      <c r="H9" s="106"/>
      <c r="J9" s="94" t="s">
        <v>229</v>
      </c>
      <c r="K9" s="177" t="s">
        <v>234</v>
      </c>
      <c r="L9" s="178">
        <v>2</v>
      </c>
      <c r="M9" s="177" t="e">
        <f>VLOOKUP(C$5:C$17,#REF!,5,FALSE)</f>
        <v>#REF!</v>
      </c>
      <c r="N9" s="177"/>
      <c r="O9" s="177">
        <v>152.941176470588</v>
      </c>
      <c r="P9" s="177"/>
    </row>
    <row r="10" customHeight="1" spans="1:16">
      <c r="A10" s="95">
        <v>6</v>
      </c>
      <c r="B10" s="94" t="s">
        <v>229</v>
      </c>
      <c r="C10" s="177" t="s">
        <v>235</v>
      </c>
      <c r="D10" s="178">
        <v>2</v>
      </c>
      <c r="E10" s="94">
        <v>3026</v>
      </c>
      <c r="F10" s="94">
        <v>999531</v>
      </c>
      <c r="G10" s="94">
        <f t="shared" si="0"/>
        <v>330.314276272307</v>
      </c>
      <c r="H10" s="106"/>
      <c r="J10" s="94" t="s">
        <v>229</v>
      </c>
      <c r="K10" s="177" t="s">
        <v>235</v>
      </c>
      <c r="L10" s="178">
        <v>2</v>
      </c>
      <c r="M10" s="177" t="e">
        <f>VLOOKUP(C$5:C$17,#REF!,5,FALSE)</f>
        <v>#REF!</v>
      </c>
      <c r="N10" s="177"/>
      <c r="O10" s="177">
        <v>290.548578982155</v>
      </c>
      <c r="P10" s="177"/>
    </row>
    <row r="11" customHeight="1" spans="1:16">
      <c r="A11" s="95">
        <v>7</v>
      </c>
      <c r="B11" s="94" t="s">
        <v>229</v>
      </c>
      <c r="C11" s="177" t="s">
        <v>237</v>
      </c>
      <c r="D11" s="178">
        <v>2</v>
      </c>
      <c r="E11" s="94">
        <v>1346</v>
      </c>
      <c r="F11" s="94">
        <v>312602.51</v>
      </c>
      <c r="G11" s="94">
        <f t="shared" si="0"/>
        <v>232.245549777117</v>
      </c>
      <c r="H11" s="106"/>
      <c r="J11" s="94" t="s">
        <v>229</v>
      </c>
      <c r="K11" s="177" t="s">
        <v>237</v>
      </c>
      <c r="L11" s="178">
        <v>2</v>
      </c>
      <c r="M11" s="177" t="e">
        <f>VLOOKUP(C$5:C$17,#REF!,5,FALSE)</f>
        <v>#REF!</v>
      </c>
      <c r="N11" s="177"/>
      <c r="O11" s="177">
        <v>284.576523031204</v>
      </c>
      <c r="P11" s="177"/>
    </row>
    <row r="12" customHeight="1" spans="1:16">
      <c r="A12" s="95">
        <v>8</v>
      </c>
      <c r="B12" s="94" t="s">
        <v>229</v>
      </c>
      <c r="C12" s="177" t="s">
        <v>238</v>
      </c>
      <c r="D12" s="178">
        <v>2</v>
      </c>
      <c r="E12" s="94">
        <v>3321</v>
      </c>
      <c r="F12" s="94">
        <v>358453.089925926</v>
      </c>
      <c r="G12" s="94">
        <f t="shared" si="0"/>
        <v>107.935287541682</v>
      </c>
      <c r="H12" s="106"/>
      <c r="J12" s="94" t="s">
        <v>229</v>
      </c>
      <c r="K12" s="177" t="s">
        <v>238</v>
      </c>
      <c r="L12" s="178">
        <v>2</v>
      </c>
      <c r="M12" s="177"/>
      <c r="N12" s="177">
        <v>111.663660644384</v>
      </c>
      <c r="O12" s="177"/>
      <c r="P12" s="177">
        <v>117.931345980126</v>
      </c>
    </row>
    <row r="13" customHeight="1" spans="1:16">
      <c r="A13" s="95">
        <v>9</v>
      </c>
      <c r="B13" s="94" t="s">
        <v>229</v>
      </c>
      <c r="C13" s="177" t="s">
        <v>239</v>
      </c>
      <c r="D13" s="178">
        <v>2</v>
      </c>
      <c r="E13" s="94">
        <v>2859</v>
      </c>
      <c r="F13" s="94">
        <v>559907.9</v>
      </c>
      <c r="G13" s="94">
        <f t="shared" si="0"/>
        <v>195.840468695348</v>
      </c>
      <c r="H13" s="106"/>
      <c r="J13" s="94" t="s">
        <v>229</v>
      </c>
      <c r="K13" s="177" t="s">
        <v>239</v>
      </c>
      <c r="L13" s="178">
        <v>2</v>
      </c>
      <c r="M13" s="177" t="e">
        <f>VLOOKUP(C$5:C$17,#REF!,5,FALSE)</f>
        <v>#REF!</v>
      </c>
      <c r="N13" s="177"/>
      <c r="O13" s="177">
        <v>118.600909408884</v>
      </c>
      <c r="P13" s="177"/>
    </row>
    <row r="14" customHeight="1" spans="1:16">
      <c r="A14" s="95">
        <v>10</v>
      </c>
      <c r="B14" s="94" t="s">
        <v>229</v>
      </c>
      <c r="C14" s="177" t="s">
        <v>240</v>
      </c>
      <c r="D14" s="178">
        <v>2</v>
      </c>
      <c r="E14" s="94">
        <v>2468</v>
      </c>
      <c r="F14" s="94">
        <v>411422.213084444</v>
      </c>
      <c r="G14" s="94">
        <f t="shared" si="0"/>
        <v>166.702679531784</v>
      </c>
      <c r="H14" s="106"/>
      <c r="J14" s="94" t="s">
        <v>229</v>
      </c>
      <c r="K14" s="177" t="s">
        <v>240</v>
      </c>
      <c r="L14" s="178">
        <v>2</v>
      </c>
      <c r="M14" s="177" t="e">
        <f>VLOOKUP(C$5:C$17,#REF!,5,FALSE)</f>
        <v>#REF!</v>
      </c>
      <c r="N14" s="177"/>
      <c r="O14" s="177">
        <v>110.871150729336</v>
      </c>
      <c r="P14" s="177"/>
    </row>
    <row r="15" customHeight="1" spans="1:16">
      <c r="A15" s="95">
        <v>11</v>
      </c>
      <c r="B15" s="94" t="s">
        <v>229</v>
      </c>
      <c r="C15" s="177" t="s">
        <v>242</v>
      </c>
      <c r="D15" s="178">
        <v>2</v>
      </c>
      <c r="E15" s="94">
        <v>2201</v>
      </c>
      <c r="F15" s="94">
        <v>311229.61024</v>
      </c>
      <c r="G15" s="94">
        <f t="shared" si="0"/>
        <v>141.403730231713</v>
      </c>
      <c r="H15" s="106"/>
      <c r="J15" s="94" t="s">
        <v>229</v>
      </c>
      <c r="K15" s="177" t="s">
        <v>242</v>
      </c>
      <c r="L15" s="178">
        <v>2</v>
      </c>
      <c r="M15" s="177" t="e">
        <f>VLOOKUP(C$5:C$17,#REF!,5,FALSE)</f>
        <v>#REF!</v>
      </c>
      <c r="N15" s="177"/>
      <c r="O15" s="177">
        <v>125.084052703317</v>
      </c>
      <c r="P15" s="177"/>
    </row>
    <row r="16" customHeight="1" spans="1:16">
      <c r="A16" s="95">
        <v>12</v>
      </c>
      <c r="B16" s="94" t="s">
        <v>229</v>
      </c>
      <c r="C16" s="177" t="s">
        <v>243</v>
      </c>
      <c r="D16" s="178">
        <v>2</v>
      </c>
      <c r="E16" s="94">
        <v>2775</v>
      </c>
      <c r="F16" s="94">
        <v>514657</v>
      </c>
      <c r="G16" s="94">
        <f t="shared" si="0"/>
        <v>185.461981981982</v>
      </c>
      <c r="H16" s="106"/>
      <c r="J16" s="94" t="s">
        <v>229</v>
      </c>
      <c r="K16" s="177" t="s">
        <v>243</v>
      </c>
      <c r="L16" s="178">
        <v>2</v>
      </c>
      <c r="M16" s="177" t="e">
        <f>VLOOKUP(C$5:C$17,#REF!,5,FALSE)</f>
        <v>#REF!</v>
      </c>
      <c r="N16" s="177"/>
      <c r="O16" s="177">
        <v>119.138738738739</v>
      </c>
      <c r="P16" s="177"/>
    </row>
    <row r="17" customHeight="1" spans="1:16">
      <c r="A17" s="95">
        <v>13</v>
      </c>
      <c r="B17" s="94" t="s">
        <v>229</v>
      </c>
      <c r="C17" s="177" t="s">
        <v>244</v>
      </c>
      <c r="D17" s="178">
        <v>2</v>
      </c>
      <c r="E17" s="94">
        <v>2658.8</v>
      </c>
      <c r="F17" s="94">
        <v>765488.101274963</v>
      </c>
      <c r="G17" s="94">
        <f t="shared" si="0"/>
        <v>287.907364703988</v>
      </c>
      <c r="H17" s="106"/>
      <c r="J17" s="94" t="s">
        <v>229</v>
      </c>
      <c r="K17" s="177" t="s">
        <v>244</v>
      </c>
      <c r="L17" s="178">
        <v>2</v>
      </c>
      <c r="M17" s="177" t="e">
        <f>VLOOKUP(C$5:C$17,#REF!,5,FALSE)</f>
        <v>#REF!</v>
      </c>
      <c r="N17" s="177"/>
      <c r="O17" s="177">
        <v>198.210470889123</v>
      </c>
      <c r="P17" s="177"/>
    </row>
    <row r="18" customHeight="1" spans="1:16">
      <c r="A18" s="95">
        <v>14</v>
      </c>
      <c r="B18" s="94" t="s">
        <v>245</v>
      </c>
      <c r="C18" s="177" t="s">
        <v>230</v>
      </c>
      <c r="D18" s="178">
        <v>2</v>
      </c>
      <c r="E18" s="94">
        <v>2642.33333333333</v>
      </c>
      <c r="F18" s="94">
        <v>429491.83190642</v>
      </c>
      <c r="G18" s="94">
        <f t="shared" si="0"/>
        <v>162.5426385416</v>
      </c>
      <c r="H18" s="106"/>
      <c r="J18" s="94" t="s">
        <v>245</v>
      </c>
      <c r="K18" s="177" t="s">
        <v>230</v>
      </c>
      <c r="L18" s="178">
        <v>2</v>
      </c>
      <c r="M18" s="177" t="e">
        <f>VLOOKUP(C$18:C$19,#REF!,5,FALSE)</f>
        <v>#REF!</v>
      </c>
      <c r="N18" s="177">
        <v>184.261298599805</v>
      </c>
      <c r="O18" s="177">
        <v>154.291926940326</v>
      </c>
      <c r="P18" s="177">
        <v>185.131878866819</v>
      </c>
    </row>
    <row r="19" customHeight="1" spans="1:16">
      <c r="A19" s="95">
        <v>15</v>
      </c>
      <c r="B19" s="94" t="s">
        <v>245</v>
      </c>
      <c r="C19" s="177" t="s">
        <v>244</v>
      </c>
      <c r="D19" s="178">
        <v>2</v>
      </c>
      <c r="E19" s="94">
        <v>3896</v>
      </c>
      <c r="F19" s="94">
        <v>2108266.45555556</v>
      </c>
      <c r="G19" s="94">
        <f t="shared" si="0"/>
        <v>541.136153890031</v>
      </c>
      <c r="H19" s="106"/>
      <c r="J19" s="94" t="s">
        <v>245</v>
      </c>
      <c r="K19" s="177" t="s">
        <v>244</v>
      </c>
      <c r="L19" s="178">
        <v>2</v>
      </c>
      <c r="M19" s="177" t="e">
        <f>VLOOKUP(C$18:C$19,#REF!,5,FALSE)</f>
        <v>#REF!</v>
      </c>
      <c r="N19" s="177"/>
      <c r="O19" s="177">
        <v>476.506673511294</v>
      </c>
      <c r="P19" s="177"/>
    </row>
    <row r="20" customHeight="1" spans="1:16">
      <c r="A20" s="95">
        <v>16</v>
      </c>
      <c r="B20" s="94" t="s">
        <v>248</v>
      </c>
      <c r="C20" s="177" t="s">
        <v>237</v>
      </c>
      <c r="D20" s="178">
        <v>2</v>
      </c>
      <c r="E20" s="94">
        <v>1008.5</v>
      </c>
      <c r="F20" s="94">
        <v>1045813.55</v>
      </c>
      <c r="G20" s="94">
        <f t="shared" si="0"/>
        <v>1036.99905800694</v>
      </c>
      <c r="H20" s="106"/>
      <c r="J20" s="94" t="s">
        <v>248</v>
      </c>
      <c r="K20" s="177" t="s">
        <v>237</v>
      </c>
      <c r="L20" s="178">
        <v>2</v>
      </c>
      <c r="M20" s="177">
        <v>874.132804757185</v>
      </c>
      <c r="N20" s="177">
        <v>1165.1975</v>
      </c>
      <c r="O20" s="177">
        <v>898.485959696046</v>
      </c>
      <c r="P20" s="177">
        <v>930.694733796299</v>
      </c>
    </row>
    <row r="21" customHeight="1" spans="1:16">
      <c r="A21" s="95">
        <v>17</v>
      </c>
      <c r="B21" s="94" t="s">
        <v>229</v>
      </c>
      <c r="C21" s="177" t="s">
        <v>230</v>
      </c>
      <c r="D21" s="178">
        <v>3</v>
      </c>
      <c r="E21" s="94">
        <v>3779.5</v>
      </c>
      <c r="F21" s="94">
        <v>998593.545012591</v>
      </c>
      <c r="G21" s="94">
        <f t="shared" si="0"/>
        <v>264.213135338693</v>
      </c>
      <c r="H21" s="106"/>
      <c r="J21" s="94" t="s">
        <v>229</v>
      </c>
      <c r="K21" s="177" t="s">
        <v>230</v>
      </c>
      <c r="L21" s="178">
        <v>3</v>
      </c>
      <c r="M21" s="177">
        <v>245.583411748891</v>
      </c>
      <c r="N21" s="177">
        <v>252.388289676425</v>
      </c>
      <c r="O21" s="177">
        <v>263.259846753596</v>
      </c>
      <c r="P21" s="177">
        <v>239.103749357987</v>
      </c>
    </row>
    <row r="22" customHeight="1" spans="1:16">
      <c r="A22" s="95">
        <v>18</v>
      </c>
      <c r="B22" s="94" t="s">
        <v>229</v>
      </c>
      <c r="C22" s="177" t="s">
        <v>237</v>
      </c>
      <c r="D22" s="178">
        <v>3</v>
      </c>
      <c r="E22" s="94">
        <v>1107</v>
      </c>
      <c r="F22" s="94">
        <v>267997.212</v>
      </c>
      <c r="G22" s="94">
        <f t="shared" si="0"/>
        <v>242.093235772358</v>
      </c>
      <c r="H22" s="106"/>
      <c r="J22" s="94" t="s">
        <v>229</v>
      </c>
      <c r="K22" s="177" t="s">
        <v>237</v>
      </c>
      <c r="L22" s="178">
        <v>3</v>
      </c>
      <c r="M22" s="177">
        <v>354.110207768744</v>
      </c>
      <c r="N22" s="177"/>
      <c r="O22" s="177">
        <v>313.387533875339</v>
      </c>
      <c r="P22" s="177"/>
    </row>
    <row r="23" customHeight="1" spans="1:16">
      <c r="A23" s="95">
        <v>19</v>
      </c>
      <c r="B23" s="94" t="s">
        <v>229</v>
      </c>
      <c r="C23" s="177" t="s">
        <v>250</v>
      </c>
      <c r="D23" s="178">
        <v>3</v>
      </c>
      <c r="E23" s="94">
        <v>4210</v>
      </c>
      <c r="F23" s="94">
        <v>1110104.56266667</v>
      </c>
      <c r="G23" s="94">
        <f t="shared" si="0"/>
        <v>263.682793982582</v>
      </c>
      <c r="H23" s="106"/>
      <c r="J23" s="94" t="s">
        <v>229</v>
      </c>
      <c r="K23" s="177" t="s">
        <v>250</v>
      </c>
      <c r="L23" s="178">
        <v>3</v>
      </c>
      <c r="M23" s="177"/>
      <c r="N23" s="177">
        <v>298.274123515439</v>
      </c>
      <c r="O23" s="177"/>
      <c r="P23" s="177">
        <v>236.536817102138</v>
      </c>
    </row>
    <row r="24" customHeight="1" spans="1:16">
      <c r="A24" s="95">
        <v>20</v>
      </c>
      <c r="B24" s="94" t="s">
        <v>229</v>
      </c>
      <c r="C24" s="177" t="s">
        <v>241</v>
      </c>
      <c r="D24" s="178">
        <v>3</v>
      </c>
      <c r="E24" s="94">
        <v>5245</v>
      </c>
      <c r="F24" s="94">
        <v>1200328.56170371</v>
      </c>
      <c r="G24" s="94">
        <f t="shared" si="0"/>
        <v>228.851966006427</v>
      </c>
      <c r="H24" s="106"/>
      <c r="J24" s="94" t="s">
        <v>229</v>
      </c>
      <c r="K24" s="177" t="s">
        <v>241</v>
      </c>
      <c r="L24" s="178">
        <v>3</v>
      </c>
      <c r="M24" s="177"/>
      <c r="N24" s="177"/>
      <c r="O24" s="177"/>
      <c r="P24" s="177"/>
    </row>
    <row r="25" customHeight="1" spans="1:16">
      <c r="A25" s="95">
        <v>21</v>
      </c>
      <c r="B25" s="94" t="s">
        <v>245</v>
      </c>
      <c r="C25" s="177" t="s">
        <v>230</v>
      </c>
      <c r="D25" s="178">
        <v>3</v>
      </c>
      <c r="E25" s="94">
        <v>2382</v>
      </c>
      <c r="F25" s="94">
        <v>401511.655703704</v>
      </c>
      <c r="G25" s="94">
        <f t="shared" si="0"/>
        <v>168.560728674939</v>
      </c>
      <c r="H25" s="106"/>
      <c r="J25" s="94" t="s">
        <v>245</v>
      </c>
      <c r="K25" s="177" t="s">
        <v>230</v>
      </c>
      <c r="L25" s="178">
        <v>3</v>
      </c>
      <c r="M25" s="177">
        <v>161.452560873216</v>
      </c>
      <c r="N25" s="177"/>
      <c r="O25" s="177">
        <v>130.860621326616</v>
      </c>
      <c r="P25" s="177"/>
    </row>
    <row r="26" customHeight="1" spans="1:16">
      <c r="A26" s="95">
        <v>22</v>
      </c>
      <c r="B26" s="94" t="s">
        <v>245</v>
      </c>
      <c r="C26" s="177" t="s">
        <v>247</v>
      </c>
      <c r="D26" s="178">
        <v>3</v>
      </c>
      <c r="E26" s="94">
        <v>6182</v>
      </c>
      <c r="F26" s="94">
        <v>2698592.04842519</v>
      </c>
      <c r="G26" s="94">
        <f t="shared" si="0"/>
        <v>436.524110065544</v>
      </c>
      <c r="H26" s="106"/>
      <c r="J26" s="94" t="s">
        <v>245</v>
      </c>
      <c r="K26" s="177" t="s">
        <v>247</v>
      </c>
      <c r="L26" s="178">
        <v>3</v>
      </c>
      <c r="M26" s="177"/>
      <c r="N26" s="177"/>
      <c r="O26" s="177"/>
      <c r="P26" s="177"/>
    </row>
    <row r="27" customHeight="1" spans="1:16">
      <c r="A27" s="95">
        <v>23</v>
      </c>
      <c r="B27" s="94" t="s">
        <v>248</v>
      </c>
      <c r="C27" s="177" t="s">
        <v>237</v>
      </c>
      <c r="D27" s="178">
        <v>3</v>
      </c>
      <c r="E27" s="94">
        <v>1033</v>
      </c>
      <c r="F27" s="94">
        <v>1168872.77</v>
      </c>
      <c r="G27" s="94">
        <f t="shared" si="0"/>
        <v>1131.5322071636</v>
      </c>
      <c r="H27" s="106"/>
      <c r="J27" s="94" t="s">
        <v>248</v>
      </c>
      <c r="K27" s="177" t="s">
        <v>237</v>
      </c>
      <c r="L27" s="178">
        <v>3</v>
      </c>
      <c r="M27" s="177">
        <v>1097.77347531462</v>
      </c>
      <c r="N27" s="177"/>
      <c r="O27" s="177">
        <v>1079.74830590513</v>
      </c>
      <c r="P27" s="177"/>
    </row>
    <row r="28" customHeight="1" spans="1:16">
      <c r="A28" s="95">
        <v>24</v>
      </c>
      <c r="B28" s="94" t="s">
        <v>229</v>
      </c>
      <c r="C28" s="177" t="s">
        <v>230</v>
      </c>
      <c r="D28" s="179">
        <v>4</v>
      </c>
      <c r="E28" s="94">
        <v>4942</v>
      </c>
      <c r="F28" s="94">
        <v>1663166.23069185</v>
      </c>
      <c r="G28" s="94">
        <f t="shared" si="0"/>
        <v>336.537076222552</v>
      </c>
      <c r="H28" s="106"/>
      <c r="J28" s="94" t="s">
        <v>229</v>
      </c>
      <c r="K28" s="177" t="s">
        <v>230</v>
      </c>
      <c r="L28" s="179">
        <v>4</v>
      </c>
      <c r="M28" s="177"/>
      <c r="N28" s="177">
        <v>314.901515011547</v>
      </c>
      <c r="O28" s="177"/>
      <c r="P28" s="177">
        <v>297.068899153195</v>
      </c>
    </row>
    <row r="29" customHeight="1" spans="1:12">
      <c r="A29" s="95">
        <v>25</v>
      </c>
      <c r="B29" s="156"/>
      <c r="C29" s="157"/>
      <c r="D29" s="179"/>
      <c r="E29" s="94"/>
      <c r="F29" s="94"/>
      <c r="G29" s="94"/>
      <c r="H29" s="106"/>
      <c r="J29" s="156"/>
      <c r="K29" s="157"/>
      <c r="L29" s="179"/>
    </row>
    <row r="30" customHeight="1" spans="1:12">
      <c r="A30" s="95">
        <v>26</v>
      </c>
      <c r="B30" s="156"/>
      <c r="C30" s="157"/>
      <c r="D30" s="179"/>
      <c r="E30" s="94"/>
      <c r="F30" s="94"/>
      <c r="G30" s="94"/>
      <c r="H30" s="106"/>
      <c r="J30" s="156"/>
      <c r="K30" s="157"/>
      <c r="L30" s="179"/>
    </row>
    <row r="31" customHeight="1" spans="1:12">
      <c r="A31" s="95">
        <v>27</v>
      </c>
      <c r="B31" s="156"/>
      <c r="C31" s="157"/>
      <c r="D31" s="179"/>
      <c r="E31" s="94"/>
      <c r="F31" s="94"/>
      <c r="G31" s="94"/>
      <c r="H31" s="106"/>
      <c r="J31" s="156"/>
      <c r="K31" s="157"/>
      <c r="L31" s="179"/>
    </row>
    <row r="32" customHeight="1" spans="1:12">
      <c r="A32" s="95">
        <v>28</v>
      </c>
      <c r="B32" s="156"/>
      <c r="C32" s="157"/>
      <c r="D32" s="179"/>
      <c r="E32" s="94"/>
      <c r="F32" s="94"/>
      <c r="G32" s="94"/>
      <c r="H32" s="106"/>
      <c r="J32" s="156"/>
      <c r="K32" s="157"/>
      <c r="L32" s="179"/>
    </row>
    <row r="33" customHeight="1" spans="1:12">
      <c r="A33" s="95">
        <v>29</v>
      </c>
      <c r="B33" s="156"/>
      <c r="C33" s="157"/>
      <c r="D33" s="179"/>
      <c r="E33" s="94"/>
      <c r="F33" s="94"/>
      <c r="G33" s="94"/>
      <c r="H33" s="106"/>
      <c r="J33" s="156"/>
      <c r="K33" s="157"/>
      <c r="L33" s="179"/>
    </row>
    <row r="34" customHeight="1" spans="1:12">
      <c r="A34" s="95">
        <v>30</v>
      </c>
      <c r="B34" s="156"/>
      <c r="C34" s="157"/>
      <c r="D34" s="179"/>
      <c r="E34" s="94"/>
      <c r="F34" s="94"/>
      <c r="G34" s="94"/>
      <c r="H34" s="106"/>
      <c r="J34" s="156"/>
      <c r="K34" s="157"/>
      <c r="L34" s="179"/>
    </row>
    <row r="35" customHeight="1" spans="1:12">
      <c r="A35" s="95">
        <v>31</v>
      </c>
      <c r="B35" s="156"/>
      <c r="C35" s="157"/>
      <c r="D35" s="179"/>
      <c r="E35" s="94"/>
      <c r="F35" s="94"/>
      <c r="G35" s="94"/>
      <c r="H35" s="106"/>
      <c r="J35" s="156"/>
      <c r="K35" s="157"/>
      <c r="L35" s="179"/>
    </row>
    <row r="36" customHeight="1" spans="1:12">
      <c r="A36" s="95">
        <v>32</v>
      </c>
      <c r="B36" s="156"/>
      <c r="C36" s="157"/>
      <c r="D36" s="179"/>
      <c r="E36" s="94"/>
      <c r="F36" s="94"/>
      <c r="G36" s="94"/>
      <c r="H36" s="106"/>
      <c r="J36" s="156"/>
      <c r="K36" s="157"/>
      <c r="L36" s="179"/>
    </row>
    <row r="37" customHeight="1" spans="1:12">
      <c r="A37" s="95">
        <v>33</v>
      </c>
      <c r="B37" s="156"/>
      <c r="C37" s="157"/>
      <c r="D37" s="179"/>
      <c r="E37" s="94"/>
      <c r="F37" s="94"/>
      <c r="G37" s="94"/>
      <c r="H37" s="106"/>
      <c r="J37" s="156"/>
      <c r="K37" s="157"/>
      <c r="L37" s="179"/>
    </row>
    <row r="38" customHeight="1" spans="1:12">
      <c r="A38" s="95">
        <v>34</v>
      </c>
      <c r="B38" s="156"/>
      <c r="C38" s="157"/>
      <c r="D38" s="179"/>
      <c r="E38" s="94"/>
      <c r="F38" s="94"/>
      <c r="G38" s="94"/>
      <c r="H38" s="106"/>
      <c r="J38" s="156"/>
      <c r="K38" s="157"/>
      <c r="L38" s="179"/>
    </row>
    <row r="39" customHeight="1" spans="1:12">
      <c r="A39" s="95">
        <v>35</v>
      </c>
      <c r="B39" s="156"/>
      <c r="C39" s="157"/>
      <c r="D39" s="179"/>
      <c r="E39" s="94"/>
      <c r="F39" s="94"/>
      <c r="G39" s="94"/>
      <c r="H39" s="106"/>
      <c r="J39" s="156"/>
      <c r="K39" s="157"/>
      <c r="L39" s="179"/>
    </row>
    <row r="40" customHeight="1" spans="1:12">
      <c r="A40" s="95">
        <v>36</v>
      </c>
      <c r="B40" s="156"/>
      <c r="C40" s="157"/>
      <c r="D40" s="179"/>
      <c r="E40" s="94"/>
      <c r="F40" s="94"/>
      <c r="G40" s="94"/>
      <c r="H40" s="106"/>
      <c r="J40" s="156"/>
      <c r="K40" s="157"/>
      <c r="L40" s="179"/>
    </row>
    <row r="41" customHeight="1" spans="1:12">
      <c r="A41" s="95">
        <v>37</v>
      </c>
      <c r="B41" s="156"/>
      <c r="C41" s="157"/>
      <c r="D41" s="179"/>
      <c r="E41" s="94"/>
      <c r="F41" s="94"/>
      <c r="G41" s="94"/>
      <c r="H41" s="106"/>
      <c r="J41" s="156"/>
      <c r="K41" s="157"/>
      <c r="L41" s="179"/>
    </row>
  </sheetData>
  <sheetProtection formatCells="0" formatColumns="0" formatRows="0" insertRows="0" insertColumns="0" insertHyperlinks="0" deleteColumns="0" deleteRows="0" sort="0" autoFilter="0" pivotTables="0"/>
  <autoFilter xmlns:etc="http://www.wps.cn/officeDocument/2017/etCustomData" ref="A4:XDZ41" etc:filterBottomFollowUsedRange="0">
    <extLst/>
  </autoFilter>
  <mergeCells count="4">
    <mergeCell ref="A2:H2"/>
    <mergeCell ref="M2:N2"/>
    <mergeCell ref="O2:P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X44"/>
  <sheetViews>
    <sheetView workbookViewId="0">
      <pane ySplit="3" topLeftCell="A4" activePane="bottomLeft" state="frozen"/>
      <selection/>
      <selection pane="bottomLeft" activeCell="U44" sqref="U44"/>
    </sheetView>
  </sheetViews>
  <sheetFormatPr defaultColWidth="4.875" defaultRowHeight="16" customHeight="1"/>
  <cols>
    <col min="1" max="1" width="4.16666666666667" style="146" customWidth="1"/>
    <col min="2" max="2" width="6.45833333333333" style="146" customWidth="1"/>
    <col min="3" max="3" width="9.75833333333333" style="146" customWidth="1"/>
    <col min="4" max="4" width="6.625" style="147" customWidth="1"/>
    <col min="5" max="8" width="14.625" style="148" hidden="1" customWidth="1"/>
    <col min="9" max="10" width="4.875" style="149" hidden="1" customWidth="1"/>
    <col min="11" max="11" width="7.125" style="149" hidden="1" customWidth="1"/>
    <col min="12" max="12" width="12.625" style="149" hidden="1" customWidth="1"/>
    <col min="13" max="13" width="5.625" style="149" hidden="1" customWidth="1"/>
    <col min="14" max="14" width="15.875" style="146" customWidth="1"/>
    <col min="15" max="15" width="8.75833333333333" style="146" hidden="1" customWidth="1"/>
    <col min="16" max="16" width="19.5" style="146" hidden="1" customWidth="1"/>
    <col min="17" max="17" width="12.625" style="146" hidden="1" customWidth="1"/>
    <col min="18" max="18" width="10.375" style="146" hidden="1" customWidth="1"/>
    <col min="19" max="19" width="15.875" style="146" customWidth="1"/>
    <col min="20" max="20" width="4.875" style="149"/>
    <col min="21" max="22" width="15.875" style="146" customWidth="1"/>
    <col min="23" max="23" width="4.875" style="149"/>
    <col min="24" max="24" width="12.625" style="149"/>
    <col min="25" max="16354" width="4.875" style="149"/>
  </cols>
  <sheetData>
    <row r="1" s="2" customFormat="1" ht="20.25" spans="1:1">
      <c r="A1" s="1" t="s">
        <v>257</v>
      </c>
    </row>
    <row r="2" s="81" customFormat="1" ht="29.25" spans="1:22">
      <c r="A2" s="3" t="s">
        <v>266</v>
      </c>
      <c r="B2" s="3"/>
      <c r="C2" s="3"/>
      <c r="D2" s="3"/>
      <c r="E2" s="3"/>
      <c r="F2" s="3"/>
      <c r="G2" s="3"/>
      <c r="H2" s="3"/>
      <c r="N2" s="3" t="s">
        <v>259</v>
      </c>
      <c r="O2" s="3"/>
      <c r="P2" s="3"/>
      <c r="Q2" s="3"/>
      <c r="R2" s="3"/>
      <c r="S2" s="3"/>
      <c r="U2" s="3" t="s">
        <v>260</v>
      </c>
      <c r="V2" s="3"/>
    </row>
    <row r="3" s="81" customFormat="1" customHeight="1" spans="1:22">
      <c r="A3" s="150"/>
      <c r="B3" s="150"/>
      <c r="C3" s="151"/>
      <c r="D3" s="151"/>
      <c r="E3" s="152"/>
      <c r="F3" s="153"/>
      <c r="G3" s="154" t="s">
        <v>254</v>
      </c>
      <c r="H3" s="154"/>
      <c r="L3" s="81" t="s">
        <v>261</v>
      </c>
      <c r="N3" s="151" t="s">
        <v>261</v>
      </c>
      <c r="O3" s="151"/>
      <c r="P3" s="151"/>
      <c r="Q3" s="151">
        <v>70</v>
      </c>
      <c r="R3" s="151"/>
      <c r="S3" s="151" t="s">
        <v>262</v>
      </c>
      <c r="U3" s="151" t="s">
        <v>261</v>
      </c>
      <c r="V3" s="151" t="s">
        <v>262</v>
      </c>
    </row>
    <row r="4" ht="32" customHeight="1" spans="1:22">
      <c r="A4" s="155" t="s">
        <v>2</v>
      </c>
      <c r="B4" s="92" t="s">
        <v>225</v>
      </c>
      <c r="C4" s="92" t="s">
        <v>226</v>
      </c>
      <c r="D4" s="92" t="s">
        <v>227</v>
      </c>
      <c r="E4" s="92" t="s">
        <v>263</v>
      </c>
      <c r="F4" s="92" t="s">
        <v>267</v>
      </c>
      <c r="G4" s="92" t="s">
        <v>265</v>
      </c>
      <c r="H4" s="105" t="s">
        <v>85</v>
      </c>
      <c r="J4" s="149" t="s">
        <v>226</v>
      </c>
      <c r="K4" s="149" t="s">
        <v>268</v>
      </c>
      <c r="L4" s="149" t="s">
        <v>269</v>
      </c>
      <c r="M4" s="149" t="s">
        <v>270</v>
      </c>
      <c r="N4" s="92" t="s">
        <v>271</v>
      </c>
      <c r="O4" s="92" t="s">
        <v>226</v>
      </c>
      <c r="P4" s="92" t="s">
        <v>268</v>
      </c>
      <c r="Q4" s="92" t="s">
        <v>269</v>
      </c>
      <c r="R4" s="92" t="s">
        <v>270</v>
      </c>
      <c r="S4" s="92" t="s">
        <v>271</v>
      </c>
      <c r="U4" s="92" t="s">
        <v>271</v>
      </c>
      <c r="V4" s="92" t="s">
        <v>271</v>
      </c>
    </row>
    <row r="5" customHeight="1" spans="1:22">
      <c r="A5" s="95">
        <v>1</v>
      </c>
      <c r="B5" s="156" t="s">
        <v>229</v>
      </c>
      <c r="C5" s="157" t="s">
        <v>235</v>
      </c>
      <c r="D5" s="156">
        <v>2</v>
      </c>
      <c r="E5" s="94">
        <v>2492</v>
      </c>
      <c r="F5" s="94">
        <v>84202.19</v>
      </c>
      <c r="G5" s="94">
        <f>F5/E5</f>
        <v>33.7890008025682</v>
      </c>
      <c r="H5" s="113" t="s">
        <v>272</v>
      </c>
      <c r="J5" s="149" t="s">
        <v>235</v>
      </c>
      <c r="K5" s="149">
        <v>2492</v>
      </c>
      <c r="L5" s="149">
        <v>121011.235955056</v>
      </c>
      <c r="M5" s="149">
        <v>1</v>
      </c>
      <c r="N5" s="160">
        <v>48.5598860172777</v>
      </c>
      <c r="O5" s="160"/>
      <c r="P5" s="160"/>
      <c r="Q5" s="160"/>
      <c r="R5" s="160"/>
      <c r="S5" s="160"/>
      <c r="U5" s="160">
        <v>68.7593557811966</v>
      </c>
      <c r="V5" s="160"/>
    </row>
    <row r="6" customHeight="1" spans="1:22">
      <c r="A6" s="95">
        <v>2</v>
      </c>
      <c r="B6" s="156" t="s">
        <v>229</v>
      </c>
      <c r="C6" s="157" t="s">
        <v>236</v>
      </c>
      <c r="D6" s="156">
        <v>2</v>
      </c>
      <c r="E6" s="94">
        <v>3113</v>
      </c>
      <c r="F6" s="94">
        <v>249235.35</v>
      </c>
      <c r="G6" s="94">
        <f>F6/E6</f>
        <v>80.0627529714102</v>
      </c>
      <c r="H6" s="106"/>
      <c r="J6" s="149" t="s">
        <v>236</v>
      </c>
      <c r="K6" s="149">
        <v>3113</v>
      </c>
      <c r="L6" s="149">
        <v>237827.715355805</v>
      </c>
      <c r="M6" s="149">
        <v>1</v>
      </c>
      <c r="N6" s="160">
        <v>76.3982381483473</v>
      </c>
      <c r="O6" s="160"/>
      <c r="P6" s="160"/>
      <c r="Q6" s="160"/>
      <c r="R6" s="160"/>
      <c r="S6" s="160"/>
      <c r="U6" s="160">
        <v>96.995684401886</v>
      </c>
      <c r="V6" s="160"/>
    </row>
    <row r="7" customHeight="1" spans="1:22">
      <c r="A7" s="95">
        <v>3</v>
      </c>
      <c r="B7" s="156" t="s">
        <v>229</v>
      </c>
      <c r="C7" s="157" t="s">
        <v>239</v>
      </c>
      <c r="D7" s="156">
        <v>2</v>
      </c>
      <c r="E7" s="94">
        <v>3503</v>
      </c>
      <c r="F7" s="94">
        <v>308800.784388734</v>
      </c>
      <c r="G7" s="94">
        <f>F7/E7</f>
        <v>88.1532356233897</v>
      </c>
      <c r="H7" s="106"/>
      <c r="J7" s="149" t="s">
        <v>239</v>
      </c>
      <c r="K7" s="149">
        <v>10509</v>
      </c>
      <c r="L7" s="149">
        <v>1333442.30711611</v>
      </c>
      <c r="M7" s="149">
        <v>3</v>
      </c>
      <c r="N7" s="160">
        <v>126.885746228576</v>
      </c>
      <c r="O7" s="160"/>
      <c r="P7" s="160"/>
      <c r="Q7" s="160"/>
      <c r="R7" s="160"/>
      <c r="S7" s="160"/>
      <c r="U7" s="160">
        <v>109.020162136752</v>
      </c>
      <c r="V7" s="160"/>
    </row>
    <row r="8" customHeight="1" spans="1:22">
      <c r="A8" s="95"/>
      <c r="B8" s="156" t="s">
        <v>229</v>
      </c>
      <c r="C8" s="157" t="s">
        <v>230</v>
      </c>
      <c r="D8" s="156">
        <v>2</v>
      </c>
      <c r="E8" s="94"/>
      <c r="F8" s="94"/>
      <c r="G8" s="94"/>
      <c r="H8" s="106"/>
      <c r="N8" s="160"/>
      <c r="O8" s="160" t="s">
        <v>230</v>
      </c>
      <c r="P8" s="160">
        <v>3603</v>
      </c>
      <c r="Q8" s="160">
        <v>293817.138576779</v>
      </c>
      <c r="R8" s="160">
        <v>1</v>
      </c>
      <c r="S8" s="160">
        <v>81.5479152308573</v>
      </c>
      <c r="U8" s="160"/>
      <c r="V8" s="160">
        <v>82.5155067406375</v>
      </c>
    </row>
    <row r="9" customHeight="1" spans="1:22">
      <c r="A9" s="95">
        <v>4</v>
      </c>
      <c r="B9" s="156" t="s">
        <v>229</v>
      </c>
      <c r="C9" s="157" t="s">
        <v>241</v>
      </c>
      <c r="D9" s="156">
        <v>2</v>
      </c>
      <c r="E9" s="94">
        <v>4978</v>
      </c>
      <c r="F9" s="94">
        <v>491041.353245113</v>
      </c>
      <c r="G9" s="94">
        <f t="shared" ref="G9:G22" si="0">F9/E9</f>
        <v>98.6422967547435</v>
      </c>
      <c r="H9" s="106"/>
      <c r="N9" s="160"/>
      <c r="O9" s="160" t="s">
        <v>241</v>
      </c>
      <c r="P9" s="160">
        <v>9956</v>
      </c>
      <c r="Q9" s="160">
        <v>1200190.5259543</v>
      </c>
      <c r="R9" s="160">
        <v>2</v>
      </c>
      <c r="S9" s="160">
        <v>120.549470264594</v>
      </c>
      <c r="U9" s="160"/>
      <c r="V9" s="160">
        <v>104.803836882282</v>
      </c>
    </row>
    <row r="10" customHeight="1" spans="1:22">
      <c r="A10" s="95">
        <v>5</v>
      </c>
      <c r="B10" s="156" t="s">
        <v>245</v>
      </c>
      <c r="C10" s="157" t="s">
        <v>246</v>
      </c>
      <c r="D10" s="156">
        <v>2</v>
      </c>
      <c r="E10" s="94">
        <v>4804</v>
      </c>
      <c r="F10" s="94">
        <v>612350</v>
      </c>
      <c r="G10" s="94">
        <f t="shared" si="0"/>
        <v>127.466694421316</v>
      </c>
      <c r="H10" s="106"/>
      <c r="N10" s="160"/>
      <c r="O10" s="160" t="s">
        <v>246</v>
      </c>
      <c r="P10" s="160">
        <v>4804</v>
      </c>
      <c r="Q10" s="160">
        <v>612350</v>
      </c>
      <c r="R10" s="160">
        <v>1</v>
      </c>
      <c r="S10" s="160">
        <v>127.466694421316</v>
      </c>
      <c r="U10" s="160"/>
      <c r="V10" s="160">
        <v>86.5101998334721</v>
      </c>
    </row>
    <row r="11" customHeight="1" spans="1:22">
      <c r="A11" s="95">
        <v>6</v>
      </c>
      <c r="B11" s="156" t="s">
        <v>245</v>
      </c>
      <c r="C11" s="157" t="s">
        <v>247</v>
      </c>
      <c r="D11" s="156">
        <v>2</v>
      </c>
      <c r="E11" s="94">
        <v>6191.33333333333</v>
      </c>
      <c r="F11" s="94">
        <v>815089.149022537</v>
      </c>
      <c r="G11" s="94">
        <f t="shared" si="0"/>
        <v>131.650018685669</v>
      </c>
      <c r="H11" s="106"/>
      <c r="N11" s="160"/>
      <c r="O11" s="160" t="s">
        <v>247</v>
      </c>
      <c r="P11" s="160">
        <v>18574</v>
      </c>
      <c r="Q11" s="160">
        <v>2620191.63857678</v>
      </c>
      <c r="R11" s="160">
        <v>3</v>
      </c>
      <c r="S11" s="160">
        <v>141.067709625109</v>
      </c>
      <c r="U11" s="160"/>
      <c r="V11" s="160">
        <v>116.025800580746</v>
      </c>
    </row>
    <row r="12" customHeight="1" spans="1:22">
      <c r="A12" s="95">
        <v>7</v>
      </c>
      <c r="B12" s="156" t="s">
        <v>245</v>
      </c>
      <c r="C12" s="157" t="s">
        <v>244</v>
      </c>
      <c r="D12" s="156">
        <v>2</v>
      </c>
      <c r="E12" s="94">
        <v>4104</v>
      </c>
      <c r="F12" s="94">
        <v>326617.6</v>
      </c>
      <c r="G12" s="94">
        <f t="shared" si="0"/>
        <v>79.5851851851852</v>
      </c>
      <c r="H12" s="106"/>
      <c r="N12" s="160"/>
      <c r="O12" s="160" t="s">
        <v>244</v>
      </c>
      <c r="P12" s="160">
        <v>4104</v>
      </c>
      <c r="Q12" s="160">
        <v>480320</v>
      </c>
      <c r="R12" s="160">
        <v>1</v>
      </c>
      <c r="S12" s="160">
        <v>117.037037037037</v>
      </c>
      <c r="U12" s="160"/>
      <c r="V12" s="160">
        <v>125.756547006301</v>
      </c>
    </row>
    <row r="13" customHeight="1" spans="1:24">
      <c r="A13" s="95">
        <v>8</v>
      </c>
      <c r="B13" s="156" t="s">
        <v>229</v>
      </c>
      <c r="C13" s="157" t="s">
        <v>230</v>
      </c>
      <c r="D13" s="156">
        <v>3</v>
      </c>
      <c r="E13" s="94">
        <v>3535</v>
      </c>
      <c r="F13" s="94">
        <v>208862.62</v>
      </c>
      <c r="G13" s="94">
        <f t="shared" si="0"/>
        <v>59.0841923620934</v>
      </c>
      <c r="H13" s="106"/>
      <c r="J13" s="149" t="s">
        <v>230</v>
      </c>
      <c r="K13" s="149">
        <v>3535</v>
      </c>
      <c r="L13" s="149">
        <v>240524.344569288</v>
      </c>
      <c r="M13" s="149">
        <v>1</v>
      </c>
      <c r="N13" s="161">
        <v>68.0408329757533</v>
      </c>
      <c r="O13" s="160" t="s">
        <v>230</v>
      </c>
      <c r="P13" s="160">
        <v>3785</v>
      </c>
      <c r="Q13" s="160">
        <v>402939.415730337</v>
      </c>
      <c r="R13" s="160">
        <v>1</v>
      </c>
      <c r="S13" s="160">
        <v>106.456913006694</v>
      </c>
      <c r="U13" s="160">
        <v>85.1940731793887</v>
      </c>
      <c r="V13" s="160">
        <v>95.7653659477834</v>
      </c>
      <c r="X13" s="149">
        <f>U13/V13</f>
        <v>0.889612568554703</v>
      </c>
    </row>
    <row r="14" customHeight="1" spans="1:22">
      <c r="A14" s="95">
        <v>9</v>
      </c>
      <c r="B14" s="156" t="s">
        <v>229</v>
      </c>
      <c r="C14" s="157" t="s">
        <v>246</v>
      </c>
      <c r="D14" s="156">
        <v>3</v>
      </c>
      <c r="E14" s="94">
        <v>5061.5</v>
      </c>
      <c r="F14" s="94">
        <v>670961.352559265</v>
      </c>
      <c r="G14" s="94">
        <f t="shared" si="0"/>
        <v>132.561760853357</v>
      </c>
      <c r="H14" s="106"/>
      <c r="N14" s="160"/>
      <c r="O14" s="160" t="s">
        <v>246</v>
      </c>
      <c r="P14" s="160">
        <v>10123</v>
      </c>
      <c r="Q14" s="160">
        <v>1760922.54681648</v>
      </c>
      <c r="R14" s="160">
        <v>2</v>
      </c>
      <c r="S14" s="160">
        <v>173.952637243552</v>
      </c>
      <c r="U14" s="160"/>
      <c r="V14" s="160">
        <v>165.494418650598</v>
      </c>
    </row>
    <row r="15" customHeight="1" spans="1:22">
      <c r="A15" s="95">
        <v>10</v>
      </c>
      <c r="B15" s="156" t="s">
        <v>229</v>
      </c>
      <c r="C15" s="157" t="s">
        <v>247</v>
      </c>
      <c r="D15" s="156">
        <v>3</v>
      </c>
      <c r="E15" s="94">
        <v>3732</v>
      </c>
      <c r="F15" s="94">
        <v>314369.593505228</v>
      </c>
      <c r="G15" s="94">
        <f t="shared" si="0"/>
        <v>84.236225483716</v>
      </c>
      <c r="H15" s="106"/>
      <c r="J15" s="149" t="s">
        <v>247</v>
      </c>
      <c r="K15" s="149">
        <v>3732</v>
      </c>
      <c r="L15" s="149">
        <v>643970.037453184</v>
      </c>
      <c r="M15" s="149">
        <v>1</v>
      </c>
      <c r="N15" s="160">
        <v>172.553600603747</v>
      </c>
      <c r="O15" s="160"/>
      <c r="P15" s="160"/>
      <c r="Q15" s="160"/>
      <c r="R15" s="160"/>
      <c r="S15" s="160"/>
      <c r="U15" s="160">
        <v>118.431141137886</v>
      </c>
      <c r="V15" s="160"/>
    </row>
    <row r="16" customHeight="1" spans="1:22">
      <c r="A16" s="95">
        <v>11</v>
      </c>
      <c r="B16" s="156" t="s">
        <v>229</v>
      </c>
      <c r="C16" s="158" t="s">
        <v>231</v>
      </c>
      <c r="D16" s="156">
        <v>3</v>
      </c>
      <c r="E16" s="94">
        <v>3197</v>
      </c>
      <c r="F16" s="94">
        <v>348002.088390596</v>
      </c>
      <c r="G16" s="94">
        <f t="shared" si="0"/>
        <v>108.852702030215</v>
      </c>
      <c r="H16" s="106"/>
      <c r="J16" s="149" t="s">
        <v>231</v>
      </c>
      <c r="K16" s="149">
        <v>3197</v>
      </c>
      <c r="L16" s="149">
        <v>408539.325842697</v>
      </c>
      <c r="M16" s="149">
        <v>1</v>
      </c>
      <c r="N16" s="162">
        <v>127.788340895432</v>
      </c>
      <c r="O16" s="163"/>
      <c r="P16" s="163"/>
      <c r="Q16" s="163"/>
      <c r="R16" s="163"/>
      <c r="S16" s="163"/>
      <c r="U16" s="162">
        <v>109.829088365849</v>
      </c>
      <c r="V16" s="163"/>
    </row>
    <row r="17" customHeight="1" spans="1:22">
      <c r="A17" s="95">
        <v>12</v>
      </c>
      <c r="B17" s="156" t="s">
        <v>229</v>
      </c>
      <c r="C17" s="159" t="s">
        <v>249</v>
      </c>
      <c r="D17" s="156">
        <v>3</v>
      </c>
      <c r="E17" s="94">
        <v>5157</v>
      </c>
      <c r="F17" s="94">
        <v>507939.905260116</v>
      </c>
      <c r="G17" s="94">
        <f t="shared" si="0"/>
        <v>98.4952308047539</v>
      </c>
      <c r="H17" s="106"/>
      <c r="N17" s="164"/>
      <c r="O17" s="164" t="s">
        <v>249</v>
      </c>
      <c r="P17" s="164">
        <v>10314</v>
      </c>
      <c r="Q17" s="164">
        <v>2078277.15355805</v>
      </c>
      <c r="R17" s="164">
        <v>2</v>
      </c>
      <c r="S17" s="164">
        <v>201.500596621878</v>
      </c>
      <c r="U17" s="164"/>
      <c r="V17" s="164">
        <v>157.333147410996</v>
      </c>
    </row>
    <row r="18" customHeight="1" spans="1:22">
      <c r="A18" s="95">
        <v>13</v>
      </c>
      <c r="B18" s="156" t="s">
        <v>229</v>
      </c>
      <c r="C18" s="157" t="s">
        <v>237</v>
      </c>
      <c r="D18" s="156">
        <v>3</v>
      </c>
      <c r="E18" s="94">
        <v>1036</v>
      </c>
      <c r="F18" s="94">
        <v>332087.102032864</v>
      </c>
      <c r="G18" s="94">
        <f t="shared" si="0"/>
        <v>320.547395784618</v>
      </c>
      <c r="H18" s="106"/>
      <c r="J18" s="149" t="s">
        <v>237</v>
      </c>
      <c r="K18" s="149">
        <v>1036</v>
      </c>
      <c r="L18" s="149">
        <v>380038.951310861</v>
      </c>
      <c r="M18" s="149">
        <v>1</v>
      </c>
      <c r="N18" s="160">
        <v>366.832964585773</v>
      </c>
      <c r="O18" s="160"/>
      <c r="P18" s="160"/>
      <c r="Q18" s="160"/>
      <c r="R18" s="160"/>
      <c r="S18" s="160"/>
      <c r="U18" s="160">
        <v>350.4773057568</v>
      </c>
      <c r="V18" s="160"/>
    </row>
    <row r="19" customHeight="1" spans="1:22">
      <c r="A19" s="95">
        <v>14</v>
      </c>
      <c r="B19" s="156" t="s">
        <v>229</v>
      </c>
      <c r="C19" s="157" t="s">
        <v>250</v>
      </c>
      <c r="D19" s="156">
        <v>3</v>
      </c>
      <c r="E19" s="94">
        <v>4792.5</v>
      </c>
      <c r="F19" s="94">
        <v>662071.985461454</v>
      </c>
      <c r="G19" s="94">
        <f t="shared" si="0"/>
        <v>138.147519136454</v>
      </c>
      <c r="H19" s="106"/>
      <c r="N19" s="160"/>
      <c r="O19" s="160" t="s">
        <v>250</v>
      </c>
      <c r="P19" s="160">
        <v>9585</v>
      </c>
      <c r="Q19" s="160">
        <v>1147903.4082397</v>
      </c>
      <c r="R19" s="160">
        <v>2</v>
      </c>
      <c r="S19" s="160">
        <v>119.760397312436</v>
      </c>
      <c r="U19" s="160"/>
      <c r="V19" s="160">
        <v>114.71366894668</v>
      </c>
    </row>
    <row r="20" customHeight="1" spans="1:24">
      <c r="A20" s="95">
        <v>15</v>
      </c>
      <c r="B20" s="156" t="s">
        <v>229</v>
      </c>
      <c r="C20" s="157" t="s">
        <v>241</v>
      </c>
      <c r="D20" s="156">
        <v>3</v>
      </c>
      <c r="E20" s="94">
        <v>5159</v>
      </c>
      <c r="F20" s="94">
        <v>544013.81893226</v>
      </c>
      <c r="G20" s="94">
        <f t="shared" si="0"/>
        <v>105.449470620713</v>
      </c>
      <c r="H20" s="106"/>
      <c r="J20" s="149" t="s">
        <v>241</v>
      </c>
      <c r="K20" s="149">
        <v>4088</v>
      </c>
      <c r="L20" s="149">
        <v>488277.153558052</v>
      </c>
      <c r="M20" s="149">
        <v>1</v>
      </c>
      <c r="N20" s="160">
        <v>119.441573766647</v>
      </c>
      <c r="O20" s="160" t="s">
        <v>241</v>
      </c>
      <c r="P20" s="160">
        <v>37356</v>
      </c>
      <c r="Q20" s="160">
        <v>5723793.37078651</v>
      </c>
      <c r="R20" s="160">
        <v>7</v>
      </c>
      <c r="S20" s="160">
        <v>153.222865691897</v>
      </c>
      <c r="U20" s="160">
        <v>127.311506409552</v>
      </c>
      <c r="V20" s="160">
        <v>142.753852696978</v>
      </c>
      <c r="X20" s="149">
        <f>U20/V20</f>
        <v>0.891825362358484</v>
      </c>
    </row>
    <row r="21" customHeight="1" spans="1:22">
      <c r="A21" s="95">
        <v>16</v>
      </c>
      <c r="B21" s="156" t="s">
        <v>245</v>
      </c>
      <c r="C21" s="157" t="s">
        <v>246</v>
      </c>
      <c r="D21" s="156">
        <v>3</v>
      </c>
      <c r="E21" s="94">
        <v>4109</v>
      </c>
      <c r="F21" s="94">
        <v>494931</v>
      </c>
      <c r="G21" s="94">
        <f t="shared" si="0"/>
        <v>120.450474568021</v>
      </c>
      <c r="H21" s="106"/>
      <c r="N21" s="160"/>
      <c r="O21" s="160" t="s">
        <v>246</v>
      </c>
      <c r="P21" s="160">
        <v>8218</v>
      </c>
      <c r="Q21" s="160">
        <v>1094570.78651685</v>
      </c>
      <c r="R21" s="160">
        <v>2</v>
      </c>
      <c r="S21" s="160">
        <v>133.191869860897</v>
      </c>
      <c r="U21" s="160"/>
      <c r="V21" s="160">
        <v>131.555560416843</v>
      </c>
    </row>
    <row r="22" customHeight="1" spans="1:22">
      <c r="A22" s="95">
        <v>17</v>
      </c>
      <c r="B22" s="156" t="s">
        <v>245</v>
      </c>
      <c r="C22" s="157" t="s">
        <v>247</v>
      </c>
      <c r="D22" s="156">
        <v>3</v>
      </c>
      <c r="E22" s="94">
        <v>6464</v>
      </c>
      <c r="F22" s="94">
        <v>1028598.67762007</v>
      </c>
      <c r="G22" s="94">
        <f t="shared" si="0"/>
        <v>159.127270671422</v>
      </c>
      <c r="H22" s="106"/>
      <c r="N22" s="160"/>
      <c r="O22" s="160" t="s">
        <v>247</v>
      </c>
      <c r="P22" s="160">
        <v>57894</v>
      </c>
      <c r="Q22" s="160">
        <v>12496067.3558053</v>
      </c>
      <c r="R22" s="160">
        <v>9</v>
      </c>
      <c r="S22" s="160">
        <v>215.843910522771</v>
      </c>
      <c r="U22" s="160"/>
      <c r="V22" s="160">
        <v>194.725652940044</v>
      </c>
    </row>
    <row r="23" customHeight="1" spans="1:22">
      <c r="A23" s="95">
        <v>18</v>
      </c>
      <c r="B23" s="156" t="s">
        <v>245</v>
      </c>
      <c r="C23" s="157" t="s">
        <v>231</v>
      </c>
      <c r="D23" s="156">
        <v>3</v>
      </c>
      <c r="E23" s="94">
        <v>5860</v>
      </c>
      <c r="F23" s="94">
        <v>1109298.90350523</v>
      </c>
      <c r="G23" s="94">
        <f t="shared" ref="G23:G30" si="1">F23/E23</f>
        <v>189.30015418178</v>
      </c>
      <c r="H23" s="106"/>
      <c r="N23" s="160"/>
      <c r="O23" s="160" t="s">
        <v>231</v>
      </c>
      <c r="P23" s="160">
        <v>5860</v>
      </c>
      <c r="Q23" s="160">
        <v>1224232.20973783</v>
      </c>
      <c r="R23" s="160">
        <v>1</v>
      </c>
      <c r="S23" s="160">
        <v>208.913346371643</v>
      </c>
      <c r="U23" s="160"/>
      <c r="V23" s="160">
        <v>173.53734453094</v>
      </c>
    </row>
    <row r="24" customHeight="1" spans="1:22">
      <c r="A24" s="95">
        <v>19</v>
      </c>
      <c r="B24" s="156" t="s">
        <v>245</v>
      </c>
      <c r="C24" s="157" t="s">
        <v>250</v>
      </c>
      <c r="D24" s="156">
        <v>3</v>
      </c>
      <c r="E24" s="94">
        <v>5842</v>
      </c>
      <c r="F24" s="94">
        <v>984981.637072157</v>
      </c>
      <c r="G24" s="94">
        <f t="shared" si="1"/>
        <v>168.603498300609</v>
      </c>
      <c r="H24" s="106"/>
      <c r="N24" s="160"/>
      <c r="O24" s="160" t="s">
        <v>250</v>
      </c>
      <c r="P24" s="160">
        <v>5842</v>
      </c>
      <c r="Q24" s="160">
        <v>987667.138576779</v>
      </c>
      <c r="R24" s="160">
        <v>1</v>
      </c>
      <c r="S24" s="160">
        <v>169.063187021017</v>
      </c>
      <c r="U24" s="160"/>
      <c r="V24" s="160">
        <v>153.610407394728</v>
      </c>
    </row>
    <row r="25" customHeight="1" spans="1:22">
      <c r="A25" s="95">
        <v>20</v>
      </c>
      <c r="B25" s="156" t="s">
        <v>245</v>
      </c>
      <c r="C25" s="158" t="s">
        <v>239</v>
      </c>
      <c r="D25" s="156">
        <v>3</v>
      </c>
      <c r="E25" s="94">
        <v>4741</v>
      </c>
      <c r="F25" s="94">
        <v>1540824.91383646</v>
      </c>
      <c r="G25" s="94">
        <f t="shared" si="1"/>
        <v>324.999981825872</v>
      </c>
      <c r="H25" s="106"/>
      <c r="N25" s="165"/>
      <c r="O25" s="165" t="s">
        <v>239</v>
      </c>
      <c r="P25" s="165">
        <v>4741</v>
      </c>
      <c r="Q25" s="165">
        <v>2189213.48314607</v>
      </c>
      <c r="R25" s="165">
        <v>1</v>
      </c>
      <c r="S25" s="166">
        <v>461.761966493582</v>
      </c>
      <c r="U25" s="165"/>
      <c r="V25" s="166">
        <v>461.761966493582</v>
      </c>
    </row>
    <row r="26" customHeight="1" spans="1:22">
      <c r="A26" s="95">
        <v>21</v>
      </c>
      <c r="B26" s="156" t="s">
        <v>245</v>
      </c>
      <c r="C26" s="157" t="s">
        <v>251</v>
      </c>
      <c r="D26" s="156">
        <v>3</v>
      </c>
      <c r="E26" s="94">
        <v>4668</v>
      </c>
      <c r="F26" s="94">
        <v>903409.357147496</v>
      </c>
      <c r="G26" s="94">
        <f t="shared" si="1"/>
        <v>193.532424410346</v>
      </c>
      <c r="H26" s="106"/>
      <c r="N26" s="160"/>
      <c r="O26" s="160" t="s">
        <v>251</v>
      </c>
      <c r="P26" s="160">
        <v>4668</v>
      </c>
      <c r="Q26" s="160">
        <v>738520</v>
      </c>
      <c r="R26" s="160">
        <v>1</v>
      </c>
      <c r="S26" s="160">
        <v>158.209083119109</v>
      </c>
      <c r="U26" s="160"/>
      <c r="V26" s="160">
        <v>135.458889755415</v>
      </c>
    </row>
    <row r="27" customHeight="1" spans="1:22">
      <c r="A27" s="95">
        <v>22</v>
      </c>
      <c r="B27" s="156" t="s">
        <v>245</v>
      </c>
      <c r="C27" s="157" t="s">
        <v>241</v>
      </c>
      <c r="D27" s="156">
        <v>3</v>
      </c>
      <c r="E27" s="94">
        <v>5873</v>
      </c>
      <c r="F27" s="94">
        <v>839494.2</v>
      </c>
      <c r="G27" s="94">
        <f t="shared" si="1"/>
        <v>142.941290652137</v>
      </c>
      <c r="H27" s="106"/>
      <c r="N27" s="160"/>
      <c r="O27" s="160" t="s">
        <v>241</v>
      </c>
      <c r="P27" s="160">
        <v>5873</v>
      </c>
      <c r="Q27" s="160">
        <v>1376217.22846442</v>
      </c>
      <c r="R27" s="160">
        <v>1</v>
      </c>
      <c r="S27" s="160">
        <v>234.329512764247</v>
      </c>
      <c r="U27" s="160"/>
      <c r="V27" s="160">
        <v>234.329512764247</v>
      </c>
    </row>
    <row r="28" customHeight="1" spans="1:24">
      <c r="A28" s="95">
        <v>23</v>
      </c>
      <c r="B28" s="156" t="s">
        <v>248</v>
      </c>
      <c r="C28" s="157" t="s">
        <v>237</v>
      </c>
      <c r="D28" s="156">
        <v>3</v>
      </c>
      <c r="E28" s="94">
        <v>1008.33</v>
      </c>
      <c r="F28" s="94">
        <v>289916</v>
      </c>
      <c r="G28" s="94">
        <f t="shared" si="1"/>
        <v>287.520950482481</v>
      </c>
      <c r="H28" s="106"/>
      <c r="J28" s="149" t="s">
        <v>237</v>
      </c>
      <c r="K28" s="149">
        <v>1029.66</v>
      </c>
      <c r="L28" s="149">
        <v>457400</v>
      </c>
      <c r="M28" s="149">
        <v>1</v>
      </c>
      <c r="N28" s="160">
        <v>444.224307052814</v>
      </c>
      <c r="O28" s="160" t="s">
        <v>237</v>
      </c>
      <c r="P28" s="160">
        <v>987</v>
      </c>
      <c r="Q28" s="160">
        <v>346360</v>
      </c>
      <c r="R28" s="160">
        <v>1</v>
      </c>
      <c r="S28" s="160">
        <v>350.921985815603</v>
      </c>
      <c r="U28" s="160">
        <v>330.230143603637</v>
      </c>
      <c r="V28" s="160">
        <v>344.50331272839</v>
      </c>
      <c r="X28" s="149">
        <f>U28/V28</f>
        <v>0.958568847969232</v>
      </c>
    </row>
    <row r="29" customHeight="1" spans="1:22">
      <c r="A29" s="95">
        <v>24</v>
      </c>
      <c r="B29" s="156" t="s">
        <v>229</v>
      </c>
      <c r="C29" s="157" t="s">
        <v>230</v>
      </c>
      <c r="D29" s="156">
        <v>4</v>
      </c>
      <c r="E29" s="94">
        <v>5345</v>
      </c>
      <c r="F29" s="94">
        <v>692902.097596935</v>
      </c>
      <c r="G29" s="94">
        <f t="shared" si="1"/>
        <v>129.635565499894</v>
      </c>
      <c r="H29" s="106"/>
      <c r="N29" s="160"/>
      <c r="O29" s="160" t="s">
        <v>230</v>
      </c>
      <c r="P29" s="160">
        <v>15378</v>
      </c>
      <c r="Q29" s="160">
        <v>3304845.16853933</v>
      </c>
      <c r="R29" s="160">
        <v>3</v>
      </c>
      <c r="S29" s="160">
        <v>214.907346113885</v>
      </c>
      <c r="U29" s="160"/>
      <c r="V29" s="160">
        <v>203.523224724459</v>
      </c>
    </row>
    <row r="30" customHeight="1" spans="1:22">
      <c r="A30" s="95">
        <v>25</v>
      </c>
      <c r="B30" s="156" t="s">
        <v>229</v>
      </c>
      <c r="C30" s="157" t="s">
        <v>252</v>
      </c>
      <c r="D30" s="156">
        <v>4</v>
      </c>
      <c r="E30" s="94">
        <v>3774</v>
      </c>
      <c r="F30" s="94">
        <v>713537.65501234</v>
      </c>
      <c r="G30" s="94">
        <f t="shared" si="1"/>
        <v>189.066681243333</v>
      </c>
      <c r="H30" s="106"/>
      <c r="J30" s="149" t="s">
        <v>252</v>
      </c>
      <c r="K30" s="149">
        <v>7548</v>
      </c>
      <c r="L30" s="149">
        <v>1861950.55430712</v>
      </c>
      <c r="M30" s="149">
        <v>2</v>
      </c>
      <c r="N30" s="160">
        <v>246.681313501208</v>
      </c>
      <c r="O30" s="160"/>
      <c r="P30" s="160"/>
      <c r="Q30" s="160"/>
      <c r="R30" s="160"/>
      <c r="S30" s="160"/>
      <c r="U30" s="160">
        <v>191.49785939277</v>
      </c>
      <c r="V30" s="160"/>
    </row>
    <row r="31" customHeight="1" spans="1:22">
      <c r="A31" s="95">
        <v>26</v>
      </c>
      <c r="B31" s="156"/>
      <c r="C31" s="157"/>
      <c r="D31" s="156"/>
      <c r="E31" s="94"/>
      <c r="F31" s="94"/>
      <c r="G31" s="94"/>
      <c r="H31" s="106"/>
      <c r="N31" s="160"/>
      <c r="O31" s="160"/>
      <c r="P31" s="160"/>
      <c r="Q31" s="160"/>
      <c r="R31" s="160"/>
      <c r="S31" s="160"/>
      <c r="U31" s="160"/>
      <c r="V31" s="160"/>
    </row>
    <row r="32" customHeight="1" spans="1:22">
      <c r="A32" s="95">
        <v>27</v>
      </c>
      <c r="B32" s="156"/>
      <c r="C32" s="157"/>
      <c r="D32" s="156"/>
      <c r="E32" s="94"/>
      <c r="F32" s="94"/>
      <c r="G32" s="94"/>
      <c r="H32" s="106"/>
      <c r="N32" s="160"/>
      <c r="O32" s="160"/>
      <c r="P32" s="160"/>
      <c r="Q32" s="160"/>
      <c r="R32" s="160"/>
      <c r="S32" s="160"/>
      <c r="U32" s="160"/>
      <c r="V32" s="160"/>
    </row>
    <row r="33" customHeight="1" spans="1:22">
      <c r="A33" s="95">
        <v>28</v>
      </c>
      <c r="B33" s="156"/>
      <c r="C33" s="157"/>
      <c r="D33" s="156"/>
      <c r="E33" s="94"/>
      <c r="F33" s="94"/>
      <c r="G33" s="94"/>
      <c r="H33" s="106"/>
      <c r="N33" s="160"/>
      <c r="O33" s="160"/>
      <c r="P33" s="160"/>
      <c r="Q33" s="160"/>
      <c r="R33" s="160"/>
      <c r="S33" s="160"/>
      <c r="U33" s="160"/>
      <c r="V33" s="160"/>
    </row>
    <row r="34" customHeight="1" spans="1:22">
      <c r="A34" s="95">
        <v>29</v>
      </c>
      <c r="B34" s="156"/>
      <c r="C34" s="157"/>
      <c r="D34" s="156"/>
      <c r="E34" s="94"/>
      <c r="F34" s="94"/>
      <c r="G34" s="94"/>
      <c r="H34" s="106"/>
      <c r="N34" s="160"/>
      <c r="O34" s="160"/>
      <c r="P34" s="160"/>
      <c r="Q34" s="160"/>
      <c r="R34" s="160"/>
      <c r="S34" s="160"/>
      <c r="U34" s="160"/>
      <c r="V34" s="160"/>
    </row>
    <row r="35" customHeight="1" spans="1:22">
      <c r="A35" s="95">
        <v>30</v>
      </c>
      <c r="B35" s="156"/>
      <c r="C35" s="157"/>
      <c r="D35" s="156"/>
      <c r="E35" s="94"/>
      <c r="F35" s="94"/>
      <c r="G35" s="94"/>
      <c r="H35" s="106"/>
      <c r="N35" s="160"/>
      <c r="O35" s="160"/>
      <c r="P35" s="160"/>
      <c r="Q35" s="160"/>
      <c r="R35" s="160"/>
      <c r="S35" s="160"/>
      <c r="U35" s="160"/>
      <c r="V35" s="160"/>
    </row>
    <row r="36" customHeight="1" spans="1:22">
      <c r="A36" s="95">
        <v>31</v>
      </c>
      <c r="B36" s="156"/>
      <c r="C36" s="157"/>
      <c r="D36" s="156"/>
      <c r="E36" s="94"/>
      <c r="F36" s="94"/>
      <c r="G36" s="94"/>
      <c r="H36" s="106"/>
      <c r="N36" s="160"/>
      <c r="O36" s="160"/>
      <c r="P36" s="160"/>
      <c r="Q36" s="160"/>
      <c r="R36" s="160"/>
      <c r="S36" s="160"/>
      <c r="U36" s="160"/>
      <c r="V36" s="160"/>
    </row>
    <row r="37" customHeight="1" spans="1:22">
      <c r="A37" s="95">
        <v>32</v>
      </c>
      <c r="B37" s="156"/>
      <c r="C37" s="157"/>
      <c r="D37" s="156"/>
      <c r="E37" s="94"/>
      <c r="F37" s="94"/>
      <c r="G37" s="94"/>
      <c r="H37" s="106"/>
      <c r="N37" s="160"/>
      <c r="O37" s="160"/>
      <c r="P37" s="160"/>
      <c r="Q37" s="160"/>
      <c r="R37" s="160"/>
      <c r="S37" s="160"/>
      <c r="U37" s="160"/>
      <c r="V37" s="160"/>
    </row>
    <row r="38" customHeight="1" spans="1:22">
      <c r="A38" s="95">
        <v>33</v>
      </c>
      <c r="B38" s="156"/>
      <c r="C38" s="157"/>
      <c r="D38" s="156"/>
      <c r="E38" s="94"/>
      <c r="F38" s="94"/>
      <c r="G38" s="94"/>
      <c r="H38" s="106"/>
      <c r="N38" s="160"/>
      <c r="O38" s="160"/>
      <c r="P38" s="160"/>
      <c r="Q38" s="160"/>
      <c r="R38" s="160"/>
      <c r="S38" s="160"/>
      <c r="U38" s="160"/>
      <c r="V38" s="160"/>
    </row>
    <row r="39" customHeight="1" spans="1:22">
      <c r="A39" s="95">
        <v>34</v>
      </c>
      <c r="B39" s="156"/>
      <c r="C39" s="157"/>
      <c r="D39" s="156"/>
      <c r="E39" s="94"/>
      <c r="F39" s="94"/>
      <c r="G39" s="94"/>
      <c r="H39" s="106"/>
      <c r="N39" s="160"/>
      <c r="O39" s="160"/>
      <c r="P39" s="160"/>
      <c r="Q39" s="160"/>
      <c r="R39" s="160"/>
      <c r="S39" s="160"/>
      <c r="U39" s="160"/>
      <c r="V39" s="160"/>
    </row>
    <row r="40" customHeight="1" spans="1:22">
      <c r="A40" s="95">
        <v>35</v>
      </c>
      <c r="B40" s="156"/>
      <c r="C40" s="157"/>
      <c r="D40" s="156"/>
      <c r="E40" s="94"/>
      <c r="F40" s="94"/>
      <c r="G40" s="94"/>
      <c r="H40" s="106"/>
      <c r="N40" s="160"/>
      <c r="O40" s="160"/>
      <c r="P40" s="160"/>
      <c r="Q40" s="160"/>
      <c r="R40" s="160"/>
      <c r="S40" s="160"/>
      <c r="U40" s="160"/>
      <c r="V40" s="160"/>
    </row>
    <row r="41" customHeight="1" spans="1:22">
      <c r="A41" s="95">
        <v>36</v>
      </c>
      <c r="B41" s="156"/>
      <c r="C41" s="157"/>
      <c r="D41" s="156"/>
      <c r="E41" s="94"/>
      <c r="F41" s="94"/>
      <c r="G41" s="94"/>
      <c r="H41" s="106"/>
      <c r="N41" s="160"/>
      <c r="O41" s="160"/>
      <c r="P41" s="160"/>
      <c r="Q41" s="160"/>
      <c r="R41" s="160"/>
      <c r="S41" s="160"/>
      <c r="U41" s="160"/>
      <c r="V41" s="160"/>
    </row>
    <row r="42" customHeight="1" spans="1:22">
      <c r="A42" s="95">
        <v>37</v>
      </c>
      <c r="B42" s="156"/>
      <c r="C42" s="157"/>
      <c r="D42" s="156"/>
      <c r="E42" s="94"/>
      <c r="F42" s="94"/>
      <c r="G42" s="94"/>
      <c r="H42" s="106"/>
      <c r="N42" s="160"/>
      <c r="O42" s="160"/>
      <c r="P42" s="160"/>
      <c r="Q42" s="160"/>
      <c r="R42" s="160"/>
      <c r="S42" s="160"/>
      <c r="U42" s="160"/>
      <c r="V42" s="160"/>
    </row>
    <row r="43" customHeight="1" spans="19:22">
      <c r="S43" s="146">
        <f>SUM(S5:S42)</f>
        <v>3489.70444453812</v>
      </c>
      <c r="V43" s="146">
        <f>SUM(V5:V42)</f>
        <v>3224.67821644512</v>
      </c>
    </row>
    <row r="44" customHeight="1" spans="21:21">
      <c r="U44" s="146">
        <f>(S43-V43)/V43</f>
        <v>0.0821868758071516</v>
      </c>
    </row>
  </sheetData>
  <sheetProtection formatCells="0" formatColumns="0" formatRows="0" insertRows="0" insertColumns="0" insertHyperlinks="0" deleteColumns="0" deleteRows="0" sort="0" autoFilter="0" pivotTables="0"/>
  <autoFilter xmlns:etc="http://www.wps.cn/officeDocument/2017/etCustomData" ref="A4:XDZ44" etc:filterBottomFollowUsedRange="0">
    <extLst/>
  </autoFilter>
  <mergeCells count="4">
    <mergeCell ref="A2:H2"/>
    <mergeCell ref="N2:S2"/>
    <mergeCell ref="U2:V2"/>
    <mergeCell ref="G3:H3"/>
  </mergeCells>
  <pageMargins left="0.432638888888889" right="0.156944444444444" top="0.904861111111111" bottom="0.432638888888889" header="0.314583333333333" footer="0.393055555555556"/>
  <pageSetup paperSize="9" fitToHeight="0" orientation="portrait" horizontalDpi="600"/>
  <headerFooter>
    <oddFooter>&amp;C第 &amp;P 页，共 &amp;N 页</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H64"/>
  <sheetViews>
    <sheetView zoomScale="115" zoomScaleNormal="115" workbookViewId="0">
      <pane ySplit="4" topLeftCell="A5" activePane="bottomLeft" state="frozen"/>
      <selection/>
      <selection pane="bottomLeft" activeCell="I12" sqref="I12"/>
    </sheetView>
  </sheetViews>
  <sheetFormatPr defaultColWidth="4" defaultRowHeight="16" customHeight="1" outlineLevelCol="7"/>
  <cols>
    <col min="1" max="1" width="5.325" style="86" customWidth="1"/>
    <col min="2" max="3" width="9.375" style="131" customWidth="1"/>
    <col min="4" max="4" width="9.375" style="132" customWidth="1"/>
    <col min="5" max="8" width="8.625" style="89" customWidth="1"/>
    <col min="9" max="13" width="4.88333333333333" style="86"/>
    <col min="14" max="14" width="5.375" style="86"/>
    <col min="15" max="15" width="4.88333333333333" style="86"/>
    <col min="16" max="16" width="5.375" style="86"/>
    <col min="17" max="16380" width="4.88333333333333" style="86"/>
    <col min="16381" max="16381" width="4.88333333333333" style="133"/>
    <col min="16382" max="16382" width="4" style="133"/>
  </cols>
  <sheetData>
    <row r="1" ht="20.25" spans="1:4">
      <c r="A1" s="1" t="s">
        <v>273</v>
      </c>
      <c r="B1" s="121"/>
      <c r="C1" s="134"/>
      <c r="D1" s="135"/>
    </row>
    <row r="2" s="87" customFormat="1" ht="29.25" spans="1:8">
      <c r="A2" s="3" t="s">
        <v>258</v>
      </c>
      <c r="B2" s="3"/>
      <c r="C2" s="3"/>
      <c r="D2" s="136"/>
      <c r="E2" s="3"/>
      <c r="F2" s="3"/>
      <c r="G2" s="3"/>
      <c r="H2" s="3"/>
    </row>
    <row r="3" s="130" customFormat="1" customHeight="1" spans="1:8">
      <c r="A3" s="137" t="s">
        <v>2</v>
      </c>
      <c r="B3" s="137" t="s">
        <v>226</v>
      </c>
      <c r="C3" s="138" t="s">
        <v>274</v>
      </c>
      <c r="D3" s="139" t="s">
        <v>275</v>
      </c>
      <c r="E3" s="140" t="s">
        <v>276</v>
      </c>
      <c r="F3" s="140"/>
      <c r="G3" s="140"/>
      <c r="H3" s="140"/>
    </row>
    <row r="4" s="130" customFormat="1" customHeight="1" spans="1:8">
      <c r="A4" s="137"/>
      <c r="B4" s="137"/>
      <c r="C4" s="141"/>
      <c r="D4" s="142"/>
      <c r="E4" s="94" t="s">
        <v>277</v>
      </c>
      <c r="F4" s="94" t="s">
        <v>278</v>
      </c>
      <c r="G4" s="94" t="s">
        <v>279</v>
      </c>
      <c r="H4" s="94" t="s">
        <v>280</v>
      </c>
    </row>
    <row r="5" s="130" customFormat="1" customHeight="1" spans="1:8">
      <c r="A5" s="138">
        <f>ROW()-4</f>
        <v>1</v>
      </c>
      <c r="B5" s="138" t="s">
        <v>230</v>
      </c>
      <c r="C5" s="137">
        <v>660</v>
      </c>
      <c r="D5" s="143">
        <v>362.9</v>
      </c>
      <c r="E5" s="94"/>
      <c r="F5" s="94"/>
      <c r="G5" s="94"/>
      <c r="H5" s="94"/>
    </row>
    <row r="6" s="130" customFormat="1" customHeight="1" spans="1:8">
      <c r="A6" s="144"/>
      <c r="B6" s="144"/>
      <c r="C6" s="137">
        <v>444</v>
      </c>
      <c r="D6" s="145">
        <v>548.61</v>
      </c>
      <c r="E6" s="94"/>
      <c r="F6" s="94"/>
      <c r="G6" s="94"/>
      <c r="H6" s="94"/>
    </row>
    <row r="7" s="130" customFormat="1" customHeight="1" spans="1:8">
      <c r="A7" s="144"/>
      <c r="B7" s="144"/>
      <c r="C7" s="137">
        <v>311</v>
      </c>
      <c r="D7" s="145">
        <v>1080.21</v>
      </c>
      <c r="E7" s="94"/>
      <c r="F7" s="94"/>
      <c r="G7" s="94"/>
      <c r="H7" s="94"/>
    </row>
    <row r="8" s="130" customFormat="1" customHeight="1" spans="1:8">
      <c r="A8" s="141"/>
      <c r="B8" s="141"/>
      <c r="C8" s="137">
        <v>216</v>
      </c>
      <c r="D8" s="145">
        <v>2148.88</v>
      </c>
      <c r="E8" s="94"/>
      <c r="F8" s="94"/>
      <c r="G8" s="94"/>
      <c r="H8" s="94"/>
    </row>
    <row r="9" s="130" customFormat="1" customHeight="1" spans="1:8">
      <c r="A9" s="138">
        <v>2</v>
      </c>
      <c r="B9" s="138" t="s">
        <v>231</v>
      </c>
      <c r="C9" s="137">
        <v>444</v>
      </c>
      <c r="D9" s="145">
        <v>651.04</v>
      </c>
      <c r="E9" s="94"/>
      <c r="F9" s="94"/>
      <c r="G9" s="94"/>
      <c r="H9" s="94"/>
    </row>
    <row r="10" s="130" customFormat="1" customHeight="1" spans="1:8">
      <c r="A10" s="144"/>
      <c r="B10" s="144"/>
      <c r="C10" s="137">
        <v>311</v>
      </c>
      <c r="D10" s="145">
        <v>1399.99</v>
      </c>
      <c r="E10" s="94"/>
      <c r="F10" s="94"/>
      <c r="G10" s="94"/>
      <c r="H10" s="94"/>
    </row>
    <row r="11" s="130" customFormat="1" customHeight="1" spans="1:8">
      <c r="A11" s="141"/>
      <c r="B11" s="141"/>
      <c r="C11" s="137">
        <v>216</v>
      </c>
      <c r="D11" s="145">
        <v>1727.32</v>
      </c>
      <c r="E11" s="94"/>
      <c r="F11" s="94"/>
      <c r="G11" s="94"/>
      <c r="H11" s="94"/>
    </row>
    <row r="12" s="130" customFormat="1" customHeight="1" spans="1:8">
      <c r="A12" s="138">
        <v>3</v>
      </c>
      <c r="B12" s="138" t="s">
        <v>232</v>
      </c>
      <c r="C12" s="137">
        <v>311</v>
      </c>
      <c r="D12" s="145">
        <v>508.73</v>
      </c>
      <c r="E12" s="94"/>
      <c r="F12" s="94"/>
      <c r="G12" s="94"/>
      <c r="H12" s="94"/>
    </row>
    <row r="13" s="130" customFormat="1" customHeight="1" spans="1:8">
      <c r="A13" s="141"/>
      <c r="B13" s="141"/>
      <c r="C13" s="137">
        <v>216</v>
      </c>
      <c r="D13" s="145">
        <v>989.05</v>
      </c>
      <c r="E13" s="94"/>
      <c r="F13" s="94"/>
      <c r="G13" s="94"/>
      <c r="H13" s="94"/>
    </row>
    <row r="14" s="130" customFormat="1" customHeight="1" spans="1:8">
      <c r="A14" s="138">
        <v>4</v>
      </c>
      <c r="B14" s="138" t="s">
        <v>233</v>
      </c>
      <c r="C14" s="137">
        <v>311</v>
      </c>
      <c r="D14" s="145">
        <v>650.43</v>
      </c>
      <c r="E14" s="94"/>
      <c r="F14" s="94"/>
      <c r="G14" s="94"/>
      <c r="H14" s="94"/>
    </row>
    <row r="15" s="130" customFormat="1" customHeight="1" spans="1:8">
      <c r="A15" s="141"/>
      <c r="B15" s="141"/>
      <c r="C15" s="137">
        <v>216</v>
      </c>
      <c r="D15" s="145">
        <v>2056.28</v>
      </c>
      <c r="E15" s="94"/>
      <c r="F15" s="94"/>
      <c r="G15" s="94"/>
      <c r="H15" s="94"/>
    </row>
    <row r="16" s="130" customFormat="1" customHeight="1" spans="1:8">
      <c r="A16" s="138">
        <v>5</v>
      </c>
      <c r="B16" s="138" t="s">
        <v>234</v>
      </c>
      <c r="C16" s="137">
        <v>311</v>
      </c>
      <c r="D16" s="145">
        <v>599.95</v>
      </c>
      <c r="E16" s="94"/>
      <c r="F16" s="94"/>
      <c r="G16" s="94"/>
      <c r="H16" s="94"/>
    </row>
    <row r="17" s="130" customFormat="1" customHeight="1" spans="1:8">
      <c r="A17" s="141"/>
      <c r="B17" s="141"/>
      <c r="C17" s="137">
        <v>216</v>
      </c>
      <c r="D17" s="145">
        <v>1180.23</v>
      </c>
      <c r="E17" s="94"/>
      <c r="F17" s="94"/>
      <c r="G17" s="94"/>
      <c r="H17" s="94"/>
    </row>
    <row r="18" s="130" customFormat="1" customHeight="1" spans="1:8">
      <c r="A18" s="137">
        <v>6</v>
      </c>
      <c r="B18" s="137" t="s">
        <v>235</v>
      </c>
      <c r="C18" s="137">
        <v>311</v>
      </c>
      <c r="D18" s="145">
        <v>592.25</v>
      </c>
      <c r="E18" s="94"/>
      <c r="F18" s="94"/>
      <c r="G18" s="94"/>
      <c r="H18" s="94"/>
    </row>
    <row r="19" s="130" customFormat="1" customHeight="1" spans="1:8">
      <c r="A19" s="138">
        <v>7</v>
      </c>
      <c r="B19" s="138" t="s">
        <v>236</v>
      </c>
      <c r="C19" s="137">
        <v>311</v>
      </c>
      <c r="D19" s="145">
        <v>808.47</v>
      </c>
      <c r="E19" s="94"/>
      <c r="F19" s="94"/>
      <c r="G19" s="94"/>
      <c r="H19" s="94"/>
    </row>
    <row r="20" s="130" customFormat="1" customHeight="1" spans="1:8">
      <c r="A20" s="141"/>
      <c r="B20" s="141"/>
      <c r="C20" s="137">
        <v>216</v>
      </c>
      <c r="D20" s="145">
        <v>2300.6</v>
      </c>
      <c r="E20" s="94"/>
      <c r="F20" s="94"/>
      <c r="G20" s="94"/>
      <c r="H20" s="94"/>
    </row>
    <row r="21" s="130" customFormat="1" customHeight="1" spans="1:8">
      <c r="A21" s="138">
        <v>8</v>
      </c>
      <c r="B21" s="138" t="s">
        <v>237</v>
      </c>
      <c r="C21" s="137">
        <v>762</v>
      </c>
      <c r="D21" s="145">
        <v>215.8</v>
      </c>
      <c r="E21" s="94"/>
      <c r="F21" s="94"/>
      <c r="G21" s="94"/>
      <c r="H21" s="94"/>
    </row>
    <row r="22" s="130" customFormat="1" customHeight="1" spans="1:8">
      <c r="A22" s="144"/>
      <c r="B22" s="144"/>
      <c r="C22" s="137">
        <v>572</v>
      </c>
      <c r="D22" s="145">
        <v>702</v>
      </c>
      <c r="E22" s="94"/>
      <c r="F22" s="94"/>
      <c r="G22" s="94"/>
      <c r="H22" s="94"/>
    </row>
    <row r="23" s="130" customFormat="1" customHeight="1" spans="1:8">
      <c r="A23" s="144"/>
      <c r="B23" s="144"/>
      <c r="C23" s="137">
        <v>406</v>
      </c>
      <c r="D23" s="145">
        <v>61.24</v>
      </c>
      <c r="E23" s="94"/>
      <c r="F23" s="94"/>
      <c r="G23" s="94"/>
      <c r="H23" s="94"/>
    </row>
    <row r="24" s="130" customFormat="1" customHeight="1" spans="1:8">
      <c r="A24" s="144"/>
      <c r="B24" s="144"/>
      <c r="C24" s="137">
        <v>375</v>
      </c>
      <c r="D24" s="145">
        <v>91</v>
      </c>
      <c r="E24" s="94"/>
      <c r="F24" s="94"/>
      <c r="G24" s="94"/>
      <c r="H24" s="94"/>
    </row>
    <row r="25" s="130" customFormat="1" customHeight="1" spans="1:8">
      <c r="A25" s="144"/>
      <c r="B25" s="144"/>
      <c r="C25" s="137">
        <v>241</v>
      </c>
      <c r="D25" s="145">
        <v>1009</v>
      </c>
      <c r="E25" s="94"/>
      <c r="F25" s="94"/>
      <c r="G25" s="94"/>
      <c r="H25" s="94"/>
    </row>
    <row r="26" s="130" customFormat="1" customHeight="1" spans="1:8">
      <c r="A26" s="141"/>
      <c r="B26" s="141"/>
      <c r="C26" s="137">
        <v>152</v>
      </c>
      <c r="D26" s="145">
        <v>347.23</v>
      </c>
      <c r="E26" s="94"/>
      <c r="F26" s="94"/>
      <c r="G26" s="94"/>
      <c r="H26" s="94"/>
    </row>
    <row r="27" s="130" customFormat="1" customHeight="1" spans="1:8">
      <c r="A27" s="138">
        <v>9</v>
      </c>
      <c r="B27" s="138" t="s">
        <v>238</v>
      </c>
      <c r="C27" s="137">
        <v>311</v>
      </c>
      <c r="D27" s="145">
        <v>802.74</v>
      </c>
      <c r="E27" s="94"/>
      <c r="F27" s="94"/>
      <c r="G27" s="94"/>
      <c r="H27" s="94"/>
    </row>
    <row r="28" s="130" customFormat="1" customHeight="1" spans="1:8">
      <c r="A28" s="141"/>
      <c r="B28" s="141"/>
      <c r="C28" s="137">
        <v>216</v>
      </c>
      <c r="D28" s="145">
        <v>2515.94</v>
      </c>
      <c r="E28" s="94"/>
      <c r="F28" s="94"/>
      <c r="G28" s="94"/>
      <c r="H28" s="94"/>
    </row>
    <row r="29" s="130" customFormat="1" customHeight="1" spans="1:8">
      <c r="A29" s="138">
        <v>10</v>
      </c>
      <c r="B29" s="138" t="s">
        <v>239</v>
      </c>
      <c r="C29" s="137">
        <v>444</v>
      </c>
      <c r="D29" s="145">
        <v>808.89</v>
      </c>
      <c r="E29" s="94"/>
      <c r="F29" s="94"/>
      <c r="G29" s="94"/>
      <c r="H29" s="94"/>
    </row>
    <row r="30" s="130" customFormat="1" customHeight="1" spans="1:8">
      <c r="A30" s="144"/>
      <c r="B30" s="144"/>
      <c r="C30" s="137">
        <v>311</v>
      </c>
      <c r="D30" s="145">
        <v>1058.96</v>
      </c>
      <c r="E30" s="94"/>
      <c r="F30" s="94"/>
      <c r="G30" s="94"/>
      <c r="H30" s="94"/>
    </row>
    <row r="31" s="130" customFormat="1" customHeight="1" spans="1:8">
      <c r="A31" s="141"/>
      <c r="B31" s="141"/>
      <c r="C31" s="137">
        <v>216</v>
      </c>
      <c r="D31" s="145">
        <v>2398.03</v>
      </c>
      <c r="E31" s="94"/>
      <c r="F31" s="94"/>
      <c r="G31" s="94"/>
      <c r="H31" s="94"/>
    </row>
    <row r="32" s="130" customFormat="1" customHeight="1" spans="1:8">
      <c r="A32" s="138">
        <v>11</v>
      </c>
      <c r="B32" s="138" t="s">
        <v>240</v>
      </c>
      <c r="C32" s="137">
        <v>311</v>
      </c>
      <c r="D32" s="145">
        <v>505.65</v>
      </c>
      <c r="E32" s="94"/>
      <c r="F32" s="94"/>
      <c r="G32" s="94"/>
      <c r="H32" s="94"/>
    </row>
    <row r="33" s="130" customFormat="1" customHeight="1" spans="1:8">
      <c r="A33" s="141"/>
      <c r="B33" s="141"/>
      <c r="C33" s="137">
        <v>216</v>
      </c>
      <c r="D33" s="145">
        <v>1956.07</v>
      </c>
      <c r="E33" s="94"/>
      <c r="F33" s="94"/>
      <c r="G33" s="94"/>
      <c r="H33" s="94"/>
    </row>
    <row r="34" s="130" customFormat="1" customHeight="1" spans="1:8">
      <c r="A34" s="138">
        <v>12</v>
      </c>
      <c r="B34" s="138" t="s">
        <v>241</v>
      </c>
      <c r="C34" s="137">
        <v>444</v>
      </c>
      <c r="D34" s="145">
        <v>429.28</v>
      </c>
      <c r="E34" s="94"/>
      <c r="F34" s="94"/>
      <c r="G34" s="94"/>
      <c r="H34" s="94"/>
    </row>
    <row r="35" s="130" customFormat="1" customHeight="1" spans="1:8">
      <c r="A35" s="144"/>
      <c r="B35" s="144"/>
      <c r="C35" s="137">
        <v>311</v>
      </c>
      <c r="D35" s="145">
        <v>1970.18</v>
      </c>
      <c r="E35" s="94"/>
      <c r="F35" s="94"/>
      <c r="G35" s="94"/>
      <c r="H35" s="94"/>
    </row>
    <row r="36" s="130" customFormat="1" customHeight="1" spans="1:8">
      <c r="A36" s="141"/>
      <c r="B36" s="141"/>
      <c r="C36" s="137">
        <v>216</v>
      </c>
      <c r="D36" s="145">
        <v>3012.844</v>
      </c>
      <c r="E36" s="94"/>
      <c r="F36" s="94"/>
      <c r="G36" s="94"/>
      <c r="H36" s="94"/>
    </row>
    <row r="37" s="130" customFormat="1" customHeight="1" spans="1:8">
      <c r="A37" s="138">
        <v>13</v>
      </c>
      <c r="B37" s="138" t="s">
        <v>242</v>
      </c>
      <c r="C37" s="137">
        <v>444</v>
      </c>
      <c r="D37" s="145">
        <v>607.93</v>
      </c>
      <c r="E37" s="94"/>
      <c r="F37" s="94"/>
      <c r="G37" s="94"/>
      <c r="H37" s="94"/>
    </row>
    <row r="38" s="130" customFormat="1" customHeight="1" spans="1:8">
      <c r="A38" s="141"/>
      <c r="B38" s="141"/>
      <c r="C38" s="137">
        <v>216</v>
      </c>
      <c r="D38" s="145">
        <v>2487.7</v>
      </c>
      <c r="E38" s="94"/>
      <c r="F38" s="94"/>
      <c r="G38" s="94"/>
      <c r="H38" s="94"/>
    </row>
    <row r="39" s="130" customFormat="1" customHeight="1" spans="1:8">
      <c r="A39" s="138">
        <v>14</v>
      </c>
      <c r="B39" s="138" t="s">
        <v>243</v>
      </c>
      <c r="C39" s="137">
        <v>311</v>
      </c>
      <c r="D39" s="145">
        <v>801.36</v>
      </c>
      <c r="E39" s="94"/>
      <c r="F39" s="94"/>
      <c r="G39" s="94"/>
      <c r="H39" s="94"/>
    </row>
    <row r="40" s="130" customFormat="1" customHeight="1" spans="1:8">
      <c r="A40" s="141"/>
      <c r="B40" s="141"/>
      <c r="C40" s="137">
        <v>216</v>
      </c>
      <c r="D40" s="145">
        <v>574.92</v>
      </c>
      <c r="E40" s="94"/>
      <c r="F40" s="94"/>
      <c r="G40" s="94"/>
      <c r="H40" s="94"/>
    </row>
    <row r="41" s="130" customFormat="1" customHeight="1" spans="1:8">
      <c r="A41" s="138">
        <v>15</v>
      </c>
      <c r="B41" s="138" t="s">
        <v>244</v>
      </c>
      <c r="C41" s="137">
        <v>311</v>
      </c>
      <c r="D41" s="145">
        <v>754.2</v>
      </c>
      <c r="E41" s="94"/>
      <c r="F41" s="94"/>
      <c r="G41" s="94"/>
      <c r="H41" s="94"/>
    </row>
    <row r="42" s="130" customFormat="1" customHeight="1" spans="1:8">
      <c r="A42" s="141"/>
      <c r="B42" s="141"/>
      <c r="C42" s="137">
        <v>216</v>
      </c>
      <c r="D42" s="145">
        <v>2285.58</v>
      </c>
      <c r="E42" s="94"/>
      <c r="F42" s="94"/>
      <c r="G42" s="94"/>
      <c r="H42" s="94"/>
    </row>
    <row r="43" s="130" customFormat="1" customHeight="1" spans="1:8">
      <c r="A43" s="138">
        <v>16</v>
      </c>
      <c r="B43" s="138" t="s">
        <v>246</v>
      </c>
      <c r="C43" s="137">
        <v>444</v>
      </c>
      <c r="D43" s="145">
        <v>513.63</v>
      </c>
      <c r="E43" s="94"/>
      <c r="F43" s="94"/>
      <c r="G43" s="94"/>
      <c r="H43" s="94"/>
    </row>
    <row r="44" s="130" customFormat="1" customHeight="1" spans="1:8">
      <c r="A44" s="144"/>
      <c r="B44" s="144"/>
      <c r="C44" s="137">
        <v>311</v>
      </c>
      <c r="D44" s="145">
        <v>2514.53</v>
      </c>
      <c r="E44" s="94"/>
      <c r="F44" s="94"/>
      <c r="G44" s="94"/>
      <c r="H44" s="94"/>
    </row>
    <row r="45" s="130" customFormat="1" customHeight="1" spans="1:8">
      <c r="A45" s="141"/>
      <c r="B45" s="141"/>
      <c r="C45" s="137">
        <v>216</v>
      </c>
      <c r="D45" s="145">
        <v>2604.35</v>
      </c>
      <c r="E45" s="94"/>
      <c r="F45" s="94"/>
      <c r="G45" s="94"/>
      <c r="H45" s="94"/>
    </row>
    <row r="46" s="130" customFormat="1" customHeight="1" spans="1:8">
      <c r="A46" s="138">
        <v>17</v>
      </c>
      <c r="B46" s="138" t="s">
        <v>247</v>
      </c>
      <c r="C46" s="137">
        <v>444</v>
      </c>
      <c r="D46" s="145">
        <v>605.46</v>
      </c>
      <c r="E46" s="94"/>
      <c r="F46" s="94"/>
      <c r="G46" s="94"/>
      <c r="H46" s="94"/>
    </row>
    <row r="47" s="130" customFormat="1" customHeight="1" spans="1:8">
      <c r="A47" s="144"/>
      <c r="B47" s="144"/>
      <c r="C47" s="137">
        <v>311</v>
      </c>
      <c r="D47" s="145">
        <v>2318.19</v>
      </c>
      <c r="E47" s="94"/>
      <c r="F47" s="94"/>
      <c r="G47" s="94"/>
      <c r="H47" s="94"/>
    </row>
    <row r="48" s="130" customFormat="1" customHeight="1" spans="1:8">
      <c r="A48" s="141"/>
      <c r="B48" s="141"/>
      <c r="C48" s="137">
        <v>216</v>
      </c>
      <c r="D48" s="145">
        <v>2891.02</v>
      </c>
      <c r="E48" s="94"/>
      <c r="F48" s="94"/>
      <c r="G48" s="94"/>
      <c r="H48" s="94"/>
    </row>
    <row r="49" s="130" customFormat="1" customHeight="1" spans="1:8">
      <c r="A49" s="138">
        <v>18</v>
      </c>
      <c r="B49" s="138" t="s">
        <v>249</v>
      </c>
      <c r="C49" s="137">
        <v>444</v>
      </c>
      <c r="D49" s="145">
        <v>655.79</v>
      </c>
      <c r="E49" s="94"/>
      <c r="F49" s="94"/>
      <c r="G49" s="94"/>
      <c r="H49" s="94"/>
    </row>
    <row r="50" s="130" customFormat="1" customHeight="1" spans="1:8">
      <c r="A50" s="144"/>
      <c r="B50" s="144"/>
      <c r="C50" s="137">
        <v>311</v>
      </c>
      <c r="D50" s="145">
        <v>2893.13</v>
      </c>
      <c r="E50" s="94"/>
      <c r="F50" s="94"/>
      <c r="G50" s="94"/>
      <c r="H50" s="94"/>
    </row>
    <row r="51" s="130" customFormat="1" customHeight="1" spans="1:8">
      <c r="A51" s="141"/>
      <c r="B51" s="141"/>
      <c r="C51" s="137">
        <v>216</v>
      </c>
      <c r="D51" s="145">
        <v>1580.1</v>
      </c>
      <c r="E51" s="94"/>
      <c r="F51" s="94"/>
      <c r="G51" s="94"/>
      <c r="H51" s="94"/>
    </row>
    <row r="52" s="130" customFormat="1" customHeight="1" spans="1:8">
      <c r="A52" s="138">
        <v>19</v>
      </c>
      <c r="B52" s="138" t="s">
        <v>250</v>
      </c>
      <c r="C52" s="137">
        <v>444</v>
      </c>
      <c r="D52" s="145">
        <v>565.3</v>
      </c>
      <c r="E52" s="94"/>
      <c r="F52" s="94"/>
      <c r="G52" s="94"/>
      <c r="H52" s="94"/>
    </row>
    <row r="53" s="130" customFormat="1" customHeight="1" spans="1:8">
      <c r="A53" s="144"/>
      <c r="B53" s="144"/>
      <c r="C53" s="137">
        <v>311</v>
      </c>
      <c r="D53" s="145">
        <v>2658.72</v>
      </c>
      <c r="E53" s="94"/>
      <c r="F53" s="94"/>
      <c r="G53" s="94"/>
      <c r="H53" s="94"/>
    </row>
    <row r="54" s="130" customFormat="1" customHeight="1" spans="1:8">
      <c r="A54" s="141"/>
      <c r="B54" s="141"/>
      <c r="C54" s="137">
        <v>216</v>
      </c>
      <c r="D54" s="145">
        <v>2347.01</v>
      </c>
      <c r="E54" s="94"/>
      <c r="F54" s="94"/>
      <c r="G54" s="94"/>
      <c r="H54" s="94"/>
    </row>
    <row r="55" s="130" customFormat="1" customHeight="1" spans="1:8">
      <c r="A55" s="144">
        <v>20</v>
      </c>
      <c r="B55" s="144" t="s">
        <v>251</v>
      </c>
      <c r="C55" s="137">
        <v>444</v>
      </c>
      <c r="D55" s="145">
        <v>502</v>
      </c>
      <c r="E55" s="94"/>
      <c r="F55" s="94"/>
      <c r="G55" s="94"/>
      <c r="H55" s="94"/>
    </row>
    <row r="56" s="130" customFormat="1" customHeight="1" spans="1:8">
      <c r="A56" s="144"/>
      <c r="B56" s="144"/>
      <c r="C56" s="137">
        <v>311</v>
      </c>
      <c r="D56" s="145">
        <v>1802</v>
      </c>
      <c r="E56" s="94"/>
      <c r="F56" s="94"/>
      <c r="G56" s="94"/>
      <c r="H56" s="94"/>
    </row>
    <row r="57" s="130" customFormat="1" customHeight="1" spans="1:8">
      <c r="A57" s="141"/>
      <c r="B57" s="141"/>
      <c r="C57" s="137">
        <v>216</v>
      </c>
      <c r="D57" s="145">
        <v>2329.36</v>
      </c>
      <c r="E57" s="94"/>
      <c r="F57" s="94"/>
      <c r="G57" s="94"/>
      <c r="H57" s="94"/>
    </row>
    <row r="58" s="130" customFormat="1" customHeight="1" spans="1:8">
      <c r="A58" s="138">
        <v>21</v>
      </c>
      <c r="B58" s="138" t="s">
        <v>252</v>
      </c>
      <c r="C58" s="137">
        <v>444</v>
      </c>
      <c r="D58" s="145">
        <v>662.7</v>
      </c>
      <c r="E58" s="94"/>
      <c r="F58" s="94"/>
      <c r="G58" s="94"/>
      <c r="H58" s="94"/>
    </row>
    <row r="59" s="130" customFormat="1" customHeight="1" spans="1:8">
      <c r="A59" s="144"/>
      <c r="B59" s="144"/>
      <c r="C59" s="137">
        <v>311</v>
      </c>
      <c r="D59" s="145">
        <v>1087.8</v>
      </c>
      <c r="E59" s="94"/>
      <c r="F59" s="94"/>
      <c r="G59" s="94"/>
      <c r="H59" s="94"/>
    </row>
    <row r="60" s="130" customFormat="1" customHeight="1" spans="1:8">
      <c r="A60" s="144"/>
      <c r="B60" s="144"/>
      <c r="C60" s="137">
        <v>216</v>
      </c>
      <c r="D60" s="145">
        <v>1457.75</v>
      </c>
      <c r="E60" s="94"/>
      <c r="F60" s="94"/>
      <c r="G60" s="94"/>
      <c r="H60" s="94"/>
    </row>
    <row r="61" s="130" customFormat="1" customHeight="1" spans="1:8">
      <c r="A61" s="141"/>
      <c r="B61" s="141"/>
      <c r="C61" s="137">
        <v>152</v>
      </c>
      <c r="D61" s="145">
        <v>495</v>
      </c>
      <c r="E61" s="94"/>
      <c r="F61" s="94"/>
      <c r="G61" s="94"/>
      <c r="H61" s="94"/>
    </row>
    <row r="62" s="130" customFormat="1" customHeight="1" spans="1:8">
      <c r="A62" s="137"/>
      <c r="B62" s="137"/>
      <c r="C62" s="137"/>
      <c r="D62" s="145"/>
      <c r="E62" s="94"/>
      <c r="F62" s="94"/>
      <c r="G62" s="94"/>
      <c r="H62" s="94"/>
    </row>
    <row r="63" s="130" customFormat="1" customHeight="1" spans="1:8">
      <c r="A63" s="137"/>
      <c r="B63" s="137"/>
      <c r="C63" s="137"/>
      <c r="D63" s="145"/>
      <c r="E63" s="94"/>
      <c r="F63" s="94"/>
      <c r="G63" s="94"/>
      <c r="H63" s="94"/>
    </row>
    <row r="64" s="130" customFormat="1" customHeight="1" spans="1:8">
      <c r="A64" s="137"/>
      <c r="B64" s="137"/>
      <c r="C64" s="137"/>
      <c r="D64" s="145"/>
      <c r="E64" s="94"/>
      <c r="F64" s="94"/>
      <c r="G64" s="94"/>
      <c r="H64" s="94"/>
    </row>
  </sheetData>
  <sheetProtection formatCells="0" formatColumns="0" formatRows="0" insertRows="0" insertColumns="0" insertHyperlinks="0" deleteColumns="0" deleteRows="0" sort="0" autoFilter="0" pivotTables="0"/>
  <mergeCells count="46">
    <mergeCell ref="A2:H2"/>
    <mergeCell ref="E3:H3"/>
    <mergeCell ref="A3:A4"/>
    <mergeCell ref="A5:A8"/>
    <mergeCell ref="A9:A11"/>
    <mergeCell ref="A12:A13"/>
    <mergeCell ref="A14:A15"/>
    <mergeCell ref="A16:A17"/>
    <mergeCell ref="A19:A20"/>
    <mergeCell ref="A21:A26"/>
    <mergeCell ref="A27:A28"/>
    <mergeCell ref="A29:A31"/>
    <mergeCell ref="A32:A33"/>
    <mergeCell ref="A34:A36"/>
    <mergeCell ref="A37:A38"/>
    <mergeCell ref="A39:A40"/>
    <mergeCell ref="A41:A42"/>
    <mergeCell ref="A43:A45"/>
    <mergeCell ref="A46:A48"/>
    <mergeCell ref="A49:A51"/>
    <mergeCell ref="A52:A54"/>
    <mergeCell ref="A55:A57"/>
    <mergeCell ref="A58:A61"/>
    <mergeCell ref="B3:B4"/>
    <mergeCell ref="B5:B8"/>
    <mergeCell ref="B9:B11"/>
    <mergeCell ref="B12:B13"/>
    <mergeCell ref="B14:B15"/>
    <mergeCell ref="B16:B17"/>
    <mergeCell ref="B19:B20"/>
    <mergeCell ref="B21:B26"/>
    <mergeCell ref="B27:B28"/>
    <mergeCell ref="B29:B31"/>
    <mergeCell ref="B32:B33"/>
    <mergeCell ref="B34:B36"/>
    <mergeCell ref="B37:B38"/>
    <mergeCell ref="B39:B40"/>
    <mergeCell ref="B41:B42"/>
    <mergeCell ref="B43:B45"/>
    <mergeCell ref="B46:B48"/>
    <mergeCell ref="B49:B51"/>
    <mergeCell ref="B52:B54"/>
    <mergeCell ref="B55:B57"/>
    <mergeCell ref="B58:B61"/>
    <mergeCell ref="C3:C4"/>
    <mergeCell ref="D3:D4"/>
  </mergeCells>
  <pageMargins left="0.708333333333333" right="0.393055555555556" top="0.904861111111111" bottom="0.708333333333333" header="0.314583333333333" footer="0.393055555555556"/>
  <pageSetup paperSize="9" scale="64" orientation="portrait"/>
  <headerFooter>
    <oddFooter>&amp;C&amp;B第 &amp;P 页，共 &amp;N 页</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F45"/>
  <sheetViews>
    <sheetView zoomScale="115" zoomScaleNormal="115" workbookViewId="0">
      <selection activeCell="F35" sqref="F35"/>
    </sheetView>
  </sheetViews>
  <sheetFormatPr defaultColWidth="8.8" defaultRowHeight="13.5" outlineLevelCol="5"/>
  <cols>
    <col min="1" max="6" width="14.625" style="39" customWidth="1"/>
    <col min="7" max="7" width="4.39166666666667" style="39"/>
    <col min="8" max="8" width="4.78333333333333" style="39" customWidth="1"/>
    <col min="9" max="10" width="4.39166666666667" style="39"/>
    <col min="11" max="11" width="8.375" style="39"/>
    <col min="12" max="16359" width="4.39166666666667" style="39"/>
    <col min="16360" max="16365" width="3.6" style="39"/>
    <col min="16366" max="16384" width="8.8" style="39"/>
  </cols>
  <sheetData>
    <row r="1" s="39" customFormat="1" ht="20.25" spans="1:5">
      <c r="A1" s="1" t="s">
        <v>257</v>
      </c>
      <c r="B1" s="86"/>
      <c r="C1" s="86"/>
      <c r="D1" s="87"/>
      <c r="E1" s="89"/>
    </row>
    <row r="2" s="39" customFormat="1" ht="20.25" spans="1:5">
      <c r="A2" s="20"/>
      <c r="B2" s="86"/>
      <c r="C2" s="86"/>
      <c r="D2" s="88"/>
      <c r="E2" s="89"/>
    </row>
    <row r="3" s="121" customFormat="1" ht="29.25" spans="1:6">
      <c r="A3" s="123" t="s">
        <v>11</v>
      </c>
      <c r="B3" s="123"/>
      <c r="C3" s="123"/>
      <c r="D3" s="123"/>
      <c r="E3" s="123"/>
      <c r="F3" s="123"/>
    </row>
    <row r="4" s="34" customFormat="1" ht="16" customHeight="1" spans="1:6">
      <c r="A4" s="124" t="s">
        <v>254</v>
      </c>
      <c r="B4" s="124"/>
      <c r="C4" s="124"/>
      <c r="D4" s="124"/>
      <c r="E4" s="124"/>
      <c r="F4" s="124"/>
    </row>
    <row r="5" s="122" customFormat="1" ht="15" customHeight="1" spans="1:6">
      <c r="A5" s="40" t="s">
        <v>2</v>
      </c>
      <c r="B5" s="41" t="s">
        <v>225</v>
      </c>
      <c r="C5" s="41" t="s">
        <v>226</v>
      </c>
      <c r="D5" s="41" t="s">
        <v>227</v>
      </c>
      <c r="E5" s="41" t="s">
        <v>281</v>
      </c>
      <c r="F5" s="43" t="s">
        <v>85</v>
      </c>
    </row>
    <row r="6" s="122" customFormat="1" ht="15" customHeight="1" spans="1:6">
      <c r="A6" s="44">
        <v>1</v>
      </c>
      <c r="B6" s="45" t="s">
        <v>229</v>
      </c>
      <c r="C6" s="46" t="s">
        <v>230</v>
      </c>
      <c r="D6" s="45">
        <v>2</v>
      </c>
      <c r="E6" s="125">
        <v>98.01</v>
      </c>
      <c r="F6" s="48"/>
    </row>
    <row r="7" s="122" customFormat="1" ht="15" customHeight="1" spans="1:6">
      <c r="A7" s="44">
        <v>2</v>
      </c>
      <c r="B7" s="45" t="s">
        <v>229</v>
      </c>
      <c r="C7" s="46" t="s">
        <v>231</v>
      </c>
      <c r="D7" s="45">
        <v>2</v>
      </c>
      <c r="E7" s="125">
        <v>51.33</v>
      </c>
      <c r="F7" s="48"/>
    </row>
    <row r="8" s="122" customFormat="1" ht="15" customHeight="1" spans="1:6">
      <c r="A8" s="44">
        <v>3</v>
      </c>
      <c r="B8" s="45" t="s">
        <v>229</v>
      </c>
      <c r="C8" s="46" t="s">
        <v>232</v>
      </c>
      <c r="D8" s="45">
        <v>2</v>
      </c>
      <c r="E8" s="125"/>
      <c r="F8" s="48"/>
    </row>
    <row r="9" s="122" customFormat="1" ht="15" customHeight="1" spans="1:6">
      <c r="A9" s="44">
        <v>4</v>
      </c>
      <c r="B9" s="45" t="s">
        <v>229</v>
      </c>
      <c r="C9" s="46" t="s">
        <v>233</v>
      </c>
      <c r="D9" s="45">
        <v>2</v>
      </c>
      <c r="E9" s="125"/>
      <c r="F9" s="48"/>
    </row>
    <row r="10" s="122" customFormat="1" ht="15" customHeight="1" spans="1:6">
      <c r="A10" s="44">
        <v>5</v>
      </c>
      <c r="B10" s="45" t="s">
        <v>229</v>
      </c>
      <c r="C10" s="46" t="s">
        <v>234</v>
      </c>
      <c r="D10" s="45">
        <v>2</v>
      </c>
      <c r="E10" s="125">
        <v>73.92</v>
      </c>
      <c r="F10" s="48"/>
    </row>
    <row r="11" s="122" customFormat="1" ht="15" customHeight="1" spans="1:6">
      <c r="A11" s="44">
        <v>6</v>
      </c>
      <c r="B11" s="45" t="s">
        <v>229</v>
      </c>
      <c r="C11" s="46" t="s">
        <v>235</v>
      </c>
      <c r="D11" s="45">
        <v>2</v>
      </c>
      <c r="E11" s="125">
        <v>55.74</v>
      </c>
      <c r="F11" s="49"/>
    </row>
    <row r="12" s="122" customFormat="1" ht="15" customHeight="1" spans="1:6">
      <c r="A12" s="44">
        <v>7</v>
      </c>
      <c r="B12" s="45" t="s">
        <v>229</v>
      </c>
      <c r="C12" s="46" t="s">
        <v>236</v>
      </c>
      <c r="D12" s="45">
        <v>2</v>
      </c>
      <c r="E12" s="125"/>
      <c r="F12" s="48"/>
    </row>
    <row r="13" s="122" customFormat="1" ht="15" customHeight="1" spans="1:6">
      <c r="A13" s="44">
        <v>8</v>
      </c>
      <c r="B13" s="45" t="s">
        <v>229</v>
      </c>
      <c r="C13" s="46" t="s">
        <v>237</v>
      </c>
      <c r="D13" s="45">
        <v>2</v>
      </c>
      <c r="E13" s="125"/>
      <c r="F13" s="48"/>
    </row>
    <row r="14" s="122" customFormat="1" ht="15" customHeight="1" spans="1:6">
      <c r="A14" s="44">
        <v>9</v>
      </c>
      <c r="B14" s="45" t="s">
        <v>229</v>
      </c>
      <c r="C14" s="46" t="s">
        <v>238</v>
      </c>
      <c r="D14" s="45">
        <v>2</v>
      </c>
      <c r="E14" s="125"/>
      <c r="F14" s="48"/>
    </row>
    <row r="15" s="122" customFormat="1" ht="15" customHeight="1" spans="1:6">
      <c r="A15" s="44">
        <v>10</v>
      </c>
      <c r="B15" s="45" t="s">
        <v>229</v>
      </c>
      <c r="C15" s="46" t="s">
        <v>239</v>
      </c>
      <c r="D15" s="45">
        <v>2</v>
      </c>
      <c r="E15" s="125">
        <v>82.41</v>
      </c>
      <c r="F15" s="48"/>
    </row>
    <row r="16" s="122" customFormat="1" ht="15" customHeight="1" spans="1:6">
      <c r="A16" s="44">
        <v>11</v>
      </c>
      <c r="B16" s="45" t="s">
        <v>229</v>
      </c>
      <c r="C16" s="46" t="s">
        <v>240</v>
      </c>
      <c r="D16" s="45">
        <v>2</v>
      </c>
      <c r="E16" s="125">
        <v>88.14</v>
      </c>
      <c r="F16" s="48"/>
    </row>
    <row r="17" s="122" customFormat="1" ht="15" customHeight="1" spans="1:6">
      <c r="A17" s="44">
        <v>12</v>
      </c>
      <c r="B17" s="45" t="s">
        <v>229</v>
      </c>
      <c r="C17" s="46" t="s">
        <v>241</v>
      </c>
      <c r="D17" s="45">
        <v>2</v>
      </c>
      <c r="E17" s="125"/>
      <c r="F17" s="48"/>
    </row>
    <row r="18" s="122" customFormat="1" ht="15" customHeight="1" spans="1:6">
      <c r="A18" s="44">
        <v>13</v>
      </c>
      <c r="B18" s="45" t="s">
        <v>229</v>
      </c>
      <c r="C18" s="50" t="s">
        <v>242</v>
      </c>
      <c r="D18" s="45">
        <v>2</v>
      </c>
      <c r="E18" s="125">
        <v>55.45</v>
      </c>
      <c r="F18" s="48"/>
    </row>
    <row r="19" s="39" customFormat="1" ht="15" customHeight="1" spans="1:6">
      <c r="A19" s="44">
        <v>14</v>
      </c>
      <c r="B19" s="45" t="s">
        <v>229</v>
      </c>
      <c r="C19" s="46" t="s">
        <v>243</v>
      </c>
      <c r="D19" s="45">
        <v>2</v>
      </c>
      <c r="E19" s="126">
        <v>91.83</v>
      </c>
      <c r="F19" s="48"/>
    </row>
    <row r="20" s="39" customFormat="1" ht="15" customHeight="1" spans="1:6">
      <c r="A20" s="44">
        <v>15</v>
      </c>
      <c r="B20" s="45" t="s">
        <v>229</v>
      </c>
      <c r="C20" s="46" t="s">
        <v>244</v>
      </c>
      <c r="D20" s="45">
        <v>2</v>
      </c>
      <c r="E20" s="126">
        <v>93.04</v>
      </c>
      <c r="F20" s="48"/>
    </row>
    <row r="21" s="39" customFormat="1" ht="15" customHeight="1" spans="1:6">
      <c r="A21" s="44">
        <v>16</v>
      </c>
      <c r="B21" s="45" t="s">
        <v>245</v>
      </c>
      <c r="C21" s="46" t="s">
        <v>230</v>
      </c>
      <c r="D21" s="45">
        <v>2</v>
      </c>
      <c r="E21" s="126">
        <v>81.7</v>
      </c>
      <c r="F21" s="48"/>
    </row>
    <row r="22" s="39" customFormat="1" ht="15" customHeight="1" spans="1:6">
      <c r="A22" s="44">
        <v>17</v>
      </c>
      <c r="B22" s="45" t="s">
        <v>245</v>
      </c>
      <c r="C22" s="46" t="s">
        <v>246</v>
      </c>
      <c r="D22" s="45">
        <v>2</v>
      </c>
      <c r="E22" s="126">
        <v>139.77</v>
      </c>
      <c r="F22" s="48"/>
    </row>
    <row r="23" s="39" customFormat="1" ht="15" customHeight="1" spans="1:6">
      <c r="A23" s="44">
        <v>18</v>
      </c>
      <c r="B23" s="45" t="s">
        <v>245</v>
      </c>
      <c r="C23" s="46" t="s">
        <v>247</v>
      </c>
      <c r="D23" s="45">
        <v>2</v>
      </c>
      <c r="E23" s="126">
        <f>139.29*0.8</f>
        <v>111.432</v>
      </c>
      <c r="F23" s="48"/>
    </row>
    <row r="24" s="39" customFormat="1" ht="15" customHeight="1" spans="1:6">
      <c r="A24" s="44">
        <v>19</v>
      </c>
      <c r="B24" s="45" t="s">
        <v>245</v>
      </c>
      <c r="C24" s="46" t="s">
        <v>244</v>
      </c>
      <c r="D24" s="45">
        <v>2</v>
      </c>
      <c r="E24" s="126"/>
      <c r="F24" s="48"/>
    </row>
    <row r="25" s="39" customFormat="1" ht="15" customHeight="1" spans="1:6">
      <c r="A25" s="44">
        <v>20</v>
      </c>
      <c r="B25" s="45" t="s">
        <v>248</v>
      </c>
      <c r="C25" s="46" t="s">
        <v>237</v>
      </c>
      <c r="D25" s="45">
        <v>2</v>
      </c>
      <c r="E25" s="126"/>
      <c r="F25" s="48"/>
    </row>
    <row r="26" s="39" customFormat="1" ht="15" customHeight="1" spans="1:6">
      <c r="A26" s="44">
        <v>21</v>
      </c>
      <c r="B26" s="45" t="s">
        <v>229</v>
      </c>
      <c r="C26" s="46" t="s">
        <v>230</v>
      </c>
      <c r="D26" s="45">
        <v>3</v>
      </c>
      <c r="E26" s="126">
        <v>100.58</v>
      </c>
      <c r="F26" s="48"/>
    </row>
    <row r="27" s="39" customFormat="1" ht="15" customHeight="1" spans="1:6">
      <c r="A27" s="44">
        <v>22</v>
      </c>
      <c r="B27" s="45" t="s">
        <v>229</v>
      </c>
      <c r="C27" s="46" t="s">
        <v>246</v>
      </c>
      <c r="D27" s="45">
        <v>3</v>
      </c>
      <c r="E27" s="126">
        <v>144.91</v>
      </c>
      <c r="F27" s="48"/>
    </row>
    <row r="28" s="39" customFormat="1" ht="15" customHeight="1" spans="1:6">
      <c r="A28" s="44">
        <v>23</v>
      </c>
      <c r="B28" s="45" t="s">
        <v>229</v>
      </c>
      <c r="C28" s="46" t="s">
        <v>247</v>
      </c>
      <c r="D28" s="45">
        <v>3</v>
      </c>
      <c r="E28" s="126">
        <f>202.75*0.8</f>
        <v>162.2</v>
      </c>
      <c r="F28" s="48"/>
    </row>
    <row r="29" s="35" customFormat="1" ht="15" customHeight="1" spans="1:6">
      <c r="A29" s="44">
        <v>24</v>
      </c>
      <c r="B29" s="45" t="s">
        <v>229</v>
      </c>
      <c r="C29" s="46" t="s">
        <v>231</v>
      </c>
      <c r="D29" s="45">
        <v>3</v>
      </c>
      <c r="E29" s="127"/>
      <c r="F29" s="48"/>
    </row>
    <row r="30" s="39" customFormat="1" ht="15" customHeight="1" spans="1:6">
      <c r="A30" s="44">
        <v>25</v>
      </c>
      <c r="B30" s="45" t="s">
        <v>229</v>
      </c>
      <c r="C30" s="46" t="s">
        <v>249</v>
      </c>
      <c r="D30" s="45">
        <v>3</v>
      </c>
      <c r="E30" s="126">
        <v>158.78</v>
      </c>
      <c r="F30" s="48"/>
    </row>
    <row r="31" s="39" customFormat="1" ht="15" customHeight="1" spans="1:6">
      <c r="A31" s="44">
        <v>26</v>
      </c>
      <c r="B31" s="45" t="s">
        <v>229</v>
      </c>
      <c r="C31" s="46" t="s">
        <v>237</v>
      </c>
      <c r="D31" s="45">
        <v>3</v>
      </c>
      <c r="E31" s="126"/>
      <c r="F31" s="48"/>
    </row>
    <row r="32" s="39" customFormat="1" ht="15" customHeight="1" spans="1:6">
      <c r="A32" s="44">
        <v>27</v>
      </c>
      <c r="B32" s="45" t="s">
        <v>229</v>
      </c>
      <c r="C32" s="46" t="s">
        <v>250</v>
      </c>
      <c r="D32" s="45">
        <v>3</v>
      </c>
      <c r="E32" s="126">
        <v>134.87</v>
      </c>
      <c r="F32" s="48"/>
    </row>
    <row r="33" s="39" customFormat="1" ht="15" customHeight="1" spans="1:6">
      <c r="A33" s="44">
        <v>28</v>
      </c>
      <c r="B33" s="45" t="s">
        <v>229</v>
      </c>
      <c r="C33" s="46" t="s">
        <v>241</v>
      </c>
      <c r="D33" s="45">
        <v>3</v>
      </c>
      <c r="E33" s="126">
        <v>148.44</v>
      </c>
      <c r="F33" s="48"/>
    </row>
    <row r="34" s="39" customFormat="1" ht="15" customHeight="1" spans="1:6">
      <c r="A34" s="44">
        <v>29</v>
      </c>
      <c r="B34" s="45" t="s">
        <v>245</v>
      </c>
      <c r="C34" s="46" t="s">
        <v>230</v>
      </c>
      <c r="D34" s="45">
        <v>3</v>
      </c>
      <c r="E34" s="126"/>
      <c r="F34" s="48"/>
    </row>
    <row r="35" s="39" customFormat="1" ht="15" customHeight="1" spans="1:6">
      <c r="A35" s="44">
        <v>30</v>
      </c>
      <c r="B35" s="45" t="s">
        <v>245</v>
      </c>
      <c r="C35" s="46" t="s">
        <v>246</v>
      </c>
      <c r="D35" s="45">
        <v>3</v>
      </c>
      <c r="E35" s="126">
        <v>139.77</v>
      </c>
      <c r="F35" s="48"/>
    </row>
    <row r="36" s="39" customFormat="1" ht="15" customHeight="1" spans="1:6">
      <c r="A36" s="44">
        <v>31</v>
      </c>
      <c r="B36" s="45" t="s">
        <v>245</v>
      </c>
      <c r="C36" s="46" t="s">
        <v>247</v>
      </c>
      <c r="D36" s="45">
        <v>3</v>
      </c>
      <c r="E36" s="126">
        <f>230.71*0.8</f>
        <v>184.568</v>
      </c>
      <c r="F36" s="49"/>
    </row>
    <row r="37" s="39" customFormat="1" ht="15" customHeight="1" spans="1:6">
      <c r="A37" s="44">
        <v>32</v>
      </c>
      <c r="B37" s="45" t="s">
        <v>245</v>
      </c>
      <c r="C37" s="46" t="s">
        <v>231</v>
      </c>
      <c r="D37" s="45">
        <v>3</v>
      </c>
      <c r="E37" s="126"/>
      <c r="F37" s="49"/>
    </row>
    <row r="38" s="39" customFormat="1" ht="15" customHeight="1" spans="1:6">
      <c r="A38" s="44">
        <v>33</v>
      </c>
      <c r="B38" s="45" t="s">
        <v>245</v>
      </c>
      <c r="C38" s="46" t="s">
        <v>250</v>
      </c>
      <c r="D38" s="45">
        <v>3</v>
      </c>
      <c r="E38" s="126"/>
      <c r="F38" s="48"/>
    </row>
    <row r="39" s="39" customFormat="1" ht="15" customHeight="1" spans="1:6">
      <c r="A39" s="44">
        <v>34</v>
      </c>
      <c r="B39" s="45" t="s">
        <v>245</v>
      </c>
      <c r="C39" s="46" t="s">
        <v>239</v>
      </c>
      <c r="D39" s="45">
        <v>3</v>
      </c>
      <c r="E39" s="126"/>
      <c r="F39" s="49"/>
    </row>
    <row r="40" s="39" customFormat="1" ht="15" customHeight="1" spans="1:6">
      <c r="A40" s="44">
        <v>35</v>
      </c>
      <c r="B40" s="45" t="s">
        <v>245</v>
      </c>
      <c r="C40" s="46" t="s">
        <v>251</v>
      </c>
      <c r="D40" s="45">
        <v>3</v>
      </c>
      <c r="E40" s="126"/>
      <c r="F40" s="49"/>
    </row>
    <row r="41" s="39" customFormat="1" ht="15" customHeight="1" spans="1:6">
      <c r="A41" s="44">
        <v>36</v>
      </c>
      <c r="B41" s="45" t="s">
        <v>245</v>
      </c>
      <c r="C41" s="46" t="s">
        <v>241</v>
      </c>
      <c r="D41" s="45">
        <v>3</v>
      </c>
      <c r="E41" s="126"/>
      <c r="F41" s="48"/>
    </row>
    <row r="42" s="39" customFormat="1" ht="15" customHeight="1" spans="1:6">
      <c r="A42" s="44">
        <v>37</v>
      </c>
      <c r="B42" s="45" t="s">
        <v>248</v>
      </c>
      <c r="C42" s="46" t="s">
        <v>237</v>
      </c>
      <c r="D42" s="45">
        <v>3</v>
      </c>
      <c r="E42" s="126"/>
      <c r="F42" s="48"/>
    </row>
    <row r="43" s="39" customFormat="1" ht="15" customHeight="1" spans="1:6">
      <c r="A43" s="44">
        <v>38</v>
      </c>
      <c r="B43" s="45" t="s">
        <v>229</v>
      </c>
      <c r="C43" s="46" t="s">
        <v>230</v>
      </c>
      <c r="D43" s="45">
        <v>4</v>
      </c>
      <c r="E43" s="126"/>
      <c r="F43" s="48"/>
    </row>
    <row r="44" s="39" customFormat="1" ht="15" customHeight="1" spans="1:6">
      <c r="A44" s="51">
        <v>39</v>
      </c>
      <c r="B44" s="52" t="s">
        <v>229</v>
      </c>
      <c r="C44" s="53" t="s">
        <v>252</v>
      </c>
      <c r="D44" s="52">
        <v>4</v>
      </c>
      <c r="E44" s="128"/>
      <c r="F44" s="55"/>
    </row>
    <row r="45" ht="18" customHeight="1" spans="1:6">
      <c r="A45" s="129" t="s">
        <v>282</v>
      </c>
      <c r="B45" s="129"/>
      <c r="C45" s="129"/>
      <c r="D45" s="129"/>
      <c r="E45" s="129"/>
      <c r="F45" s="129"/>
    </row>
  </sheetData>
  <mergeCells count="3">
    <mergeCell ref="A3:F3"/>
    <mergeCell ref="A4:F4"/>
    <mergeCell ref="A45:F45"/>
  </mergeCells>
  <pageMargins left="1.10208333333333" right="1.02361111111111" top="1.22013888888889" bottom="1.37777777777778" header="0.5" footer="0.984027777777778"/>
  <pageSetup paperSize="9" scale="91" fitToHeight="0" orientation="portrait" horizontalDpi="600"/>
  <headerFooter differentOddEven="1">
    <oddFooter>&amp;L&amp;14&amp;B— 20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X43"/>
  <sheetViews>
    <sheetView zoomScale="145" zoomScaleNormal="145" workbookViewId="0">
      <pane xSplit="1" ySplit="5" topLeftCell="B6" activePane="bottomRight" state="frozen"/>
      <selection/>
      <selection pane="topRight"/>
      <selection pane="bottomLeft"/>
      <selection pane="bottomRight" activeCell="T34" sqref="T34"/>
    </sheetView>
  </sheetViews>
  <sheetFormatPr defaultColWidth="4" defaultRowHeight="16" customHeight="1"/>
  <cols>
    <col min="1" max="1" width="11.025" style="83" customWidth="1"/>
    <col min="2" max="4" width="8.63333333333333" style="84" customWidth="1"/>
    <col min="5" max="5" width="8.63333333333333" style="84" hidden="1" customWidth="1"/>
    <col min="6" max="10" width="8.66666666666667" style="83" hidden="1" customWidth="1"/>
    <col min="11" max="13" width="8.66666666666667" style="83"/>
    <col min="14" max="16" width="4.88333333333333" style="83"/>
    <col min="17" max="17" width="7" style="83" customWidth="1"/>
    <col min="18" max="18" width="10.875" style="83" customWidth="1"/>
    <col min="19" max="19" width="4.88333333333333" style="83"/>
    <col min="20" max="20" width="9.25833333333333" style="83"/>
    <col min="21" max="21" width="10.3666666666667" style="83" customWidth="1"/>
    <col min="22" max="22" width="6.7" style="83" customWidth="1"/>
    <col min="23" max="23" width="7.06666666666667" style="83" customWidth="1"/>
    <col min="24" max="24" width="11.125" style="83"/>
    <col min="25" max="16378" width="4.88333333333333" style="83"/>
    <col min="16379" max="16384" width="4" style="85"/>
  </cols>
  <sheetData>
    <row r="1" ht="20.25" spans="1:9">
      <c r="A1" s="1" t="s">
        <v>257</v>
      </c>
      <c r="B1" s="86"/>
      <c r="C1" s="86"/>
      <c r="D1" s="87"/>
      <c r="E1" s="88"/>
      <c r="F1" s="88"/>
      <c r="G1" s="89"/>
      <c r="H1" s="89"/>
      <c r="I1" s="86"/>
    </row>
    <row r="2" s="80" customFormat="1" ht="29.25" spans="1:13">
      <c r="A2" s="3" t="s">
        <v>283</v>
      </c>
      <c r="B2" s="3"/>
      <c r="C2" s="3"/>
      <c r="D2" s="3"/>
      <c r="E2" s="3"/>
      <c r="F2" s="3"/>
      <c r="G2" s="3"/>
      <c r="H2" s="3"/>
      <c r="I2" s="3"/>
      <c r="J2" s="3"/>
      <c r="K2" s="3"/>
      <c r="L2" s="3"/>
      <c r="M2" s="3"/>
    </row>
    <row r="3" s="81" customFormat="1" customHeight="1" spans="1:13">
      <c r="A3" s="90" t="s">
        <v>254</v>
      </c>
      <c r="B3" s="90"/>
      <c r="C3" s="90"/>
      <c r="D3" s="90"/>
      <c r="E3" s="90"/>
      <c r="F3" s="90"/>
      <c r="G3" s="90"/>
      <c r="H3" s="90"/>
      <c r="I3" s="90"/>
      <c r="J3" s="90"/>
      <c r="K3" s="90"/>
      <c r="L3" s="90"/>
      <c r="M3" s="90"/>
    </row>
    <row r="4" s="82" customFormat="1" customHeight="1" spans="1:13">
      <c r="A4" s="91" t="s">
        <v>226</v>
      </c>
      <c r="B4" s="92" t="s">
        <v>255</v>
      </c>
      <c r="C4" s="92"/>
      <c r="D4" s="92"/>
      <c r="E4" s="92" t="s">
        <v>278</v>
      </c>
      <c r="F4" s="92"/>
      <c r="G4" s="92"/>
      <c r="H4" s="92" t="s">
        <v>279</v>
      </c>
      <c r="I4" s="92"/>
      <c r="J4" s="92"/>
      <c r="K4" s="92" t="s">
        <v>256</v>
      </c>
      <c r="L4" s="92"/>
      <c r="M4" s="105"/>
    </row>
    <row r="5" s="82" customFormat="1" customHeight="1" spans="1:18">
      <c r="A5" s="93"/>
      <c r="B5" s="94">
        <v>444.5</v>
      </c>
      <c r="C5" s="94">
        <v>311.1</v>
      </c>
      <c r="D5" s="94">
        <v>215.9</v>
      </c>
      <c r="E5" s="94">
        <v>444.5</v>
      </c>
      <c r="F5" s="94">
        <v>311.1</v>
      </c>
      <c r="G5" s="94">
        <v>215.9</v>
      </c>
      <c r="H5" s="94">
        <v>444.5</v>
      </c>
      <c r="I5" s="94">
        <v>311.1</v>
      </c>
      <c r="J5" s="94">
        <v>215.9</v>
      </c>
      <c r="K5" s="94">
        <v>444.5</v>
      </c>
      <c r="L5" s="94">
        <v>311.1</v>
      </c>
      <c r="M5" s="106">
        <v>215.9</v>
      </c>
      <c r="P5" s="82">
        <v>1</v>
      </c>
      <c r="Q5" s="82" t="s">
        <v>229</v>
      </c>
      <c r="R5" s="82" t="s">
        <v>230</v>
      </c>
    </row>
    <row r="6" s="82" customFormat="1" customHeight="1" spans="1:24">
      <c r="A6" s="95" t="s">
        <v>230</v>
      </c>
      <c r="B6" s="96">
        <v>38.07</v>
      </c>
      <c r="C6" s="96">
        <v>49.6</v>
      </c>
      <c r="D6" s="96">
        <v>65.29</v>
      </c>
      <c r="E6" s="94" t="s">
        <v>73</v>
      </c>
      <c r="F6" s="97" t="s">
        <v>73</v>
      </c>
      <c r="G6" s="97" t="s">
        <v>73</v>
      </c>
      <c r="H6" s="98">
        <v>36.11</v>
      </c>
      <c r="I6" s="98">
        <v>42.04</v>
      </c>
      <c r="J6" s="98">
        <v>43.52</v>
      </c>
      <c r="K6" s="98">
        <v>57.86</v>
      </c>
      <c r="L6" s="98">
        <v>48.79</v>
      </c>
      <c r="M6" s="107">
        <v>61.14</v>
      </c>
      <c r="P6" s="82">
        <v>2</v>
      </c>
      <c r="Q6" s="82" t="s">
        <v>229</v>
      </c>
      <c r="R6" s="82" t="s">
        <v>231</v>
      </c>
      <c r="T6" s="82">
        <f>1/10000*2.67*7000</f>
        <v>1.869</v>
      </c>
      <c r="U6" s="120"/>
      <c r="V6" s="120"/>
      <c r="W6" s="120"/>
      <c r="X6" s="120"/>
    </row>
    <row r="7" s="82" customFormat="1" customHeight="1" spans="1:18">
      <c r="A7" s="95" t="s">
        <v>234</v>
      </c>
      <c r="B7" s="94" t="s">
        <v>73</v>
      </c>
      <c r="C7" s="94" t="s">
        <v>73</v>
      </c>
      <c r="D7" s="94" t="s">
        <v>73</v>
      </c>
      <c r="E7" s="94" t="s">
        <v>73</v>
      </c>
      <c r="F7" s="94" t="s">
        <v>73</v>
      </c>
      <c r="G7" s="94" t="s">
        <v>73</v>
      </c>
      <c r="H7" s="94" t="s">
        <v>73</v>
      </c>
      <c r="I7" s="94" t="s">
        <v>73</v>
      </c>
      <c r="J7" s="94" t="s">
        <v>73</v>
      </c>
      <c r="K7" s="94" t="s">
        <v>73</v>
      </c>
      <c r="L7" s="98">
        <v>48.24</v>
      </c>
      <c r="M7" s="107">
        <v>37.87</v>
      </c>
      <c r="P7" s="82">
        <v>3</v>
      </c>
      <c r="Q7" s="82" t="s">
        <v>229</v>
      </c>
      <c r="R7" s="82" t="s">
        <v>232</v>
      </c>
    </row>
    <row r="8" s="82" customFormat="1" customHeight="1" spans="1:18">
      <c r="A8" s="95" t="s">
        <v>235</v>
      </c>
      <c r="B8" s="94" t="s">
        <v>73</v>
      </c>
      <c r="C8" s="96">
        <v>43.9</v>
      </c>
      <c r="D8" s="96">
        <v>64.27</v>
      </c>
      <c r="E8" s="94" t="s">
        <v>73</v>
      </c>
      <c r="F8" s="94" t="s">
        <v>73</v>
      </c>
      <c r="G8" s="94" t="s">
        <v>73</v>
      </c>
      <c r="H8" s="94" t="s">
        <v>73</v>
      </c>
      <c r="I8" s="94" t="s">
        <v>73</v>
      </c>
      <c r="J8" s="94" t="s">
        <v>73</v>
      </c>
      <c r="K8" s="94" t="s">
        <v>73</v>
      </c>
      <c r="L8" s="98">
        <v>52.22</v>
      </c>
      <c r="M8" s="107">
        <v>53.95</v>
      </c>
      <c r="P8" s="82">
        <v>4</v>
      </c>
      <c r="Q8" s="82" t="s">
        <v>229</v>
      </c>
      <c r="R8" s="82" t="s">
        <v>233</v>
      </c>
    </row>
    <row r="9" s="82" customFormat="1" customHeight="1" spans="1:18">
      <c r="A9" s="95" t="s">
        <v>242</v>
      </c>
      <c r="B9" s="96">
        <v>41.53</v>
      </c>
      <c r="C9" s="96">
        <v>37.43</v>
      </c>
      <c r="D9" s="96">
        <v>57.54</v>
      </c>
      <c r="E9" s="94" t="s">
        <v>73</v>
      </c>
      <c r="F9" s="94" t="s">
        <v>73</v>
      </c>
      <c r="G9" s="94" t="s">
        <v>73</v>
      </c>
      <c r="H9" s="94" t="s">
        <v>73</v>
      </c>
      <c r="I9" s="94" t="s">
        <v>73</v>
      </c>
      <c r="J9" s="94" t="s">
        <v>73</v>
      </c>
      <c r="K9" s="94" t="s">
        <v>73</v>
      </c>
      <c r="L9" s="94" t="s">
        <v>73</v>
      </c>
      <c r="M9" s="106" t="s">
        <v>73</v>
      </c>
      <c r="P9" s="82">
        <v>5</v>
      </c>
      <c r="Q9" s="82" t="s">
        <v>229</v>
      </c>
      <c r="R9" s="82" t="s">
        <v>234</v>
      </c>
    </row>
    <row r="10" s="82" customFormat="1" customHeight="1" spans="1:18">
      <c r="A10" s="95" t="s">
        <v>244</v>
      </c>
      <c r="B10" s="94" t="s">
        <v>73</v>
      </c>
      <c r="C10" s="96">
        <v>40.88</v>
      </c>
      <c r="D10" s="96">
        <v>69.27</v>
      </c>
      <c r="E10" s="94" t="s">
        <v>73</v>
      </c>
      <c r="F10" s="94" t="s">
        <v>73</v>
      </c>
      <c r="G10" s="94" t="s">
        <v>73</v>
      </c>
      <c r="H10" s="94" t="s">
        <v>73</v>
      </c>
      <c r="I10" s="94" t="s">
        <v>73</v>
      </c>
      <c r="J10" s="94" t="s">
        <v>73</v>
      </c>
      <c r="K10" s="94" t="s">
        <v>73</v>
      </c>
      <c r="L10" s="98">
        <v>62.63</v>
      </c>
      <c r="M10" s="108">
        <v>116.9</v>
      </c>
      <c r="P10" s="82">
        <v>6</v>
      </c>
      <c r="Q10" s="82" t="s">
        <v>229</v>
      </c>
      <c r="R10" s="82" t="s">
        <v>235</v>
      </c>
    </row>
    <row r="11" s="82" customFormat="1" customHeight="1" spans="1:18">
      <c r="A11" s="95" t="s">
        <v>246</v>
      </c>
      <c r="B11" s="94" t="s">
        <v>73</v>
      </c>
      <c r="C11" s="94" t="s">
        <v>73</v>
      </c>
      <c r="D11" s="94" t="s">
        <v>73</v>
      </c>
      <c r="E11" s="94" t="s">
        <v>73</v>
      </c>
      <c r="F11" s="94" t="s">
        <v>73</v>
      </c>
      <c r="G11" s="94" t="s">
        <v>73</v>
      </c>
      <c r="H11" s="94" t="s">
        <v>73</v>
      </c>
      <c r="I11" s="94" t="s">
        <v>73</v>
      </c>
      <c r="J11" s="94" t="s">
        <v>73</v>
      </c>
      <c r="K11" s="98">
        <v>26.24</v>
      </c>
      <c r="L11" s="98">
        <v>71.48</v>
      </c>
      <c r="M11" s="109" t="s">
        <v>284</v>
      </c>
      <c r="P11" s="82">
        <v>7</v>
      </c>
      <c r="Q11" s="82" t="s">
        <v>229</v>
      </c>
      <c r="R11" s="82" t="s">
        <v>236</v>
      </c>
    </row>
    <row r="12" s="82" customFormat="1" customHeight="1" spans="1:18">
      <c r="A12" s="99" t="s">
        <v>285</v>
      </c>
      <c r="B12" s="94"/>
      <c r="C12" s="96">
        <v>47.05</v>
      </c>
      <c r="D12" s="96">
        <v>68.67</v>
      </c>
      <c r="E12" s="94" t="s">
        <v>73</v>
      </c>
      <c r="F12" s="94" t="s">
        <v>73</v>
      </c>
      <c r="G12" s="94" t="s">
        <v>73</v>
      </c>
      <c r="H12" s="94" t="s">
        <v>73</v>
      </c>
      <c r="I12" s="94" t="s">
        <v>73</v>
      </c>
      <c r="J12" s="94" t="s">
        <v>73</v>
      </c>
      <c r="K12" s="97"/>
      <c r="L12" s="98">
        <v>62.63</v>
      </c>
      <c r="M12" s="110">
        <v>116.9</v>
      </c>
      <c r="P12" s="82">
        <v>8</v>
      </c>
      <c r="Q12" s="82" t="s">
        <v>229</v>
      </c>
      <c r="R12" s="82" t="s">
        <v>237</v>
      </c>
    </row>
    <row r="13" s="82" customFormat="1" customHeight="1" spans="1:18">
      <c r="A13" s="95" t="s">
        <v>249</v>
      </c>
      <c r="B13" s="94" t="s">
        <v>73</v>
      </c>
      <c r="C13" s="96">
        <v>26.06</v>
      </c>
      <c r="D13" s="96">
        <v>63.87</v>
      </c>
      <c r="E13" s="94" t="s">
        <v>73</v>
      </c>
      <c r="F13" s="94" t="s">
        <v>73</v>
      </c>
      <c r="G13" s="94" t="s">
        <v>73</v>
      </c>
      <c r="H13" s="94" t="s">
        <v>73</v>
      </c>
      <c r="I13" s="94" t="s">
        <v>73</v>
      </c>
      <c r="J13" s="94" t="s">
        <v>73</v>
      </c>
      <c r="K13" s="94" t="s">
        <v>73</v>
      </c>
      <c r="L13" s="94" t="s">
        <v>73</v>
      </c>
      <c r="M13" s="106" t="s">
        <v>73</v>
      </c>
      <c r="P13" s="82">
        <v>9</v>
      </c>
      <c r="Q13" s="82" t="s">
        <v>229</v>
      </c>
      <c r="R13" s="82" t="s">
        <v>238</v>
      </c>
    </row>
    <row r="14" s="82" customFormat="1" customHeight="1" spans="1:18">
      <c r="A14" s="95" t="s">
        <v>237</v>
      </c>
      <c r="B14" s="94" t="s">
        <v>73</v>
      </c>
      <c r="C14" s="94" t="s">
        <v>73</v>
      </c>
      <c r="D14" s="94" t="s">
        <v>73</v>
      </c>
      <c r="E14" s="94" t="s">
        <v>73</v>
      </c>
      <c r="F14" s="94" t="s">
        <v>73</v>
      </c>
      <c r="G14" s="94" t="s">
        <v>73</v>
      </c>
      <c r="H14" s="94" t="s">
        <v>73</v>
      </c>
      <c r="I14" s="94" t="s">
        <v>73</v>
      </c>
      <c r="J14" s="94" t="s">
        <v>73</v>
      </c>
      <c r="K14" s="111" t="s">
        <v>286</v>
      </c>
      <c r="L14" s="111" t="s">
        <v>287</v>
      </c>
      <c r="M14" s="106" t="s">
        <v>73</v>
      </c>
      <c r="P14" s="82">
        <v>10</v>
      </c>
      <c r="Q14" s="82" t="s">
        <v>229</v>
      </c>
      <c r="R14" s="82" t="s">
        <v>239</v>
      </c>
    </row>
    <row r="15" s="82" customFormat="1" customHeight="1" spans="1:18">
      <c r="A15" s="95" t="s">
        <v>239</v>
      </c>
      <c r="B15" s="94" t="s">
        <v>73</v>
      </c>
      <c r="C15" s="96">
        <v>43.35</v>
      </c>
      <c r="D15" s="96">
        <v>53.31</v>
      </c>
      <c r="E15" s="94" t="s">
        <v>73</v>
      </c>
      <c r="F15" s="94" t="s">
        <v>73</v>
      </c>
      <c r="G15" s="94" t="s">
        <v>73</v>
      </c>
      <c r="H15" s="94" t="s">
        <v>73</v>
      </c>
      <c r="I15" s="98">
        <v>26</v>
      </c>
      <c r="J15" s="98">
        <v>48.72</v>
      </c>
      <c r="K15" s="94" t="s">
        <v>73</v>
      </c>
      <c r="L15" s="94">
        <v>26</v>
      </c>
      <c r="M15" s="106">
        <v>48.72</v>
      </c>
      <c r="P15" s="82">
        <v>11</v>
      </c>
      <c r="Q15" s="82" t="s">
        <v>229</v>
      </c>
      <c r="R15" s="82" t="s">
        <v>240</v>
      </c>
    </row>
    <row r="16" s="82" customFormat="1" customHeight="1" spans="1:18">
      <c r="A16" s="95" t="s">
        <v>251</v>
      </c>
      <c r="B16" s="94" t="s">
        <v>73</v>
      </c>
      <c r="C16" s="94" t="s">
        <v>73</v>
      </c>
      <c r="D16" s="94" t="s">
        <v>73</v>
      </c>
      <c r="E16" s="94" t="s">
        <v>73</v>
      </c>
      <c r="F16" s="94" t="s">
        <v>73</v>
      </c>
      <c r="G16" s="94" t="s">
        <v>73</v>
      </c>
      <c r="H16" s="98">
        <v>46.1</v>
      </c>
      <c r="I16" s="98">
        <v>39.64</v>
      </c>
      <c r="J16" s="98">
        <v>143.32</v>
      </c>
      <c r="K16" s="112">
        <v>46.1</v>
      </c>
      <c r="L16" s="112">
        <v>39.64</v>
      </c>
      <c r="M16" s="113">
        <v>143.32</v>
      </c>
      <c r="P16" s="82">
        <v>12</v>
      </c>
      <c r="Q16" s="82" t="s">
        <v>229</v>
      </c>
      <c r="R16" s="82" t="s">
        <v>241</v>
      </c>
    </row>
    <row r="17" s="82" customFormat="1" customHeight="1" spans="1:18">
      <c r="A17" s="95" t="s">
        <v>252</v>
      </c>
      <c r="B17" s="96">
        <v>55.91</v>
      </c>
      <c r="C17" s="96">
        <v>141.26</v>
      </c>
      <c r="D17" s="96">
        <v>133.7</v>
      </c>
      <c r="E17" s="94" t="s">
        <v>73</v>
      </c>
      <c r="F17" s="94" t="s">
        <v>73</v>
      </c>
      <c r="G17" s="94" t="s">
        <v>73</v>
      </c>
      <c r="H17" s="94" t="s">
        <v>73</v>
      </c>
      <c r="I17" s="94" t="s">
        <v>73</v>
      </c>
      <c r="J17" s="94" t="s">
        <v>73</v>
      </c>
      <c r="K17" s="94" t="s">
        <v>73</v>
      </c>
      <c r="L17" s="94" t="s">
        <v>73</v>
      </c>
      <c r="M17" s="106" t="s">
        <v>73</v>
      </c>
      <c r="P17" s="82">
        <v>13</v>
      </c>
      <c r="Q17" s="82" t="s">
        <v>229</v>
      </c>
      <c r="R17" s="82" t="s">
        <v>242</v>
      </c>
    </row>
    <row r="18" customHeight="1" spans="1:18">
      <c r="A18" s="100" t="s">
        <v>288</v>
      </c>
      <c r="B18" s="94" t="s">
        <v>73</v>
      </c>
      <c r="C18" s="94" t="s">
        <v>73</v>
      </c>
      <c r="D18" s="94" t="s">
        <v>73</v>
      </c>
      <c r="E18" s="94" t="s">
        <v>73</v>
      </c>
      <c r="F18" s="94" t="s">
        <v>73</v>
      </c>
      <c r="G18" s="94" t="s">
        <v>73</v>
      </c>
      <c r="H18" s="94" t="s">
        <v>73</v>
      </c>
      <c r="I18" s="94" t="s">
        <v>73</v>
      </c>
      <c r="J18" s="94" t="s">
        <v>73</v>
      </c>
      <c r="K18" s="101">
        <v>34.33</v>
      </c>
      <c r="L18" s="101">
        <v>61.4</v>
      </c>
      <c r="M18" s="114">
        <v>125.32</v>
      </c>
      <c r="P18" s="83">
        <v>14</v>
      </c>
      <c r="Q18" s="83" t="s">
        <v>229</v>
      </c>
      <c r="R18" s="83" t="s">
        <v>243</v>
      </c>
    </row>
    <row r="19" customHeight="1" spans="1:18">
      <c r="A19" s="100" t="s">
        <v>289</v>
      </c>
      <c r="B19" s="94" t="s">
        <v>73</v>
      </c>
      <c r="C19" s="94" t="s">
        <v>73</v>
      </c>
      <c r="D19" s="94" t="s">
        <v>73</v>
      </c>
      <c r="E19" s="94" t="s">
        <v>73</v>
      </c>
      <c r="F19" s="94" t="s">
        <v>73</v>
      </c>
      <c r="G19" s="94" t="s">
        <v>73</v>
      </c>
      <c r="H19" s="101">
        <v>41.5</v>
      </c>
      <c r="I19" s="101">
        <v>63.1</v>
      </c>
      <c r="J19" s="101">
        <v>200.45</v>
      </c>
      <c r="K19" s="115">
        <v>41.5</v>
      </c>
      <c r="L19" s="115">
        <v>63.1</v>
      </c>
      <c r="M19" s="116">
        <v>200.45</v>
      </c>
      <c r="P19" s="83">
        <v>15</v>
      </c>
      <c r="Q19" s="83" t="s">
        <v>229</v>
      </c>
      <c r="R19" s="83" t="s">
        <v>244</v>
      </c>
    </row>
    <row r="20" customHeight="1" spans="1:18">
      <c r="A20" s="100" t="s">
        <v>290</v>
      </c>
      <c r="B20" s="94" t="s">
        <v>73</v>
      </c>
      <c r="C20" s="94" t="s">
        <v>73</v>
      </c>
      <c r="D20" s="94" t="s">
        <v>73</v>
      </c>
      <c r="E20" s="94" t="s">
        <v>73</v>
      </c>
      <c r="F20" s="94" t="s">
        <v>73</v>
      </c>
      <c r="G20" s="94" t="s">
        <v>73</v>
      </c>
      <c r="H20" s="94" t="s">
        <v>73</v>
      </c>
      <c r="I20" s="94" t="s">
        <v>73</v>
      </c>
      <c r="J20" s="94" t="s">
        <v>73</v>
      </c>
      <c r="K20" s="101">
        <v>53.6</v>
      </c>
      <c r="L20" s="101">
        <v>81</v>
      </c>
      <c r="M20" s="117">
        <v>80.91</v>
      </c>
      <c r="P20" s="83">
        <v>16</v>
      </c>
      <c r="Q20" s="83" t="s">
        <v>245</v>
      </c>
      <c r="R20" s="83" t="s">
        <v>230</v>
      </c>
    </row>
    <row r="21" customHeight="1" spans="1:18">
      <c r="A21" s="102" t="s">
        <v>291</v>
      </c>
      <c r="B21" s="103" t="s">
        <v>73</v>
      </c>
      <c r="C21" s="103" t="s">
        <v>73</v>
      </c>
      <c r="D21" s="103" t="s">
        <v>73</v>
      </c>
      <c r="E21" s="103" t="s">
        <v>73</v>
      </c>
      <c r="F21" s="103" t="s">
        <v>73</v>
      </c>
      <c r="G21" s="103" t="s">
        <v>73</v>
      </c>
      <c r="H21" s="103" t="s">
        <v>73</v>
      </c>
      <c r="I21" s="103" t="s">
        <v>73</v>
      </c>
      <c r="J21" s="103" t="s">
        <v>73</v>
      </c>
      <c r="K21" s="118">
        <v>51.44</v>
      </c>
      <c r="L21" s="118">
        <v>114.9</v>
      </c>
      <c r="M21" s="119">
        <v>183.43</v>
      </c>
      <c r="P21" s="83">
        <v>17</v>
      </c>
      <c r="Q21" s="83" t="s">
        <v>245</v>
      </c>
      <c r="R21" s="83" t="s">
        <v>246</v>
      </c>
    </row>
    <row r="22" ht="28" customHeight="1" spans="1:18">
      <c r="A22" s="104" t="s">
        <v>292</v>
      </c>
      <c r="B22" s="104"/>
      <c r="C22" s="104"/>
      <c r="D22" s="104"/>
      <c r="E22" s="104"/>
      <c r="F22" s="104"/>
      <c r="G22" s="104"/>
      <c r="H22" s="104"/>
      <c r="I22" s="104"/>
      <c r="J22" s="104"/>
      <c r="K22" s="104"/>
      <c r="L22" s="104"/>
      <c r="M22" s="104"/>
      <c r="P22" s="83">
        <v>18</v>
      </c>
      <c r="Q22" s="83" t="s">
        <v>245</v>
      </c>
      <c r="R22" s="83" t="s">
        <v>247</v>
      </c>
    </row>
    <row r="23" customHeight="1" spans="16:18">
      <c r="P23" s="83">
        <v>19</v>
      </c>
      <c r="Q23" s="83" t="s">
        <v>245</v>
      </c>
      <c r="R23" s="83" t="s">
        <v>244</v>
      </c>
    </row>
    <row r="24" customHeight="1" spans="16:18">
      <c r="P24" s="83">
        <v>20</v>
      </c>
      <c r="Q24" s="83" t="s">
        <v>248</v>
      </c>
      <c r="R24" s="83" t="s">
        <v>237</v>
      </c>
    </row>
    <row r="25" customHeight="1" spans="16:18">
      <c r="P25" s="83">
        <v>21</v>
      </c>
      <c r="Q25" s="83" t="s">
        <v>229</v>
      </c>
      <c r="R25" s="83" t="s">
        <v>230</v>
      </c>
    </row>
    <row r="26" customHeight="1" spans="16:18">
      <c r="P26" s="83">
        <v>22</v>
      </c>
      <c r="Q26" s="83" t="s">
        <v>229</v>
      </c>
      <c r="R26" s="83" t="s">
        <v>246</v>
      </c>
    </row>
    <row r="27" customHeight="1" spans="16:18">
      <c r="P27" s="83">
        <v>23</v>
      </c>
      <c r="Q27" s="83" t="s">
        <v>229</v>
      </c>
      <c r="R27" s="83" t="s">
        <v>247</v>
      </c>
    </row>
    <row r="28" customHeight="1" spans="16:18">
      <c r="P28" s="83">
        <v>24</v>
      </c>
      <c r="Q28" s="83" t="s">
        <v>229</v>
      </c>
      <c r="R28" s="83" t="s">
        <v>231</v>
      </c>
    </row>
    <row r="29" customHeight="1" spans="16:18">
      <c r="P29" s="83">
        <v>25</v>
      </c>
      <c r="Q29" s="83" t="s">
        <v>229</v>
      </c>
      <c r="R29" s="83" t="s">
        <v>249</v>
      </c>
    </row>
    <row r="30" customHeight="1" spans="16:18">
      <c r="P30" s="83">
        <v>26</v>
      </c>
      <c r="Q30" s="83" t="s">
        <v>229</v>
      </c>
      <c r="R30" s="83" t="s">
        <v>237</v>
      </c>
    </row>
    <row r="31" customHeight="1" spans="16:18">
      <c r="P31" s="83">
        <v>27</v>
      </c>
      <c r="Q31" s="83" t="s">
        <v>229</v>
      </c>
      <c r="R31" s="83" t="s">
        <v>250</v>
      </c>
    </row>
    <row r="32" customHeight="1" spans="16:18">
      <c r="P32" s="83">
        <v>28</v>
      </c>
      <c r="Q32" s="83" t="s">
        <v>229</v>
      </c>
      <c r="R32" s="83" t="s">
        <v>241</v>
      </c>
    </row>
    <row r="33" customHeight="1" spans="16:18">
      <c r="P33" s="83">
        <v>29</v>
      </c>
      <c r="Q33" s="83" t="s">
        <v>245</v>
      </c>
      <c r="R33" s="83" t="s">
        <v>230</v>
      </c>
    </row>
    <row r="34" customHeight="1" spans="16:18">
      <c r="P34" s="83">
        <v>30</v>
      </c>
      <c r="Q34" s="83" t="s">
        <v>245</v>
      </c>
      <c r="R34" s="83" t="s">
        <v>246</v>
      </c>
    </row>
    <row r="35" customHeight="1" spans="16:18">
      <c r="P35" s="83">
        <v>31</v>
      </c>
      <c r="Q35" s="83" t="s">
        <v>245</v>
      </c>
      <c r="R35" s="83" t="s">
        <v>247</v>
      </c>
    </row>
    <row r="36" customHeight="1" spans="16:18">
      <c r="P36" s="83">
        <v>32</v>
      </c>
      <c r="Q36" s="83" t="s">
        <v>245</v>
      </c>
      <c r="R36" s="83" t="s">
        <v>231</v>
      </c>
    </row>
    <row r="37" customHeight="1" spans="16:18">
      <c r="P37" s="83">
        <v>33</v>
      </c>
      <c r="Q37" s="83" t="s">
        <v>245</v>
      </c>
      <c r="R37" s="83" t="s">
        <v>250</v>
      </c>
    </row>
    <row r="38" customHeight="1" spans="16:18">
      <c r="P38" s="83">
        <v>34</v>
      </c>
      <c r="Q38" s="83" t="s">
        <v>245</v>
      </c>
      <c r="R38" s="83" t="s">
        <v>239</v>
      </c>
    </row>
    <row r="39" customHeight="1" spans="16:18">
      <c r="P39" s="83">
        <v>35</v>
      </c>
      <c r="Q39" s="83" t="s">
        <v>245</v>
      </c>
      <c r="R39" s="83" t="s">
        <v>251</v>
      </c>
    </row>
    <row r="40" customHeight="1" spans="16:18">
      <c r="P40" s="83">
        <v>36</v>
      </c>
      <c r="Q40" s="83" t="s">
        <v>245</v>
      </c>
      <c r="R40" s="83" t="s">
        <v>241</v>
      </c>
    </row>
    <row r="41" customHeight="1" spans="16:18">
      <c r="P41" s="83">
        <v>37</v>
      </c>
      <c r="Q41" s="83" t="s">
        <v>248</v>
      </c>
      <c r="R41" s="83" t="s">
        <v>237</v>
      </c>
    </row>
    <row r="42" customHeight="1" spans="16:18">
      <c r="P42" s="83">
        <v>38</v>
      </c>
      <c r="Q42" s="83" t="s">
        <v>229</v>
      </c>
      <c r="R42" s="83" t="s">
        <v>230</v>
      </c>
    </row>
    <row r="43" customHeight="1" spans="16:18">
      <c r="P43" s="83">
        <v>39</v>
      </c>
      <c r="Q43" s="83" t="s">
        <v>229</v>
      </c>
      <c r="R43" s="83" t="s">
        <v>252</v>
      </c>
    </row>
  </sheetData>
  <mergeCells count="8">
    <mergeCell ref="A2:M2"/>
    <mergeCell ref="A3:M3"/>
    <mergeCell ref="B4:D4"/>
    <mergeCell ref="E4:G4"/>
    <mergeCell ref="H4:J4"/>
    <mergeCell ref="K4:M4"/>
    <mergeCell ref="A22:M22"/>
    <mergeCell ref="A4:A5"/>
  </mergeCells>
  <pageMargins left="0.708333333333333" right="0.393055555555556" top="0.904861111111111" bottom="0.708333333333333" header="0.314583333333333" footer="0.393055555555556"/>
  <pageSetup paperSize="9" orientation="portrait"/>
  <headerFooter>
    <oddFooter>&amp;C&amp;B第 &amp;P 页，共 &amp;N 页</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F45"/>
  <sheetViews>
    <sheetView zoomScale="115" zoomScaleNormal="115" workbookViewId="0">
      <pane ySplit="4" topLeftCell="A5" activePane="bottomLeft" state="frozen"/>
      <selection/>
      <selection pane="bottomLeft" activeCell="B31" sqref="B31"/>
    </sheetView>
  </sheetViews>
  <sheetFormatPr defaultColWidth="4.875" defaultRowHeight="16" customHeight="1" outlineLevelCol="5"/>
  <cols>
    <col min="1" max="3" width="14.625" style="35" customWidth="1"/>
    <col min="4" max="4" width="14.625" style="36" customWidth="1"/>
    <col min="5" max="6" width="14.625" style="38" customWidth="1"/>
    <col min="7" max="7" width="4.875" style="39"/>
    <col min="8" max="8" width="12.625" style="39"/>
    <col min="9" max="9" width="5.375" style="39"/>
    <col min="10" max="10" width="12.625" style="39"/>
    <col min="11" max="11" width="4.875" style="39"/>
    <col min="12" max="12" width="12.625" style="39"/>
    <col min="13" max="16352" width="4.875" style="39"/>
    <col min="16353" max="16384" width="4.875" style="19"/>
  </cols>
  <sheetData>
    <row r="1" s="18" customFormat="1" ht="20.25" spans="1:1">
      <c r="A1" s="1" t="s">
        <v>273</v>
      </c>
    </row>
    <row r="2" s="18" customFormat="1" ht="20.25" spans="1:1">
      <c r="A2" s="20"/>
    </row>
    <row r="3" s="34" customFormat="1" ht="29.25" spans="1:6">
      <c r="A3" s="3" t="s">
        <v>12</v>
      </c>
      <c r="B3" s="3"/>
      <c r="C3" s="3"/>
      <c r="D3" s="3"/>
      <c r="E3" s="3"/>
      <c r="F3" s="3"/>
    </row>
    <row r="4" s="34" customFormat="1" customHeight="1" spans="1:6">
      <c r="A4" s="57"/>
      <c r="B4" s="57"/>
      <c r="C4" s="58"/>
      <c r="D4" s="58"/>
      <c r="E4" s="59" t="s">
        <v>254</v>
      </c>
      <c r="F4" s="59"/>
    </row>
    <row r="5" ht="15" customHeight="1" spans="1:6">
      <c r="A5" s="40" t="s">
        <v>2</v>
      </c>
      <c r="B5" s="41" t="s">
        <v>225</v>
      </c>
      <c r="C5" s="41" t="s">
        <v>226</v>
      </c>
      <c r="D5" s="41" t="s">
        <v>227</v>
      </c>
      <c r="E5" s="41" t="s">
        <v>228</v>
      </c>
      <c r="F5" s="43" t="s">
        <v>85</v>
      </c>
    </row>
    <row r="6" ht="15" customHeight="1" spans="1:6">
      <c r="A6" s="44">
        <v>1</v>
      </c>
      <c r="B6" s="45" t="s">
        <v>229</v>
      </c>
      <c r="C6" s="46" t="s">
        <v>230</v>
      </c>
      <c r="D6" s="45">
        <v>2</v>
      </c>
      <c r="E6" s="60">
        <v>5.24160217938172</v>
      </c>
      <c r="F6" s="48"/>
    </row>
    <row r="7" ht="15" customHeight="1" spans="1:6">
      <c r="A7" s="44">
        <v>2</v>
      </c>
      <c r="B7" s="45" t="s">
        <v>229</v>
      </c>
      <c r="C7" s="46" t="s">
        <v>231</v>
      </c>
      <c r="D7" s="45">
        <v>2</v>
      </c>
      <c r="E7" s="60">
        <v>3.66960017384366</v>
      </c>
      <c r="F7" s="48"/>
    </row>
    <row r="8" ht="15" customHeight="1" spans="1:6">
      <c r="A8" s="44">
        <v>3</v>
      </c>
      <c r="B8" s="45" t="s">
        <v>229</v>
      </c>
      <c r="C8" s="46" t="s">
        <v>232</v>
      </c>
      <c r="D8" s="45">
        <v>2</v>
      </c>
      <c r="E8" s="60">
        <v>5.36553202011044</v>
      </c>
      <c r="F8" s="48"/>
    </row>
    <row r="9" ht="15" customHeight="1" spans="1:6">
      <c r="A9" s="44">
        <v>4</v>
      </c>
      <c r="B9" s="45" t="s">
        <v>229</v>
      </c>
      <c r="C9" s="46" t="s">
        <v>233</v>
      </c>
      <c r="D9" s="45">
        <v>2</v>
      </c>
      <c r="E9" s="60">
        <v>4.7116609059487</v>
      </c>
      <c r="F9" s="48"/>
    </row>
    <row r="10" ht="15" customHeight="1" spans="1:6">
      <c r="A10" s="44">
        <v>5</v>
      </c>
      <c r="B10" s="45" t="s">
        <v>229</v>
      </c>
      <c r="C10" s="46" t="s">
        <v>234</v>
      </c>
      <c r="D10" s="45">
        <v>2</v>
      </c>
      <c r="E10" s="60">
        <v>3.92156862745098</v>
      </c>
      <c r="F10" s="48"/>
    </row>
    <row r="11" ht="15" customHeight="1" spans="1:6">
      <c r="A11" s="44">
        <v>6</v>
      </c>
      <c r="B11" s="45" t="s">
        <v>229</v>
      </c>
      <c r="C11" s="46" t="s">
        <v>235</v>
      </c>
      <c r="D11" s="45">
        <v>2</v>
      </c>
      <c r="E11" s="60">
        <v>3.37078651685393</v>
      </c>
      <c r="F11" s="49"/>
    </row>
    <row r="12" ht="15" customHeight="1" spans="1:6">
      <c r="A12" s="44">
        <v>7</v>
      </c>
      <c r="B12" s="45" t="s">
        <v>229</v>
      </c>
      <c r="C12" s="46" t="s">
        <v>236</v>
      </c>
      <c r="D12" s="45">
        <v>2</v>
      </c>
      <c r="E12" s="60"/>
      <c r="F12" s="48"/>
    </row>
    <row r="13" ht="15" customHeight="1" spans="1:6">
      <c r="A13" s="44">
        <v>8</v>
      </c>
      <c r="B13" s="45" t="s">
        <v>229</v>
      </c>
      <c r="C13" s="46" t="s">
        <v>237</v>
      </c>
      <c r="D13" s="45">
        <v>2</v>
      </c>
      <c r="E13" s="60">
        <v>17.9637196632173</v>
      </c>
      <c r="F13" s="48"/>
    </row>
    <row r="14" ht="15" customHeight="1" spans="1:6">
      <c r="A14" s="44">
        <v>9</v>
      </c>
      <c r="B14" s="45" t="s">
        <v>229</v>
      </c>
      <c r="C14" s="46" t="s">
        <v>238</v>
      </c>
      <c r="D14" s="45">
        <v>2</v>
      </c>
      <c r="E14" s="60">
        <v>4.30342266384196</v>
      </c>
      <c r="F14" s="48"/>
    </row>
    <row r="15" ht="15" customHeight="1" spans="1:6">
      <c r="A15" s="44">
        <v>10</v>
      </c>
      <c r="B15" s="45" t="s">
        <v>229</v>
      </c>
      <c r="C15" s="46" t="s">
        <v>239</v>
      </c>
      <c r="D15" s="45">
        <v>2</v>
      </c>
      <c r="E15" s="60">
        <v>6.2312986235787</v>
      </c>
      <c r="F15" s="48"/>
    </row>
    <row r="16" ht="15" customHeight="1" spans="1:6">
      <c r="A16" s="44">
        <v>11</v>
      </c>
      <c r="B16" s="45" t="s">
        <v>229</v>
      </c>
      <c r="C16" s="46" t="s">
        <v>240</v>
      </c>
      <c r="D16" s="45">
        <v>2</v>
      </c>
      <c r="E16" s="60">
        <v>4.53808752025932</v>
      </c>
      <c r="F16" s="48"/>
    </row>
    <row r="17" ht="15" customHeight="1" spans="1:6">
      <c r="A17" s="44">
        <v>12</v>
      </c>
      <c r="B17" s="45" t="s">
        <v>229</v>
      </c>
      <c r="C17" s="46" t="s">
        <v>241</v>
      </c>
      <c r="D17" s="45">
        <v>2</v>
      </c>
      <c r="E17" s="60">
        <v>5.11793558323528</v>
      </c>
      <c r="F17" s="48"/>
    </row>
    <row r="18" ht="15" customHeight="1" spans="1:6">
      <c r="A18" s="44">
        <v>13</v>
      </c>
      <c r="B18" s="45" t="s">
        <v>229</v>
      </c>
      <c r="C18" s="50" t="s">
        <v>242</v>
      </c>
      <c r="D18" s="45">
        <v>2</v>
      </c>
      <c r="E18" s="60">
        <v>3.49840981372104</v>
      </c>
      <c r="F18" s="48"/>
    </row>
    <row r="19" ht="15" customHeight="1" spans="1:6">
      <c r="A19" s="44">
        <v>14</v>
      </c>
      <c r="B19" s="45" t="s">
        <v>229</v>
      </c>
      <c r="C19" s="46" t="s">
        <v>243</v>
      </c>
      <c r="D19" s="45">
        <v>2</v>
      </c>
      <c r="E19" s="60">
        <v>5.2972972972973</v>
      </c>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4.28283083133595</v>
      </c>
      <c r="F21" s="48"/>
    </row>
    <row r="22" ht="15" customHeight="1" spans="1:6">
      <c r="A22" s="44">
        <v>17</v>
      </c>
      <c r="B22" s="45" t="s">
        <v>245</v>
      </c>
      <c r="C22" s="46" t="s">
        <v>246</v>
      </c>
      <c r="D22" s="45">
        <v>2</v>
      </c>
      <c r="E22" s="60">
        <v>5.67062170414039</v>
      </c>
      <c r="F22" s="48"/>
    </row>
    <row r="23" ht="15" customHeight="1" spans="1:6">
      <c r="A23" s="44">
        <v>18</v>
      </c>
      <c r="B23" s="45" t="s">
        <v>245</v>
      </c>
      <c r="C23" s="46" t="s">
        <v>247</v>
      </c>
      <c r="D23" s="45">
        <v>2</v>
      </c>
      <c r="E23" s="60">
        <v>3.78846849838431</v>
      </c>
      <c r="F23" s="48"/>
    </row>
    <row r="24" ht="15" customHeight="1" spans="1:6">
      <c r="A24" s="44">
        <v>19</v>
      </c>
      <c r="B24" s="45" t="s">
        <v>245</v>
      </c>
      <c r="C24" s="46" t="s">
        <v>244</v>
      </c>
      <c r="D24" s="45">
        <v>2</v>
      </c>
      <c r="E24" s="60">
        <v>7.2734375</v>
      </c>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5.51653889454779</v>
      </c>
      <c r="F26" s="48"/>
    </row>
    <row r="27" ht="15" customHeight="1" spans="1:6">
      <c r="A27" s="44">
        <v>22</v>
      </c>
      <c r="B27" s="45" t="s">
        <v>229</v>
      </c>
      <c r="C27" s="46" t="s">
        <v>246</v>
      </c>
      <c r="D27" s="45">
        <v>3</v>
      </c>
      <c r="E27" s="60">
        <v>5.36484573084161</v>
      </c>
      <c r="F27" s="48"/>
    </row>
    <row r="28" ht="15" customHeight="1" spans="1:6">
      <c r="A28" s="44">
        <v>23</v>
      </c>
      <c r="B28" s="45" t="s">
        <v>229</v>
      </c>
      <c r="C28" s="46" t="s">
        <v>247</v>
      </c>
      <c r="D28" s="45">
        <v>3</v>
      </c>
      <c r="E28" s="60">
        <v>7.31511254019293</v>
      </c>
      <c r="F28" s="48"/>
    </row>
    <row r="29" ht="15" customHeight="1" spans="1:6">
      <c r="A29" s="44">
        <v>24</v>
      </c>
      <c r="B29" s="45" t="s">
        <v>229</v>
      </c>
      <c r="C29" s="46" t="s">
        <v>231</v>
      </c>
      <c r="D29" s="45">
        <v>3</v>
      </c>
      <c r="E29" s="60">
        <v>7.00656865811698</v>
      </c>
      <c r="F29" s="48"/>
    </row>
    <row r="30" ht="15" customHeight="1" spans="1:6">
      <c r="A30" s="44">
        <v>25</v>
      </c>
      <c r="B30" s="45" t="s">
        <v>229</v>
      </c>
      <c r="C30" s="46" t="s">
        <v>249</v>
      </c>
      <c r="D30" s="45">
        <v>3</v>
      </c>
      <c r="E30" s="60">
        <v>8.55148342059337</v>
      </c>
      <c r="F30" s="48"/>
    </row>
    <row r="31" ht="15" customHeight="1" spans="1:6">
      <c r="A31" s="44">
        <v>26</v>
      </c>
      <c r="B31" s="45" t="s">
        <v>229</v>
      </c>
      <c r="C31" s="46" t="s">
        <v>237</v>
      </c>
      <c r="D31" s="45">
        <v>3</v>
      </c>
      <c r="E31" s="60">
        <v>16.6997200186654</v>
      </c>
      <c r="F31" s="48"/>
    </row>
    <row r="32" ht="15" customHeight="1" spans="1:6">
      <c r="A32" s="44">
        <v>27</v>
      </c>
      <c r="B32" s="45" t="s">
        <v>229</v>
      </c>
      <c r="C32" s="46" t="s">
        <v>250</v>
      </c>
      <c r="D32" s="45">
        <v>3</v>
      </c>
      <c r="E32" s="60">
        <v>5.48764649027254</v>
      </c>
      <c r="F32" s="48"/>
    </row>
    <row r="33" ht="15" customHeight="1" spans="1:6">
      <c r="A33" s="44">
        <v>28</v>
      </c>
      <c r="B33" s="45" t="s">
        <v>229</v>
      </c>
      <c r="C33" s="46" t="s">
        <v>241</v>
      </c>
      <c r="D33" s="45">
        <v>3</v>
      </c>
      <c r="E33" s="60">
        <v>6.25198661647788</v>
      </c>
      <c r="F33" s="48"/>
    </row>
    <row r="34" ht="15" customHeight="1" spans="1:6">
      <c r="A34" s="44">
        <v>29</v>
      </c>
      <c r="B34" s="45" t="s">
        <v>245</v>
      </c>
      <c r="C34" s="46" t="s">
        <v>230</v>
      </c>
      <c r="D34" s="45">
        <v>3</v>
      </c>
      <c r="E34" s="60">
        <v>4.68968653794326</v>
      </c>
      <c r="F34" s="48"/>
    </row>
    <row r="35" ht="15" customHeight="1" spans="1:6">
      <c r="A35" s="44">
        <v>30</v>
      </c>
      <c r="B35" s="45" t="s">
        <v>245</v>
      </c>
      <c r="C35" s="46" t="s">
        <v>246</v>
      </c>
      <c r="D35" s="45">
        <v>3</v>
      </c>
      <c r="E35" s="60">
        <v>5.28109028960818</v>
      </c>
      <c r="F35" s="48"/>
    </row>
    <row r="36" ht="15" customHeight="1" spans="1:6">
      <c r="A36" s="44">
        <v>31</v>
      </c>
      <c r="B36" s="45" t="s">
        <v>245</v>
      </c>
      <c r="C36" s="46" t="s">
        <v>247</v>
      </c>
      <c r="D36" s="45">
        <v>3</v>
      </c>
      <c r="E36" s="60">
        <v>6.2545724672752</v>
      </c>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5.59688462855187</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51">
        <v>39</v>
      </c>
      <c r="B44" s="52" t="s">
        <v>229</v>
      </c>
      <c r="C44" s="53" t="s">
        <v>252</v>
      </c>
      <c r="D44" s="52">
        <v>4</v>
      </c>
      <c r="E44" s="61"/>
      <c r="F44" s="55"/>
    </row>
    <row r="45" ht="15" customHeight="1" spans="1:1">
      <c r="A45" s="62" t="s">
        <v>293</v>
      </c>
    </row>
  </sheetData>
  <sheetProtection formatCells="0" formatColumns="0" formatRows="0" insertRows="0" insertColumns="0" insertHyperlinks="0" deleteColumns="0" deleteRows="0" sort="0" autoFilter="0" pivotTables="0"/>
  <autoFilter xmlns:etc="http://www.wps.cn/officeDocument/2017/etCustomData" ref="A5:XDX45" etc:filterBottomFollowUsedRange="0">
    <extLst/>
  </autoFilter>
  <mergeCells count="2">
    <mergeCell ref="A3:F3"/>
    <mergeCell ref="E4:F4"/>
  </mergeCells>
  <pageMargins left="1.10208333333333" right="1.02361111111111" top="1.45625" bottom="1.37777777777778" header="0.314583333333333" footer="0.984027777777778"/>
  <pageSetup paperSize="9" scale="91" fitToHeight="0" orientation="portrait" horizontalDpi="600"/>
  <headerFooter differentOddEven="1">
    <oddFooter>&amp;R&amp;14&amp;B— 21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F45"/>
  <sheetViews>
    <sheetView zoomScale="115" zoomScaleNormal="115" workbookViewId="0">
      <pane ySplit="4" topLeftCell="A5" activePane="bottomLeft" state="frozen"/>
      <selection/>
      <selection pane="bottomLeft" activeCell="A2" sqref="$A2:$XFD2"/>
    </sheetView>
  </sheetViews>
  <sheetFormatPr defaultColWidth="4.875" defaultRowHeight="16" customHeight="1" outlineLevelCol="5"/>
  <cols>
    <col min="1" max="3" width="14.625" style="35" customWidth="1"/>
    <col min="4" max="4" width="14.625" style="36" customWidth="1"/>
    <col min="5" max="6" width="14.625" style="38" customWidth="1"/>
    <col min="7" max="7" width="4.875" style="39"/>
    <col min="8" max="8" width="4.78333333333333" style="39" customWidth="1"/>
    <col min="9" max="9" width="5.375" style="39"/>
    <col min="10" max="10" width="6.375" style="39"/>
    <col min="11" max="11" width="4.875" style="39"/>
    <col min="12" max="12" width="5.31666666666667" style="39" customWidth="1"/>
    <col min="13" max="16352" width="4.875" style="39"/>
    <col min="16353" max="16384" width="4.875" style="19"/>
  </cols>
  <sheetData>
    <row r="1" s="18" customFormat="1" ht="20.25" spans="1:1">
      <c r="A1" s="1" t="s">
        <v>294</v>
      </c>
    </row>
    <row r="2" s="18" customFormat="1" ht="15" customHeight="1" spans="1:1">
      <c r="A2" s="20"/>
    </row>
    <row r="3" s="34" customFormat="1" ht="29.25" spans="1:6">
      <c r="A3" s="3" t="s">
        <v>13</v>
      </c>
      <c r="B3" s="3"/>
      <c r="C3" s="3"/>
      <c r="D3" s="3"/>
      <c r="E3" s="3"/>
      <c r="F3" s="3"/>
    </row>
    <row r="4" s="34" customFormat="1" customHeight="1" spans="1:6">
      <c r="A4" s="57"/>
      <c r="B4" s="57"/>
      <c r="C4" s="58"/>
      <c r="D4" s="58"/>
      <c r="E4" s="59" t="s">
        <v>254</v>
      </c>
      <c r="F4" s="59"/>
    </row>
    <row r="5" ht="15" customHeight="1" spans="1:6">
      <c r="A5" s="40" t="s">
        <v>2</v>
      </c>
      <c r="B5" s="41" t="s">
        <v>225</v>
      </c>
      <c r="C5" s="41" t="s">
        <v>226</v>
      </c>
      <c r="D5" s="41" t="s">
        <v>227</v>
      </c>
      <c r="E5" s="41" t="s">
        <v>228</v>
      </c>
      <c r="F5" s="43" t="s">
        <v>85</v>
      </c>
    </row>
    <row r="6" ht="15" customHeight="1" spans="1:6">
      <c r="A6" s="44">
        <v>1</v>
      </c>
      <c r="B6" s="45" t="s">
        <v>229</v>
      </c>
      <c r="C6" s="46" t="s">
        <v>230</v>
      </c>
      <c r="D6" s="45">
        <v>2</v>
      </c>
      <c r="E6" s="60">
        <v>2.49600103780082</v>
      </c>
      <c r="F6" s="48"/>
    </row>
    <row r="7" ht="15" customHeight="1" spans="1:6">
      <c r="A7" s="44">
        <v>2</v>
      </c>
      <c r="B7" s="45" t="s">
        <v>229</v>
      </c>
      <c r="C7" s="46" t="s">
        <v>231</v>
      </c>
      <c r="D7" s="45">
        <v>2</v>
      </c>
      <c r="E7" s="60">
        <v>1.74742865421126</v>
      </c>
      <c r="F7" s="48"/>
    </row>
    <row r="8" ht="15" customHeight="1" spans="1:6">
      <c r="A8" s="44">
        <v>3</v>
      </c>
      <c r="B8" s="45" t="s">
        <v>229</v>
      </c>
      <c r="C8" s="46" t="s">
        <v>232</v>
      </c>
      <c r="D8" s="45">
        <v>2</v>
      </c>
      <c r="E8" s="60">
        <v>2.55501524767164</v>
      </c>
      <c r="F8" s="48"/>
    </row>
    <row r="9" ht="15" customHeight="1" spans="1:6">
      <c r="A9" s="44">
        <v>4</v>
      </c>
      <c r="B9" s="45" t="s">
        <v>229</v>
      </c>
      <c r="C9" s="46" t="s">
        <v>233</v>
      </c>
      <c r="D9" s="45">
        <v>2</v>
      </c>
      <c r="E9" s="60">
        <v>2.24364805045176</v>
      </c>
      <c r="F9" s="48"/>
    </row>
    <row r="10" ht="15" customHeight="1" spans="1:6">
      <c r="A10" s="44">
        <v>5</v>
      </c>
      <c r="B10" s="45" t="s">
        <v>229</v>
      </c>
      <c r="C10" s="46" t="s">
        <v>234</v>
      </c>
      <c r="D10" s="45">
        <v>2</v>
      </c>
      <c r="E10" s="60">
        <v>1.86741363211951</v>
      </c>
      <c r="F10" s="48"/>
    </row>
    <row r="11" ht="15" customHeight="1" spans="1:6">
      <c r="A11" s="44">
        <v>6</v>
      </c>
      <c r="B11" s="45" t="s">
        <v>229</v>
      </c>
      <c r="C11" s="46" t="s">
        <v>235</v>
      </c>
      <c r="D11" s="45">
        <v>2</v>
      </c>
      <c r="E11" s="60">
        <v>1.60513643659711</v>
      </c>
      <c r="F11" s="49"/>
    </row>
    <row r="12" ht="15" customHeight="1" spans="1:6">
      <c r="A12" s="44">
        <v>7</v>
      </c>
      <c r="B12" s="45" t="s">
        <v>229</v>
      </c>
      <c r="C12" s="46" t="s">
        <v>236</v>
      </c>
      <c r="D12" s="45">
        <v>2</v>
      </c>
      <c r="E12" s="60"/>
      <c r="F12" s="48"/>
    </row>
    <row r="13" ht="15" customHeight="1" spans="1:6">
      <c r="A13" s="44">
        <v>8</v>
      </c>
      <c r="B13" s="45" t="s">
        <v>229</v>
      </c>
      <c r="C13" s="46" t="s">
        <v>237</v>
      </c>
      <c r="D13" s="45">
        <v>2</v>
      </c>
      <c r="E13" s="60">
        <v>8.55415222057964</v>
      </c>
      <c r="F13" s="48"/>
    </row>
    <row r="14" ht="15" customHeight="1" spans="1:6">
      <c r="A14" s="44">
        <v>9</v>
      </c>
      <c r="B14" s="45" t="s">
        <v>229</v>
      </c>
      <c r="C14" s="46" t="s">
        <v>238</v>
      </c>
      <c r="D14" s="45">
        <v>2</v>
      </c>
      <c r="E14" s="60">
        <v>2.04924888754379</v>
      </c>
      <c r="F14" s="48"/>
    </row>
    <row r="15" ht="15" customHeight="1" spans="1:6">
      <c r="A15" s="44">
        <v>10</v>
      </c>
      <c r="B15" s="45" t="s">
        <v>229</v>
      </c>
      <c r="C15" s="46" t="s">
        <v>239</v>
      </c>
      <c r="D15" s="45">
        <v>2</v>
      </c>
      <c r="E15" s="60">
        <v>2.967285058847</v>
      </c>
      <c r="F15" s="48"/>
    </row>
    <row r="16" ht="15" customHeight="1" spans="1:6">
      <c r="A16" s="44">
        <v>11</v>
      </c>
      <c r="B16" s="45" t="s">
        <v>229</v>
      </c>
      <c r="C16" s="46" t="s">
        <v>240</v>
      </c>
      <c r="D16" s="45">
        <v>2</v>
      </c>
      <c r="E16" s="60">
        <v>2.16099405726634</v>
      </c>
      <c r="F16" s="48"/>
    </row>
    <row r="17" ht="15" customHeight="1" spans="1:6">
      <c r="A17" s="44">
        <v>12</v>
      </c>
      <c r="B17" s="45" t="s">
        <v>229</v>
      </c>
      <c r="C17" s="46" t="s">
        <v>241</v>
      </c>
      <c r="D17" s="45">
        <v>2</v>
      </c>
      <c r="E17" s="60">
        <v>2.43711218249299</v>
      </c>
      <c r="F17" s="48"/>
    </row>
    <row r="18" ht="15" customHeight="1" spans="1:6">
      <c r="A18" s="44">
        <v>13</v>
      </c>
      <c r="B18" s="45" t="s">
        <v>229</v>
      </c>
      <c r="C18" s="50" t="s">
        <v>242</v>
      </c>
      <c r="D18" s="45">
        <v>2</v>
      </c>
      <c r="E18" s="60">
        <v>1.66590943510526</v>
      </c>
      <c r="F18" s="48"/>
    </row>
    <row r="19" ht="15" customHeight="1" spans="1:6">
      <c r="A19" s="44">
        <v>14</v>
      </c>
      <c r="B19" s="45" t="s">
        <v>229</v>
      </c>
      <c r="C19" s="46" t="s">
        <v>243</v>
      </c>
      <c r="D19" s="45">
        <v>2</v>
      </c>
      <c r="E19" s="60">
        <v>2.52252252252252</v>
      </c>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2.03944325301712</v>
      </c>
      <c r="F21" s="48"/>
    </row>
    <row r="22" ht="15" customHeight="1" spans="1:6">
      <c r="A22" s="44">
        <v>17</v>
      </c>
      <c r="B22" s="45" t="s">
        <v>245</v>
      </c>
      <c r="C22" s="46" t="s">
        <v>246</v>
      </c>
      <c r="D22" s="45">
        <v>2</v>
      </c>
      <c r="E22" s="60">
        <v>2.70029604959066</v>
      </c>
      <c r="F22" s="48"/>
    </row>
    <row r="23" ht="15" customHeight="1" spans="1:6">
      <c r="A23" s="44">
        <v>18</v>
      </c>
      <c r="B23" s="45" t="s">
        <v>245</v>
      </c>
      <c r="C23" s="46" t="s">
        <v>247</v>
      </c>
      <c r="D23" s="45">
        <v>2</v>
      </c>
      <c r="E23" s="60">
        <v>1.80403261827824</v>
      </c>
      <c r="F23" s="48"/>
    </row>
    <row r="24" ht="15" customHeight="1" spans="1:6">
      <c r="A24" s="44">
        <v>19</v>
      </c>
      <c r="B24" s="45" t="s">
        <v>245</v>
      </c>
      <c r="C24" s="46" t="s">
        <v>244</v>
      </c>
      <c r="D24" s="45">
        <v>2</v>
      </c>
      <c r="E24" s="60">
        <v>3.46354166666667</v>
      </c>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2.626923283118</v>
      </c>
      <c r="F26" s="48"/>
    </row>
    <row r="27" ht="15" customHeight="1" spans="1:6">
      <c r="A27" s="44">
        <v>22</v>
      </c>
      <c r="B27" s="45" t="s">
        <v>229</v>
      </c>
      <c r="C27" s="46" t="s">
        <v>246</v>
      </c>
      <c r="D27" s="45">
        <v>3</v>
      </c>
      <c r="E27" s="60">
        <v>2.55468844325791</v>
      </c>
      <c r="F27" s="48"/>
    </row>
    <row r="28" ht="15" customHeight="1" spans="1:6">
      <c r="A28" s="44">
        <v>23</v>
      </c>
      <c r="B28" s="45" t="s">
        <v>229</v>
      </c>
      <c r="C28" s="46" t="s">
        <v>247</v>
      </c>
      <c r="D28" s="45">
        <v>3</v>
      </c>
      <c r="E28" s="60">
        <v>3.48338692390139</v>
      </c>
      <c r="F28" s="48"/>
    </row>
    <row r="29" ht="15" customHeight="1" spans="1:6">
      <c r="A29" s="44">
        <v>24</v>
      </c>
      <c r="B29" s="45" t="s">
        <v>229</v>
      </c>
      <c r="C29" s="46" t="s">
        <v>231</v>
      </c>
      <c r="D29" s="45">
        <v>3</v>
      </c>
      <c r="E29" s="60">
        <v>3.33646126576999</v>
      </c>
      <c r="F29" s="48"/>
    </row>
    <row r="30" ht="15" customHeight="1" spans="1:6">
      <c r="A30" s="44">
        <v>25</v>
      </c>
      <c r="B30" s="45" t="s">
        <v>229</v>
      </c>
      <c r="C30" s="46" t="s">
        <v>249</v>
      </c>
      <c r="D30" s="45">
        <v>3</v>
      </c>
      <c r="E30" s="60">
        <v>4.07213496218732</v>
      </c>
      <c r="F30" s="48"/>
    </row>
    <row r="31" ht="15" customHeight="1" spans="1:6">
      <c r="A31" s="44">
        <v>26</v>
      </c>
      <c r="B31" s="45" t="s">
        <v>229</v>
      </c>
      <c r="C31" s="46" t="s">
        <v>237</v>
      </c>
      <c r="D31" s="45">
        <v>3</v>
      </c>
      <c r="E31" s="60">
        <v>7.95224762793591</v>
      </c>
      <c r="F31" s="48"/>
    </row>
    <row r="32" ht="15" customHeight="1" spans="1:6">
      <c r="A32" s="44">
        <v>27</v>
      </c>
      <c r="B32" s="45" t="s">
        <v>229</v>
      </c>
      <c r="C32" s="46" t="s">
        <v>250</v>
      </c>
      <c r="D32" s="45">
        <v>3</v>
      </c>
      <c r="E32" s="60">
        <v>2.61316499536787</v>
      </c>
      <c r="F32" s="48"/>
    </row>
    <row r="33" ht="15" customHeight="1" spans="1:6">
      <c r="A33" s="44">
        <v>28</v>
      </c>
      <c r="B33" s="45" t="s">
        <v>229</v>
      </c>
      <c r="C33" s="46" t="s">
        <v>241</v>
      </c>
      <c r="D33" s="45">
        <v>3</v>
      </c>
      <c r="E33" s="60">
        <v>2.97713648403709</v>
      </c>
      <c r="F33" s="48"/>
    </row>
    <row r="34" ht="15" customHeight="1" spans="1:6">
      <c r="A34" s="44">
        <v>29</v>
      </c>
      <c r="B34" s="45" t="s">
        <v>245</v>
      </c>
      <c r="C34" s="46" t="s">
        <v>230</v>
      </c>
      <c r="D34" s="45">
        <v>3</v>
      </c>
      <c r="E34" s="60">
        <v>2.23318406568727</v>
      </c>
      <c r="F34" s="48"/>
    </row>
    <row r="35" ht="15" customHeight="1" spans="1:6">
      <c r="A35" s="44">
        <v>30</v>
      </c>
      <c r="B35" s="45" t="s">
        <v>245</v>
      </c>
      <c r="C35" s="46" t="s">
        <v>246</v>
      </c>
      <c r="D35" s="45">
        <v>3</v>
      </c>
      <c r="E35" s="60">
        <v>2.51480489981342</v>
      </c>
      <c r="F35" s="48"/>
    </row>
    <row r="36" ht="15" customHeight="1" spans="1:6">
      <c r="A36" s="44">
        <v>31</v>
      </c>
      <c r="B36" s="45" t="s">
        <v>245</v>
      </c>
      <c r="C36" s="46" t="s">
        <v>247</v>
      </c>
      <c r="D36" s="45">
        <v>3</v>
      </c>
      <c r="E36" s="60">
        <v>2.97836784155962</v>
      </c>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2.66518315645327</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51">
        <v>39</v>
      </c>
      <c r="B44" s="52" t="s">
        <v>229</v>
      </c>
      <c r="C44" s="53" t="s">
        <v>252</v>
      </c>
      <c r="D44" s="52">
        <v>4</v>
      </c>
      <c r="E44" s="61"/>
      <c r="F44" s="55"/>
    </row>
    <row r="45" ht="15" customHeight="1" spans="1:1">
      <c r="A45" s="35" t="s">
        <v>295</v>
      </c>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&amp;L&amp;14&amp;B— 22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F44"/>
  <sheetViews>
    <sheetView zoomScale="130" zoomScaleNormal="130" workbookViewId="0">
      <selection activeCell="I24" sqref="I24"/>
    </sheetView>
  </sheetViews>
  <sheetFormatPr defaultColWidth="9.71666666666667" defaultRowHeight="13.5" outlineLevelCol="5"/>
  <cols>
    <col min="1" max="2" width="11.625" style="19" customWidth="1"/>
    <col min="3" max="3" width="14.625" style="19" customWidth="1"/>
    <col min="4" max="6" width="11.625" style="19" customWidth="1"/>
    <col min="7" max="16384" width="9.71666666666667" style="19" customWidth="1"/>
  </cols>
  <sheetData>
    <row r="1" ht="20.25" spans="1:6">
      <c r="A1" s="1" t="s">
        <v>296</v>
      </c>
      <c r="B1" s="18"/>
      <c r="C1" s="18"/>
      <c r="D1" s="18"/>
      <c r="E1" s="18"/>
      <c r="F1" s="18"/>
    </row>
    <row r="2" ht="20.25" spans="1:6">
      <c r="A2" s="20"/>
      <c r="B2" s="18"/>
      <c r="C2" s="18"/>
      <c r="D2" s="18"/>
      <c r="E2" s="18"/>
      <c r="F2" s="18"/>
    </row>
    <row r="3" ht="29.25" spans="1:6">
      <c r="A3" s="3" t="s">
        <v>14</v>
      </c>
      <c r="B3" s="3"/>
      <c r="C3" s="3"/>
      <c r="D3" s="3"/>
      <c r="E3" s="3"/>
      <c r="F3" s="3"/>
    </row>
    <row r="4" ht="14.25" spans="1:6">
      <c r="A4" s="57"/>
      <c r="B4" s="57"/>
      <c r="C4" s="58"/>
      <c r="D4" s="58"/>
      <c r="E4" s="59" t="s">
        <v>254</v>
      </c>
      <c r="F4" s="59"/>
    </row>
    <row r="5" ht="15" customHeight="1" spans="1:6">
      <c r="A5" s="40" t="s">
        <v>2</v>
      </c>
      <c r="B5" s="41" t="s">
        <v>225</v>
      </c>
      <c r="C5" s="41" t="s">
        <v>226</v>
      </c>
      <c r="D5" s="41" t="s">
        <v>227</v>
      </c>
      <c r="E5" s="41" t="s">
        <v>228</v>
      </c>
      <c r="F5" s="43" t="s">
        <v>85</v>
      </c>
    </row>
    <row r="6" ht="15" customHeight="1" spans="1:6">
      <c r="A6" s="44">
        <v>1</v>
      </c>
      <c r="B6" s="45" t="s">
        <v>229</v>
      </c>
      <c r="C6" s="46" t="s">
        <v>230</v>
      </c>
      <c r="D6" s="45">
        <v>2</v>
      </c>
      <c r="E6" s="60">
        <v>4.6018159362396</v>
      </c>
      <c r="F6" s="48"/>
    </row>
    <row r="7" ht="15" customHeight="1" spans="1:6">
      <c r="A7" s="44">
        <v>2</v>
      </c>
      <c r="B7" s="45" t="s">
        <v>229</v>
      </c>
      <c r="C7" s="46" t="s">
        <v>231</v>
      </c>
      <c r="D7" s="45">
        <v>2</v>
      </c>
      <c r="E7" s="60">
        <v>3.96544980443286</v>
      </c>
      <c r="F7" s="48"/>
    </row>
    <row r="8" ht="15" customHeight="1" spans="1:6">
      <c r="A8" s="44">
        <v>3</v>
      </c>
      <c r="B8" s="45" t="s">
        <v>229</v>
      </c>
      <c r="C8" s="46" t="s">
        <v>232</v>
      </c>
      <c r="D8" s="45">
        <v>2</v>
      </c>
      <c r="E8" s="60">
        <v>4.40154949311794</v>
      </c>
      <c r="F8" s="48"/>
    </row>
    <row r="9" ht="15" customHeight="1" spans="1:6">
      <c r="A9" s="44">
        <v>4</v>
      </c>
      <c r="B9" s="45" t="s">
        <v>229</v>
      </c>
      <c r="C9" s="46" t="s">
        <v>233</v>
      </c>
      <c r="D9" s="45">
        <v>2</v>
      </c>
      <c r="E9" s="60">
        <v>3.57849736219756</v>
      </c>
      <c r="F9" s="48"/>
    </row>
    <row r="10" ht="15" customHeight="1" spans="1:6">
      <c r="A10" s="44">
        <v>5</v>
      </c>
      <c r="B10" s="45" t="s">
        <v>229</v>
      </c>
      <c r="C10" s="46" t="s">
        <v>234</v>
      </c>
      <c r="D10" s="45">
        <v>2</v>
      </c>
      <c r="E10" s="60"/>
      <c r="F10" s="48"/>
    </row>
    <row r="11" ht="15" customHeight="1" spans="1:6">
      <c r="A11" s="44">
        <v>6</v>
      </c>
      <c r="B11" s="45" t="s">
        <v>229</v>
      </c>
      <c r="C11" s="46" t="s">
        <v>235</v>
      </c>
      <c r="D11" s="45">
        <v>2</v>
      </c>
      <c r="E11" s="60"/>
      <c r="F11" s="49"/>
    </row>
    <row r="12" ht="15" customHeight="1" spans="1:6">
      <c r="A12" s="44">
        <v>7</v>
      </c>
      <c r="B12" s="45" t="s">
        <v>229</v>
      </c>
      <c r="C12" s="46" t="s">
        <v>236</v>
      </c>
      <c r="D12" s="45">
        <v>2</v>
      </c>
      <c r="E12" s="60"/>
      <c r="F12" s="48"/>
    </row>
    <row r="13" ht="15" customHeight="1" spans="1:6">
      <c r="A13" s="44">
        <v>8</v>
      </c>
      <c r="B13" s="45" t="s">
        <v>229</v>
      </c>
      <c r="C13" s="46" t="s">
        <v>237</v>
      </c>
      <c r="D13" s="45">
        <v>2</v>
      </c>
      <c r="E13" s="60"/>
      <c r="F13" s="48"/>
    </row>
    <row r="14" ht="15" customHeight="1" spans="1:6">
      <c r="A14" s="44">
        <v>9</v>
      </c>
      <c r="B14" s="45" t="s">
        <v>229</v>
      </c>
      <c r="C14" s="46" t="s">
        <v>238</v>
      </c>
      <c r="D14" s="45">
        <v>2</v>
      </c>
      <c r="E14" s="60">
        <v>4.03206865401987</v>
      </c>
      <c r="F14" s="48"/>
    </row>
    <row r="15" ht="15" customHeight="1" spans="1:6">
      <c r="A15" s="44">
        <v>10</v>
      </c>
      <c r="B15" s="45" t="s">
        <v>229</v>
      </c>
      <c r="C15" s="46" t="s">
        <v>239</v>
      </c>
      <c r="D15" s="45">
        <v>2</v>
      </c>
      <c r="E15" s="60"/>
      <c r="F15" s="48"/>
    </row>
    <row r="16" ht="15" customHeight="1" spans="1:6">
      <c r="A16" s="44">
        <v>11</v>
      </c>
      <c r="B16" s="45" t="s">
        <v>229</v>
      </c>
      <c r="C16" s="46" t="s">
        <v>240</v>
      </c>
      <c r="D16" s="45">
        <v>2</v>
      </c>
      <c r="E16" s="60"/>
      <c r="F16" s="48"/>
    </row>
    <row r="17" ht="15" customHeight="1" spans="1:6">
      <c r="A17" s="44">
        <v>12</v>
      </c>
      <c r="B17" s="45" t="s">
        <v>229</v>
      </c>
      <c r="C17" s="46" t="s">
        <v>241</v>
      </c>
      <c r="D17" s="45">
        <v>2</v>
      </c>
      <c r="E17" s="60"/>
      <c r="F17" s="48"/>
    </row>
    <row r="18" ht="15" customHeight="1" spans="1:6">
      <c r="A18" s="44">
        <v>13</v>
      </c>
      <c r="B18" s="45" t="s">
        <v>229</v>
      </c>
      <c r="C18" s="50" t="s">
        <v>242</v>
      </c>
      <c r="D18" s="45">
        <v>2</v>
      </c>
      <c r="E18" s="60"/>
      <c r="F18" s="48"/>
    </row>
    <row r="19" ht="15" customHeight="1" spans="1:6">
      <c r="A19" s="44">
        <v>14</v>
      </c>
      <c r="B19" s="45" t="s">
        <v>229</v>
      </c>
      <c r="C19" s="46" t="s">
        <v>243</v>
      </c>
      <c r="D19" s="45">
        <v>2</v>
      </c>
      <c r="E19" s="60"/>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4.60177242336319</v>
      </c>
      <c r="F21" s="48"/>
    </row>
    <row r="22" ht="15" customHeight="1" spans="1:6">
      <c r="A22" s="44">
        <v>17</v>
      </c>
      <c r="B22" s="45" t="s">
        <v>245</v>
      </c>
      <c r="C22" s="46" t="s">
        <v>246</v>
      </c>
      <c r="D22" s="45">
        <v>2</v>
      </c>
      <c r="E22" s="60"/>
      <c r="F22" s="48"/>
    </row>
    <row r="23" ht="15" customHeight="1" spans="1:6">
      <c r="A23" s="44">
        <v>18</v>
      </c>
      <c r="B23" s="45" t="s">
        <v>245</v>
      </c>
      <c r="C23" s="46" t="s">
        <v>247</v>
      </c>
      <c r="D23" s="45">
        <v>2</v>
      </c>
      <c r="E23" s="60"/>
      <c r="F23" s="48"/>
    </row>
    <row r="24" ht="15" customHeight="1" spans="1:6">
      <c r="A24" s="44">
        <v>19</v>
      </c>
      <c r="B24" s="45" t="s">
        <v>245</v>
      </c>
      <c r="C24" s="46" t="s">
        <v>244</v>
      </c>
      <c r="D24" s="45">
        <v>2</v>
      </c>
      <c r="E24" s="60"/>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4.26912560982148</v>
      </c>
      <c r="F26" s="48"/>
    </row>
    <row r="27" ht="15" customHeight="1" spans="1:6">
      <c r="A27" s="44">
        <v>22</v>
      </c>
      <c r="B27" s="45" t="s">
        <v>229</v>
      </c>
      <c r="C27" s="46" t="s">
        <v>246</v>
      </c>
      <c r="D27" s="45">
        <v>3</v>
      </c>
      <c r="E27" s="60"/>
      <c r="F27" s="48"/>
    </row>
    <row r="28" ht="15" customHeight="1" spans="1:6">
      <c r="A28" s="44">
        <v>23</v>
      </c>
      <c r="B28" s="45" t="s">
        <v>229</v>
      </c>
      <c r="C28" s="46" t="s">
        <v>247</v>
      </c>
      <c r="D28" s="45">
        <v>3</v>
      </c>
      <c r="E28" s="60"/>
      <c r="F28" s="48"/>
    </row>
    <row r="29" ht="15" customHeight="1" spans="1:6">
      <c r="A29" s="44">
        <v>24</v>
      </c>
      <c r="B29" s="45" t="s">
        <v>229</v>
      </c>
      <c r="C29" s="46" t="s">
        <v>231</v>
      </c>
      <c r="D29" s="45">
        <v>3</v>
      </c>
      <c r="E29" s="79"/>
      <c r="F29" s="48"/>
    </row>
    <row r="30" ht="15" customHeight="1" spans="1:6">
      <c r="A30" s="44">
        <v>25</v>
      </c>
      <c r="B30" s="45" t="s">
        <v>229</v>
      </c>
      <c r="C30" s="46" t="s">
        <v>249</v>
      </c>
      <c r="D30" s="45">
        <v>3</v>
      </c>
      <c r="E30" s="60"/>
      <c r="F30" s="48"/>
    </row>
    <row r="31" ht="15" customHeight="1" spans="1:6">
      <c r="A31" s="44">
        <v>26</v>
      </c>
      <c r="B31" s="45" t="s">
        <v>229</v>
      </c>
      <c r="C31" s="46" t="s">
        <v>237</v>
      </c>
      <c r="D31" s="45">
        <v>3</v>
      </c>
      <c r="E31" s="60"/>
      <c r="F31" s="48"/>
    </row>
    <row r="32" ht="15" customHeight="1" spans="1:6">
      <c r="A32" s="44">
        <v>27</v>
      </c>
      <c r="B32" s="45" t="s">
        <v>229</v>
      </c>
      <c r="C32" s="46" t="s">
        <v>250</v>
      </c>
      <c r="D32" s="45">
        <v>3</v>
      </c>
      <c r="E32" s="60">
        <v>5.53486770569047</v>
      </c>
      <c r="F32" s="48"/>
    </row>
    <row r="33" ht="15" customHeight="1" spans="1:6">
      <c r="A33" s="44">
        <v>28</v>
      </c>
      <c r="B33" s="45" t="s">
        <v>229</v>
      </c>
      <c r="C33" s="46" t="s">
        <v>241</v>
      </c>
      <c r="D33" s="45">
        <v>3</v>
      </c>
      <c r="E33" s="60"/>
      <c r="F33" s="48"/>
    </row>
    <row r="34" ht="15" customHeight="1" spans="1:6">
      <c r="A34" s="44">
        <v>29</v>
      </c>
      <c r="B34" s="45" t="s">
        <v>245</v>
      </c>
      <c r="C34" s="46" t="s">
        <v>230</v>
      </c>
      <c r="D34" s="45">
        <v>3</v>
      </c>
      <c r="E34" s="60">
        <v>4.26912560982148</v>
      </c>
      <c r="F34" s="48"/>
    </row>
    <row r="35" ht="15" customHeight="1" spans="1:6">
      <c r="A35" s="44">
        <v>30</v>
      </c>
      <c r="B35" s="45" t="s">
        <v>245</v>
      </c>
      <c r="C35" s="46" t="s">
        <v>246</v>
      </c>
      <c r="D35" s="45">
        <v>3</v>
      </c>
      <c r="E35" s="60"/>
      <c r="F35" s="48"/>
    </row>
    <row r="36" ht="15" customHeight="1" spans="1:6">
      <c r="A36" s="44">
        <v>31</v>
      </c>
      <c r="B36" s="45" t="s">
        <v>245</v>
      </c>
      <c r="C36" s="46" t="s">
        <v>247</v>
      </c>
      <c r="D36" s="45">
        <v>3</v>
      </c>
      <c r="E36" s="60"/>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6.26912560982148</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51">
        <v>39</v>
      </c>
      <c r="B44" s="52" t="s">
        <v>229</v>
      </c>
      <c r="C44" s="53" t="s">
        <v>252</v>
      </c>
      <c r="D44" s="52">
        <v>4</v>
      </c>
      <c r="E44" s="61"/>
      <c r="F44" s="55"/>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0.904861111111111" bottom="0.314583333333333" header="0.5" footer="0.786805555555556"/>
  <pageSetup paperSize="9" orientation="portrait" horizontalDpi="600"/>
  <headerFooter differentOddEven="1">
    <oddFooter>&amp;R&amp;14&amp;B— 23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F45"/>
  <sheetViews>
    <sheetView zoomScale="115" zoomScaleNormal="115" topLeftCell="A3" workbookViewId="0">
      <selection activeCell="A3" sqref="A3:F3"/>
    </sheetView>
  </sheetViews>
  <sheetFormatPr defaultColWidth="9" defaultRowHeight="13.5" outlineLevelCol="5"/>
  <cols>
    <col min="1" max="6" width="14.625" style="19" customWidth="1"/>
    <col min="7" max="7" width="11.4083333333333" style="19" customWidth="1"/>
    <col min="8" max="8" width="11.3083333333333" style="19" customWidth="1"/>
    <col min="9" max="16384" width="9" style="19"/>
  </cols>
  <sheetData>
    <row r="1" ht="20.25" spans="1:6">
      <c r="A1" s="1" t="s">
        <v>297</v>
      </c>
      <c r="B1" s="18"/>
      <c r="C1" s="18"/>
      <c r="D1" s="18"/>
      <c r="E1" s="18"/>
      <c r="F1" s="18"/>
    </row>
    <row r="2" ht="20.25" spans="1:6">
      <c r="A2" s="20"/>
      <c r="B2" s="18"/>
      <c r="C2" s="18"/>
      <c r="D2" s="18"/>
      <c r="E2" s="18"/>
      <c r="F2" s="18"/>
    </row>
    <row r="3" ht="29.25" spans="1:6">
      <c r="A3" s="3" t="s">
        <v>15</v>
      </c>
      <c r="B3" s="3"/>
      <c r="C3" s="3"/>
      <c r="D3" s="3"/>
      <c r="E3" s="3"/>
      <c r="F3" s="3"/>
    </row>
    <row r="4" ht="14.25" spans="1:6">
      <c r="A4" s="57"/>
      <c r="B4" s="57"/>
      <c r="C4" s="58"/>
      <c r="D4" s="58"/>
      <c r="E4" s="59" t="s">
        <v>254</v>
      </c>
      <c r="F4" s="59"/>
    </row>
    <row r="5" ht="15" customHeight="1" spans="1:6">
      <c r="A5" s="40" t="s">
        <v>2</v>
      </c>
      <c r="B5" s="41" t="s">
        <v>225</v>
      </c>
      <c r="C5" s="41" t="s">
        <v>226</v>
      </c>
      <c r="D5" s="41" t="s">
        <v>227</v>
      </c>
      <c r="E5" s="41" t="s">
        <v>228</v>
      </c>
      <c r="F5" s="43" t="s">
        <v>85</v>
      </c>
    </row>
    <row r="6" ht="15" customHeight="1" spans="1:6">
      <c r="A6" s="44">
        <v>1</v>
      </c>
      <c r="B6" s="45" t="s">
        <v>229</v>
      </c>
      <c r="C6" s="46" t="s">
        <v>230</v>
      </c>
      <c r="D6" s="45">
        <v>2</v>
      </c>
      <c r="E6" s="60">
        <v>2.49600103780082</v>
      </c>
      <c r="F6" s="48"/>
    </row>
    <row r="7" ht="15" customHeight="1" spans="1:6">
      <c r="A7" s="44">
        <v>2</v>
      </c>
      <c r="B7" s="45" t="s">
        <v>229</v>
      </c>
      <c r="C7" s="46" t="s">
        <v>231</v>
      </c>
      <c r="D7" s="45">
        <v>2</v>
      </c>
      <c r="E7" s="60">
        <v>1.74742865421126</v>
      </c>
      <c r="F7" s="48"/>
    </row>
    <row r="8" ht="15" customHeight="1" spans="1:6">
      <c r="A8" s="44">
        <v>3</v>
      </c>
      <c r="B8" s="45" t="s">
        <v>229</v>
      </c>
      <c r="C8" s="46" t="s">
        <v>232</v>
      </c>
      <c r="D8" s="45">
        <v>2</v>
      </c>
      <c r="E8" s="60">
        <v>2.55501524767164</v>
      </c>
      <c r="F8" s="48"/>
    </row>
    <row r="9" ht="15" customHeight="1" spans="1:6">
      <c r="A9" s="44">
        <v>4</v>
      </c>
      <c r="B9" s="45" t="s">
        <v>229</v>
      </c>
      <c r="C9" s="46" t="s">
        <v>233</v>
      </c>
      <c r="D9" s="45">
        <v>2</v>
      </c>
      <c r="E9" s="60">
        <v>2.24364805045176</v>
      </c>
      <c r="F9" s="48"/>
    </row>
    <row r="10" ht="15" customHeight="1" spans="1:6">
      <c r="A10" s="44">
        <v>5</v>
      </c>
      <c r="B10" s="45" t="s">
        <v>229</v>
      </c>
      <c r="C10" s="46" t="s">
        <v>234</v>
      </c>
      <c r="D10" s="45">
        <v>2</v>
      </c>
      <c r="E10" s="60">
        <v>1.86741363211951</v>
      </c>
      <c r="F10" s="48"/>
    </row>
    <row r="11" ht="15" customHeight="1" spans="1:6">
      <c r="A11" s="44">
        <v>6</v>
      </c>
      <c r="B11" s="45" t="s">
        <v>229</v>
      </c>
      <c r="C11" s="46" t="s">
        <v>235</v>
      </c>
      <c r="D11" s="45">
        <v>2</v>
      </c>
      <c r="E11" s="60">
        <v>1.60513643659711</v>
      </c>
      <c r="F11" s="49"/>
    </row>
    <row r="12" ht="15" customHeight="1" spans="1:6">
      <c r="A12" s="44">
        <v>7</v>
      </c>
      <c r="B12" s="45" t="s">
        <v>229</v>
      </c>
      <c r="C12" s="46" t="s">
        <v>236</v>
      </c>
      <c r="D12" s="45">
        <v>2</v>
      </c>
      <c r="E12" s="60"/>
      <c r="F12" s="48"/>
    </row>
    <row r="13" ht="15" customHeight="1" spans="1:6">
      <c r="A13" s="44">
        <v>8</v>
      </c>
      <c r="B13" s="45" t="s">
        <v>229</v>
      </c>
      <c r="C13" s="46" t="s">
        <v>237</v>
      </c>
      <c r="D13" s="45">
        <v>2</v>
      </c>
      <c r="E13" s="60">
        <v>8.55415222057964</v>
      </c>
      <c r="F13" s="48"/>
    </row>
    <row r="14" ht="15" customHeight="1" spans="1:6">
      <c r="A14" s="44">
        <v>9</v>
      </c>
      <c r="B14" s="45" t="s">
        <v>229</v>
      </c>
      <c r="C14" s="46" t="s">
        <v>238</v>
      </c>
      <c r="D14" s="45">
        <v>2</v>
      </c>
      <c r="E14" s="60">
        <v>2.04924888754379</v>
      </c>
      <c r="F14" s="48"/>
    </row>
    <row r="15" ht="15" customHeight="1" spans="1:6">
      <c r="A15" s="44">
        <v>10</v>
      </c>
      <c r="B15" s="45" t="s">
        <v>229</v>
      </c>
      <c r="C15" s="46" t="s">
        <v>239</v>
      </c>
      <c r="D15" s="45">
        <v>2</v>
      </c>
      <c r="E15" s="60">
        <v>2.967285058847</v>
      </c>
      <c r="F15" s="48"/>
    </row>
    <row r="16" ht="15" customHeight="1" spans="1:6">
      <c r="A16" s="44">
        <v>11</v>
      </c>
      <c r="B16" s="45" t="s">
        <v>229</v>
      </c>
      <c r="C16" s="46" t="s">
        <v>240</v>
      </c>
      <c r="D16" s="45">
        <v>2</v>
      </c>
      <c r="E16" s="60">
        <v>2.16099405726634</v>
      </c>
      <c r="F16" s="48"/>
    </row>
    <row r="17" ht="15" customHeight="1" spans="1:6">
      <c r="A17" s="44">
        <v>12</v>
      </c>
      <c r="B17" s="45" t="s">
        <v>229</v>
      </c>
      <c r="C17" s="46" t="s">
        <v>241</v>
      </c>
      <c r="D17" s="45">
        <v>2</v>
      </c>
      <c r="E17" s="60">
        <v>2.43711218249299</v>
      </c>
      <c r="F17" s="48"/>
    </row>
    <row r="18" ht="15" customHeight="1" spans="1:6">
      <c r="A18" s="44">
        <v>13</v>
      </c>
      <c r="B18" s="45" t="s">
        <v>229</v>
      </c>
      <c r="C18" s="50" t="s">
        <v>242</v>
      </c>
      <c r="D18" s="45">
        <v>2</v>
      </c>
      <c r="E18" s="60">
        <v>1.66590943510526</v>
      </c>
      <c r="F18" s="48"/>
    </row>
    <row r="19" ht="15" customHeight="1" spans="1:6">
      <c r="A19" s="44">
        <v>14</v>
      </c>
      <c r="B19" s="45" t="s">
        <v>229</v>
      </c>
      <c r="C19" s="46" t="s">
        <v>243</v>
      </c>
      <c r="D19" s="45">
        <v>2</v>
      </c>
      <c r="E19" s="60">
        <v>2.52252252252252</v>
      </c>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2.03944325301712</v>
      </c>
      <c r="F21" s="48"/>
    </row>
    <row r="22" ht="15" customHeight="1" spans="1:6">
      <c r="A22" s="44">
        <v>17</v>
      </c>
      <c r="B22" s="45" t="s">
        <v>245</v>
      </c>
      <c r="C22" s="46" t="s">
        <v>246</v>
      </c>
      <c r="D22" s="45">
        <v>2</v>
      </c>
      <c r="E22" s="60">
        <v>2.70029604959066</v>
      </c>
      <c r="F22" s="48"/>
    </row>
    <row r="23" ht="15" customHeight="1" spans="1:6">
      <c r="A23" s="44">
        <v>18</v>
      </c>
      <c r="B23" s="45" t="s">
        <v>245</v>
      </c>
      <c r="C23" s="46" t="s">
        <v>247</v>
      </c>
      <c r="D23" s="45">
        <v>2</v>
      </c>
      <c r="E23" s="60">
        <v>1.80403261827824</v>
      </c>
      <c r="F23" s="48"/>
    </row>
    <row r="24" ht="15" customHeight="1" spans="1:6">
      <c r="A24" s="44">
        <v>19</v>
      </c>
      <c r="B24" s="45" t="s">
        <v>245</v>
      </c>
      <c r="C24" s="46" t="s">
        <v>244</v>
      </c>
      <c r="D24" s="45">
        <v>2</v>
      </c>
      <c r="E24" s="60">
        <v>3.46354166666667</v>
      </c>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2.626923283118</v>
      </c>
      <c r="F26" s="48"/>
    </row>
    <row r="27" ht="15" customHeight="1" spans="1:6">
      <c r="A27" s="44">
        <v>22</v>
      </c>
      <c r="B27" s="45" t="s">
        <v>229</v>
      </c>
      <c r="C27" s="46" t="s">
        <v>246</v>
      </c>
      <c r="D27" s="45">
        <v>3</v>
      </c>
      <c r="E27" s="60">
        <v>2.55468844325791</v>
      </c>
      <c r="F27" s="48"/>
    </row>
    <row r="28" ht="15" customHeight="1" spans="1:6">
      <c r="A28" s="44">
        <v>23</v>
      </c>
      <c r="B28" s="45" t="s">
        <v>229</v>
      </c>
      <c r="C28" s="46" t="s">
        <v>247</v>
      </c>
      <c r="D28" s="45">
        <v>3</v>
      </c>
      <c r="E28" s="60">
        <v>3.48338692390139</v>
      </c>
      <c r="F28" s="48"/>
    </row>
    <row r="29" ht="15" customHeight="1" spans="1:6">
      <c r="A29" s="44">
        <v>24</v>
      </c>
      <c r="B29" s="45" t="s">
        <v>229</v>
      </c>
      <c r="C29" s="46" t="s">
        <v>231</v>
      </c>
      <c r="D29" s="45">
        <v>3</v>
      </c>
      <c r="E29" s="60">
        <v>3.33646126576999</v>
      </c>
      <c r="F29" s="48"/>
    </row>
    <row r="30" ht="15" customHeight="1" spans="1:6">
      <c r="A30" s="44">
        <v>25</v>
      </c>
      <c r="B30" s="45" t="s">
        <v>229</v>
      </c>
      <c r="C30" s="46" t="s">
        <v>249</v>
      </c>
      <c r="D30" s="45">
        <v>3</v>
      </c>
      <c r="E30" s="60">
        <v>4.07213496218732</v>
      </c>
      <c r="F30" s="48"/>
    </row>
    <row r="31" ht="15" customHeight="1" spans="1:6">
      <c r="A31" s="44">
        <v>26</v>
      </c>
      <c r="B31" s="45" t="s">
        <v>229</v>
      </c>
      <c r="C31" s="46" t="s">
        <v>237</v>
      </c>
      <c r="D31" s="45">
        <v>3</v>
      </c>
      <c r="E31" s="60">
        <v>7.95224762793591</v>
      </c>
      <c r="F31" s="48"/>
    </row>
    <row r="32" ht="15" customHeight="1" spans="1:6">
      <c r="A32" s="44">
        <v>27</v>
      </c>
      <c r="B32" s="45" t="s">
        <v>229</v>
      </c>
      <c r="C32" s="46" t="s">
        <v>250</v>
      </c>
      <c r="D32" s="45">
        <v>3</v>
      </c>
      <c r="E32" s="60">
        <v>2.61316499536787</v>
      </c>
      <c r="F32" s="48"/>
    </row>
    <row r="33" ht="15" customHeight="1" spans="1:6">
      <c r="A33" s="44">
        <v>28</v>
      </c>
      <c r="B33" s="45" t="s">
        <v>229</v>
      </c>
      <c r="C33" s="46" t="s">
        <v>241</v>
      </c>
      <c r="D33" s="45">
        <v>3</v>
      </c>
      <c r="E33" s="60">
        <v>2.97713648403709</v>
      </c>
      <c r="F33" s="48"/>
    </row>
    <row r="34" ht="15" customHeight="1" spans="1:6">
      <c r="A34" s="44">
        <v>29</v>
      </c>
      <c r="B34" s="45" t="s">
        <v>245</v>
      </c>
      <c r="C34" s="46" t="s">
        <v>230</v>
      </c>
      <c r="D34" s="45">
        <v>3</v>
      </c>
      <c r="E34" s="60">
        <v>2.23318406568727</v>
      </c>
      <c r="F34" s="48"/>
    </row>
    <row r="35" ht="15" customHeight="1" spans="1:6">
      <c r="A35" s="44">
        <v>30</v>
      </c>
      <c r="B35" s="45" t="s">
        <v>245</v>
      </c>
      <c r="C35" s="46" t="s">
        <v>246</v>
      </c>
      <c r="D35" s="45">
        <v>3</v>
      </c>
      <c r="E35" s="60">
        <v>2.51480489981342</v>
      </c>
      <c r="F35" s="48"/>
    </row>
    <row r="36" ht="15" customHeight="1" spans="1:6">
      <c r="A36" s="44">
        <v>31</v>
      </c>
      <c r="B36" s="45" t="s">
        <v>245</v>
      </c>
      <c r="C36" s="46" t="s">
        <v>247</v>
      </c>
      <c r="D36" s="45">
        <v>3</v>
      </c>
      <c r="E36" s="60">
        <v>2.97836784155962</v>
      </c>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2.66518315645327</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77">
        <v>39</v>
      </c>
      <c r="B44" s="52" t="s">
        <v>229</v>
      </c>
      <c r="C44" s="53" t="s">
        <v>252</v>
      </c>
      <c r="D44" s="52">
        <v>4</v>
      </c>
      <c r="E44" s="61"/>
      <c r="F44" s="55"/>
    </row>
    <row r="45" spans="1:1">
      <c r="A45" s="78"/>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5" footer="0.984027777777778"/>
  <pageSetup paperSize="9" scale="91" fitToHeight="0" orientation="portrait" horizontalDpi="600"/>
  <headerFooter differentOddEven="1">
    <oddFooter>&amp;L&amp;14&amp;B— 24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E8"/>
  <sheetViews>
    <sheetView zoomScale="115" zoomScaleNormal="115" workbookViewId="0">
      <selection activeCell="A5" sqref="A5"/>
    </sheetView>
  </sheetViews>
  <sheetFormatPr defaultColWidth="9" defaultRowHeight="13.5" outlineLevelRow="7" outlineLevelCol="4"/>
  <cols>
    <col min="1" max="5" width="14.625" style="19" customWidth="1"/>
    <col min="6" max="16384" width="9" style="19"/>
  </cols>
  <sheetData>
    <row r="1" ht="20.25" spans="1:5">
      <c r="A1" s="1" t="s">
        <v>298</v>
      </c>
      <c r="B1" s="74"/>
      <c r="C1" s="18"/>
      <c r="D1" s="18"/>
      <c r="E1" s="18"/>
    </row>
    <row r="2" ht="20.25" spans="1:5">
      <c r="A2" s="20"/>
      <c r="B2" s="74"/>
      <c r="C2" s="18"/>
      <c r="D2" s="18"/>
      <c r="E2" s="18"/>
    </row>
    <row r="3" ht="29.25" spans="1:5">
      <c r="A3" s="3" t="s">
        <v>16</v>
      </c>
      <c r="B3" s="3"/>
      <c r="C3" s="3"/>
      <c r="D3" s="3"/>
      <c r="E3" s="3"/>
    </row>
    <row r="4" ht="14.25" spans="1:5">
      <c r="A4" s="57"/>
      <c r="B4" s="57"/>
      <c r="C4" s="58"/>
      <c r="D4" s="59" t="s">
        <v>299</v>
      </c>
      <c r="E4" s="59"/>
    </row>
    <row r="5" ht="15" customHeight="1" spans="1:5">
      <c r="A5" s="63" t="s">
        <v>2</v>
      </c>
      <c r="B5" s="64" t="s">
        <v>203</v>
      </c>
      <c r="C5" s="64" t="s">
        <v>300</v>
      </c>
      <c r="D5" s="64" t="s">
        <v>204</v>
      </c>
      <c r="E5" s="65" t="s">
        <v>85</v>
      </c>
    </row>
    <row r="6" ht="15" customHeight="1" spans="1:5">
      <c r="A6" s="66">
        <v>1</v>
      </c>
      <c r="B6" s="67" t="s">
        <v>301</v>
      </c>
      <c r="C6" s="67" t="s">
        <v>255</v>
      </c>
      <c r="D6" s="75">
        <v>11500.5</v>
      </c>
      <c r="E6" s="69"/>
    </row>
    <row r="7" ht="15" customHeight="1" spans="1:5">
      <c r="A7" s="66">
        <v>2</v>
      </c>
      <c r="B7" s="67" t="s">
        <v>301</v>
      </c>
      <c r="C7" s="67" t="s">
        <v>256</v>
      </c>
      <c r="D7" s="75">
        <v>12546</v>
      </c>
      <c r="E7" s="69"/>
    </row>
    <row r="8" ht="15" customHeight="1" spans="1:5">
      <c r="A8" s="70">
        <v>3</v>
      </c>
      <c r="B8" s="71" t="s">
        <v>212</v>
      </c>
      <c r="C8" s="71"/>
      <c r="D8" s="76">
        <v>4182</v>
      </c>
      <c r="E8" s="73"/>
    </row>
  </sheetData>
  <sheetProtection formatCells="0" formatColumns="0" formatRows="0" insertRows="0" insertColumns="0" insertHyperlinks="0" deleteColumns="0" deleteRows="0" sort="0" autoFilter="0" pivotTables="0"/>
  <mergeCells count="2">
    <mergeCell ref="A3:E3"/>
    <mergeCell ref="D4:E4"/>
  </mergeCells>
  <pageMargins left="1.10208333333333" right="1.02361111111111" top="1.45625" bottom="1.37777777777778" header="0.5" footer="0.984027777777778"/>
  <pageSetup paperSize="9" orientation="portrait" horizontalDpi="600"/>
  <headerFooter differentOddEven="1">
    <oddFooter>&amp;R&amp;14&amp;B— 25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E15"/>
  <sheetViews>
    <sheetView zoomScale="115" zoomScaleNormal="115" workbookViewId="0">
      <selection activeCell="C8" sqref="C8"/>
    </sheetView>
  </sheetViews>
  <sheetFormatPr defaultColWidth="9" defaultRowHeight="13.5" outlineLevelCol="4"/>
  <cols>
    <col min="1" max="5" width="14.625" style="19" customWidth="1"/>
    <col min="6" max="7" width="9" style="19"/>
    <col min="8" max="8" width="12.625" style="19"/>
    <col min="9" max="16384" width="9" style="19"/>
  </cols>
  <sheetData>
    <row r="1" s="18" customFormat="1" ht="20.25" spans="1:1">
      <c r="A1" s="1" t="s">
        <v>302</v>
      </c>
    </row>
    <row r="2" s="18" customFormat="1" ht="20.25" spans="1:1">
      <c r="A2" s="20"/>
    </row>
    <row r="3" ht="30" customHeight="1" spans="1:5">
      <c r="A3" s="3" t="s">
        <v>17</v>
      </c>
      <c r="B3" s="3"/>
      <c r="C3" s="3"/>
      <c r="D3" s="3"/>
      <c r="E3" s="3"/>
    </row>
    <row r="4" ht="15" customHeight="1" spans="1:5">
      <c r="A4" s="63" t="s">
        <v>2</v>
      </c>
      <c r="B4" s="64" t="s">
        <v>303</v>
      </c>
      <c r="C4" s="64" t="s">
        <v>304</v>
      </c>
      <c r="D4" s="64" t="s">
        <v>305</v>
      </c>
      <c r="E4" s="65" t="s">
        <v>306</v>
      </c>
    </row>
    <row r="5" ht="15" customHeight="1" spans="1:5">
      <c r="A5" s="66">
        <v>1</v>
      </c>
      <c r="B5" s="67">
        <v>50639</v>
      </c>
      <c r="C5" s="67" t="s">
        <v>307</v>
      </c>
      <c r="D5" s="68">
        <v>1.02325825</v>
      </c>
      <c r="E5" s="69">
        <v>1.5</v>
      </c>
    </row>
    <row r="6" ht="15" customHeight="1" spans="1:5">
      <c r="A6" s="66">
        <v>2</v>
      </c>
      <c r="B6" s="67">
        <v>50537</v>
      </c>
      <c r="C6" s="67" t="s">
        <v>261</v>
      </c>
      <c r="D6" s="68">
        <v>0.68771345</v>
      </c>
      <c r="E6" s="69">
        <v>1.35</v>
      </c>
    </row>
    <row r="7" ht="15" customHeight="1" spans="1:5">
      <c r="A7" s="66">
        <v>3</v>
      </c>
      <c r="B7" s="67">
        <v>50998</v>
      </c>
      <c r="C7" s="67" t="s">
        <v>261</v>
      </c>
      <c r="D7" s="68">
        <v>0.52873745</v>
      </c>
      <c r="E7" s="69">
        <v>1.35</v>
      </c>
    </row>
    <row r="8" ht="15" customHeight="1" spans="1:5">
      <c r="A8" s="66">
        <v>4</v>
      </c>
      <c r="B8" s="67">
        <v>70520</v>
      </c>
      <c r="C8" s="67" t="s">
        <v>308</v>
      </c>
      <c r="D8" s="68">
        <v>1.37269245</v>
      </c>
      <c r="E8" s="69">
        <v>1.5</v>
      </c>
    </row>
    <row r="9" ht="15" customHeight="1" spans="1:5">
      <c r="A9" s="66">
        <v>5</v>
      </c>
      <c r="B9" s="67">
        <v>70111</v>
      </c>
      <c r="C9" s="67" t="s">
        <v>262</v>
      </c>
      <c r="D9" s="68">
        <v>0.90897065</v>
      </c>
      <c r="E9" s="69">
        <v>1.05</v>
      </c>
    </row>
    <row r="10" ht="15" customHeight="1" spans="1:5">
      <c r="A10" s="66">
        <v>6</v>
      </c>
      <c r="B10" s="67">
        <v>70152</v>
      </c>
      <c r="C10" s="67" t="s">
        <v>262</v>
      </c>
      <c r="D10" s="68">
        <v>0.83591825</v>
      </c>
      <c r="E10" s="69">
        <v>1.05</v>
      </c>
    </row>
    <row r="11" ht="15" customHeight="1" spans="1:5">
      <c r="A11" s="66">
        <v>7</v>
      </c>
      <c r="B11" s="67">
        <v>70316</v>
      </c>
      <c r="C11" s="67" t="s">
        <v>262</v>
      </c>
      <c r="D11" s="68">
        <v>0.8965547</v>
      </c>
      <c r="E11" s="69">
        <v>0.42</v>
      </c>
    </row>
    <row r="12" ht="15" customHeight="1" spans="1:5">
      <c r="A12" s="66">
        <v>8</v>
      </c>
      <c r="B12" s="67">
        <v>70318</v>
      </c>
      <c r="C12" s="67" t="s">
        <v>309</v>
      </c>
      <c r="D12" s="68">
        <v>1.08425635</v>
      </c>
      <c r="E12" s="69">
        <v>0.42</v>
      </c>
    </row>
    <row r="13" ht="15" customHeight="1" spans="1:5">
      <c r="A13" s="66">
        <v>9</v>
      </c>
      <c r="B13" s="67">
        <v>70315</v>
      </c>
      <c r="C13" s="67" t="s">
        <v>309</v>
      </c>
      <c r="D13" s="68">
        <v>0.9171607</v>
      </c>
      <c r="E13" s="69">
        <v>0.28</v>
      </c>
    </row>
    <row r="14" ht="15" customHeight="1" spans="1:5">
      <c r="A14" s="70">
        <v>10</v>
      </c>
      <c r="B14" s="71" t="s">
        <v>310</v>
      </c>
      <c r="C14" s="71" t="s">
        <v>309</v>
      </c>
      <c r="D14" s="72">
        <v>1.01315595</v>
      </c>
      <c r="E14" s="73">
        <v>0.7</v>
      </c>
    </row>
    <row r="15" ht="15" customHeight="1" spans="1:1">
      <c r="A15" s="19" t="s">
        <v>311</v>
      </c>
    </row>
  </sheetData>
  <sheetProtection formatCells="0" formatColumns="0" formatRows="0" insertRows="0" insertColumns="0" insertHyperlinks="0" deleteColumns="0" deleteRows="0" sort="0" autoFilter="0" pivotTables="0"/>
  <mergeCells count="1">
    <mergeCell ref="A3:E3"/>
  </mergeCells>
  <pageMargins left="1.10208333333333" right="1.02361111111111" top="1.45625" bottom="1.37777777777778" header="0.5" footer="0.984027777777778"/>
  <pageSetup paperSize="9" fitToHeight="0" orientation="portrait" horizontalDpi="600"/>
  <headerFooter differentOddEven="1">
    <oddFooter>&amp;L&amp;14&amp;B— 26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F45"/>
  <sheetViews>
    <sheetView workbookViewId="0">
      <pane ySplit="4" topLeftCell="A5" activePane="bottomLeft" state="frozen"/>
      <selection/>
      <selection pane="bottomLeft" activeCell="A3" sqref="A3:F3"/>
    </sheetView>
  </sheetViews>
  <sheetFormatPr defaultColWidth="4.875" defaultRowHeight="16" customHeight="1" outlineLevelCol="5"/>
  <cols>
    <col min="1" max="3" width="14.625" style="35" customWidth="1"/>
    <col min="4" max="4" width="14.625" style="36" customWidth="1"/>
    <col min="5" max="6" width="14.625" style="38" customWidth="1"/>
    <col min="7" max="16352" width="4.875" style="39"/>
    <col min="16353" max="16384" width="4.875" style="19"/>
  </cols>
  <sheetData>
    <row r="1" s="18" customFormat="1" ht="20.25" spans="1:1">
      <c r="A1" s="1" t="s">
        <v>312</v>
      </c>
    </row>
    <row r="2" s="18" customFormat="1" ht="20.25" spans="1:1">
      <c r="A2" s="20"/>
    </row>
    <row r="3" s="34" customFormat="1" ht="29.25" spans="1:6">
      <c r="A3" s="3" t="s">
        <v>18</v>
      </c>
      <c r="B3" s="3"/>
      <c r="C3" s="3"/>
      <c r="D3" s="3"/>
      <c r="E3" s="3"/>
      <c r="F3" s="3"/>
    </row>
    <row r="4" s="34" customFormat="1" customHeight="1" spans="1:6">
      <c r="A4" s="57"/>
      <c r="B4" s="57"/>
      <c r="C4" s="58"/>
      <c r="D4" s="58"/>
      <c r="E4" s="59" t="s">
        <v>313</v>
      </c>
      <c r="F4" s="59"/>
    </row>
    <row r="5" ht="15" customHeight="1" spans="1:6">
      <c r="A5" s="40" t="s">
        <v>2</v>
      </c>
      <c r="B5" s="41" t="s">
        <v>225</v>
      </c>
      <c r="C5" s="41" t="s">
        <v>226</v>
      </c>
      <c r="D5" s="41" t="s">
        <v>227</v>
      </c>
      <c r="E5" s="41" t="s">
        <v>314</v>
      </c>
      <c r="F5" s="43" t="s">
        <v>85</v>
      </c>
    </row>
    <row r="6" ht="15" customHeight="1" spans="1:6">
      <c r="A6" s="44">
        <v>1</v>
      </c>
      <c r="B6" s="45" t="s">
        <v>229</v>
      </c>
      <c r="C6" s="46" t="s">
        <v>230</v>
      </c>
      <c r="D6" s="45">
        <v>2</v>
      </c>
      <c r="E6" s="60">
        <v>133.546953020111</v>
      </c>
      <c r="F6" s="48"/>
    </row>
    <row r="7" ht="15" customHeight="1" spans="1:6">
      <c r="A7" s="44">
        <v>2</v>
      </c>
      <c r="B7" s="45" t="s">
        <v>229</v>
      </c>
      <c r="C7" s="46" t="s">
        <v>231</v>
      </c>
      <c r="D7" s="45">
        <v>2</v>
      </c>
      <c r="E7" s="60">
        <v>190.756476683616</v>
      </c>
      <c r="F7" s="48"/>
    </row>
    <row r="8" ht="15" customHeight="1" spans="1:6">
      <c r="A8" s="44">
        <v>3</v>
      </c>
      <c r="B8" s="45" t="s">
        <v>229</v>
      </c>
      <c r="C8" s="46" t="s">
        <v>232</v>
      </c>
      <c r="D8" s="45">
        <v>2</v>
      </c>
      <c r="E8" s="60">
        <v>130.462365591398</v>
      </c>
      <c r="F8" s="48"/>
    </row>
    <row r="9" ht="15" customHeight="1" spans="1:6">
      <c r="A9" s="44">
        <v>4</v>
      </c>
      <c r="B9" s="45" t="s">
        <v>229</v>
      </c>
      <c r="C9" s="46" t="s">
        <v>233</v>
      </c>
      <c r="D9" s="45">
        <v>2</v>
      </c>
      <c r="E9" s="60">
        <v>148.567567567568</v>
      </c>
      <c r="F9" s="48"/>
    </row>
    <row r="10" ht="15" customHeight="1" spans="1:6">
      <c r="A10" s="44">
        <v>5</v>
      </c>
      <c r="B10" s="45" t="s">
        <v>229</v>
      </c>
      <c r="C10" s="46" t="s">
        <v>234</v>
      </c>
      <c r="D10" s="45">
        <v>2</v>
      </c>
      <c r="E10" s="60">
        <v>178.5</v>
      </c>
      <c r="F10" s="48"/>
    </row>
    <row r="11" ht="15" customHeight="1" spans="1:6">
      <c r="A11" s="44">
        <v>6</v>
      </c>
      <c r="B11" s="45" t="s">
        <v>229</v>
      </c>
      <c r="C11" s="46" t="s">
        <v>235</v>
      </c>
      <c r="D11" s="45">
        <v>2</v>
      </c>
      <c r="E11" s="60">
        <v>207.666666666667</v>
      </c>
      <c r="F11" s="49"/>
    </row>
    <row r="12" ht="15" customHeight="1" spans="1:6">
      <c r="A12" s="44">
        <v>7</v>
      </c>
      <c r="B12" s="45" t="s">
        <v>229</v>
      </c>
      <c r="C12" s="46" t="s">
        <v>236</v>
      </c>
      <c r="D12" s="45">
        <v>2</v>
      </c>
      <c r="E12" s="60"/>
      <c r="F12" s="48"/>
    </row>
    <row r="13" ht="15" customHeight="1" spans="1:6">
      <c r="A13" s="44">
        <v>8</v>
      </c>
      <c r="B13" s="45" t="s">
        <v>229</v>
      </c>
      <c r="C13" s="46" t="s">
        <v>237</v>
      </c>
      <c r="D13" s="45">
        <v>2</v>
      </c>
      <c r="E13" s="60">
        <v>38.9674306392862</v>
      </c>
      <c r="F13" s="48"/>
    </row>
    <row r="14" ht="15" customHeight="1" spans="1:6">
      <c r="A14" s="44">
        <v>9</v>
      </c>
      <c r="B14" s="45" t="s">
        <v>229</v>
      </c>
      <c r="C14" s="46" t="s">
        <v>238</v>
      </c>
      <c r="D14" s="45">
        <v>2</v>
      </c>
      <c r="E14" s="60">
        <v>162.661224490337</v>
      </c>
      <c r="F14" s="48"/>
    </row>
    <row r="15" ht="15" customHeight="1" spans="1:6">
      <c r="A15" s="44">
        <v>10</v>
      </c>
      <c r="B15" s="45" t="s">
        <v>229</v>
      </c>
      <c r="C15" s="46" t="s">
        <v>239</v>
      </c>
      <c r="D15" s="45">
        <v>2</v>
      </c>
      <c r="E15" s="60">
        <v>112.336134453782</v>
      </c>
      <c r="F15" s="48"/>
    </row>
    <row r="16" ht="15" customHeight="1" spans="1:6">
      <c r="A16" s="44">
        <v>11</v>
      </c>
      <c r="B16" s="45" t="s">
        <v>229</v>
      </c>
      <c r="C16" s="46" t="s">
        <v>240</v>
      </c>
      <c r="D16" s="45">
        <v>2</v>
      </c>
      <c r="E16" s="60">
        <v>154.25</v>
      </c>
      <c r="F16" s="48"/>
    </row>
    <row r="17" ht="15" customHeight="1" spans="1:6">
      <c r="A17" s="44">
        <v>12</v>
      </c>
      <c r="B17" s="45" t="s">
        <v>229</v>
      </c>
      <c r="C17" s="46" t="s">
        <v>241</v>
      </c>
      <c r="D17" s="45">
        <v>2</v>
      </c>
      <c r="E17" s="60">
        <v>136.773898110984</v>
      </c>
      <c r="F17" s="48"/>
    </row>
    <row r="18" ht="15" customHeight="1" spans="1:6">
      <c r="A18" s="44">
        <v>13</v>
      </c>
      <c r="B18" s="45" t="s">
        <v>229</v>
      </c>
      <c r="C18" s="50" t="s">
        <v>242</v>
      </c>
      <c r="D18" s="45">
        <v>2</v>
      </c>
      <c r="E18" s="60">
        <v>200.090909090909</v>
      </c>
      <c r="F18" s="48"/>
    </row>
    <row r="19" ht="15" customHeight="1" spans="1:6">
      <c r="A19" s="44">
        <v>14</v>
      </c>
      <c r="B19" s="45" t="s">
        <v>229</v>
      </c>
      <c r="C19" s="46" t="s">
        <v>243</v>
      </c>
      <c r="D19" s="45">
        <v>2</v>
      </c>
      <c r="E19" s="60">
        <v>132.142857142857</v>
      </c>
      <c r="F19" s="48"/>
    </row>
    <row r="20" ht="15" customHeight="1" spans="1:6">
      <c r="A20" s="44">
        <v>15</v>
      </c>
      <c r="B20" s="45" t="s">
        <v>229</v>
      </c>
      <c r="C20" s="46" t="s">
        <v>244</v>
      </c>
      <c r="D20" s="45">
        <v>2</v>
      </c>
      <c r="E20" s="60"/>
      <c r="F20" s="48"/>
    </row>
    <row r="21" ht="15" customHeight="1" spans="1:6">
      <c r="A21" s="44">
        <v>16</v>
      </c>
      <c r="B21" s="45" t="s">
        <v>245</v>
      </c>
      <c r="C21" s="46" t="s">
        <v>230</v>
      </c>
      <c r="D21" s="45">
        <v>2</v>
      </c>
      <c r="E21" s="60">
        <v>163.443298969072</v>
      </c>
      <c r="F21" s="48"/>
    </row>
    <row r="22" ht="15" customHeight="1" spans="1:6">
      <c r="A22" s="44">
        <v>17</v>
      </c>
      <c r="B22" s="45" t="s">
        <v>245</v>
      </c>
      <c r="C22" s="46" t="s">
        <v>246</v>
      </c>
      <c r="D22" s="45">
        <v>2</v>
      </c>
      <c r="E22" s="60">
        <v>123.44325481788</v>
      </c>
      <c r="F22" s="49"/>
    </row>
    <row r="23" ht="15" customHeight="1" spans="1:6">
      <c r="A23" s="44">
        <v>18</v>
      </c>
      <c r="B23" s="45" t="s">
        <v>245</v>
      </c>
      <c r="C23" s="46" t="s">
        <v>247</v>
      </c>
      <c r="D23" s="45">
        <v>2</v>
      </c>
      <c r="E23" s="60">
        <v>184.771234153994</v>
      </c>
      <c r="F23" s="48"/>
    </row>
    <row r="24" ht="15" customHeight="1" spans="1:6">
      <c r="A24" s="44">
        <v>19</v>
      </c>
      <c r="B24" s="45" t="s">
        <v>245</v>
      </c>
      <c r="C24" s="46" t="s">
        <v>244</v>
      </c>
      <c r="D24" s="45">
        <v>2</v>
      </c>
      <c r="E24" s="60">
        <v>96.2406015037594</v>
      </c>
      <c r="F24" s="48"/>
    </row>
    <row r="25" ht="15" customHeight="1" spans="1:6">
      <c r="A25" s="44">
        <v>20</v>
      </c>
      <c r="B25" s="45" t="s">
        <v>248</v>
      </c>
      <c r="C25" s="46" t="s">
        <v>237</v>
      </c>
      <c r="D25" s="45">
        <v>2</v>
      </c>
      <c r="E25" s="60"/>
      <c r="F25" s="48"/>
    </row>
    <row r="26" ht="15" customHeight="1" spans="1:6">
      <c r="A26" s="44">
        <v>21</v>
      </c>
      <c r="B26" s="45" t="s">
        <v>229</v>
      </c>
      <c r="C26" s="46" t="s">
        <v>230</v>
      </c>
      <c r="D26" s="45">
        <v>3</v>
      </c>
      <c r="E26" s="60">
        <v>126.891156462585</v>
      </c>
      <c r="F26" s="48"/>
    </row>
    <row r="27" ht="15" customHeight="1" spans="1:6">
      <c r="A27" s="44">
        <v>22</v>
      </c>
      <c r="B27" s="45" t="s">
        <v>229</v>
      </c>
      <c r="C27" s="46" t="s">
        <v>246</v>
      </c>
      <c r="D27" s="45">
        <v>3</v>
      </c>
      <c r="E27" s="60">
        <v>130.479054779864</v>
      </c>
      <c r="F27" s="48"/>
    </row>
    <row r="28" ht="15" customHeight="1" spans="1:6">
      <c r="A28" s="44">
        <v>23</v>
      </c>
      <c r="B28" s="45" t="s">
        <v>229</v>
      </c>
      <c r="C28" s="46" t="s">
        <v>247</v>
      </c>
      <c r="D28" s="45">
        <v>3</v>
      </c>
      <c r="E28" s="60">
        <v>95.6923076923077</v>
      </c>
      <c r="F28" s="48"/>
    </row>
    <row r="29" ht="15" customHeight="1" spans="1:6">
      <c r="A29" s="44">
        <v>24</v>
      </c>
      <c r="B29" s="45" t="s">
        <v>229</v>
      </c>
      <c r="C29" s="46" t="s">
        <v>231</v>
      </c>
      <c r="D29" s="45">
        <v>3</v>
      </c>
      <c r="E29" s="60">
        <v>99.90625</v>
      </c>
      <c r="F29" s="48"/>
    </row>
    <row r="30" ht="15" customHeight="1" spans="1:6">
      <c r="A30" s="44">
        <v>25</v>
      </c>
      <c r="B30" s="45" t="s">
        <v>229</v>
      </c>
      <c r="C30" s="46" t="s">
        <v>249</v>
      </c>
      <c r="D30" s="45">
        <v>3</v>
      </c>
      <c r="E30" s="60">
        <v>81.8571428571429</v>
      </c>
      <c r="F30" s="48"/>
    </row>
    <row r="31" ht="15" customHeight="1" spans="1:6">
      <c r="A31" s="44">
        <v>26</v>
      </c>
      <c r="B31" s="45" t="s">
        <v>229</v>
      </c>
      <c r="C31" s="46" t="s">
        <v>237</v>
      </c>
      <c r="D31" s="45">
        <v>3</v>
      </c>
      <c r="E31" s="60">
        <v>41.9168704156479</v>
      </c>
      <c r="F31" s="48"/>
    </row>
    <row r="32" ht="15" customHeight="1" spans="1:6">
      <c r="A32" s="44">
        <v>27</v>
      </c>
      <c r="B32" s="45" t="s">
        <v>229</v>
      </c>
      <c r="C32" s="46" t="s">
        <v>250</v>
      </c>
      <c r="D32" s="45">
        <v>3</v>
      </c>
      <c r="E32" s="60">
        <v>127.559237141246</v>
      </c>
      <c r="F32" s="48"/>
    </row>
    <row r="33" ht="15" customHeight="1" spans="1:6">
      <c r="A33" s="44">
        <v>28</v>
      </c>
      <c r="B33" s="45" t="s">
        <v>229</v>
      </c>
      <c r="C33" s="46" t="s">
        <v>241</v>
      </c>
      <c r="D33" s="45">
        <v>3</v>
      </c>
      <c r="E33" s="60">
        <v>111.964411144941</v>
      </c>
      <c r="F33" s="48"/>
    </row>
    <row r="34" ht="15" customHeight="1" spans="1:6">
      <c r="A34" s="44">
        <v>29</v>
      </c>
      <c r="B34" s="45" t="s">
        <v>245</v>
      </c>
      <c r="C34" s="46" t="s">
        <v>230</v>
      </c>
      <c r="D34" s="45">
        <v>3</v>
      </c>
      <c r="E34" s="60">
        <v>149.263707571167</v>
      </c>
      <c r="F34" s="48"/>
    </row>
    <row r="35" ht="15" customHeight="1" spans="1:6">
      <c r="A35" s="44">
        <v>30</v>
      </c>
      <c r="B35" s="45" t="s">
        <v>245</v>
      </c>
      <c r="C35" s="46" t="s">
        <v>246</v>
      </c>
      <c r="D35" s="45">
        <v>3</v>
      </c>
      <c r="E35" s="60">
        <v>132.548387096774</v>
      </c>
      <c r="F35" s="48"/>
    </row>
    <row r="36" ht="15" customHeight="1" spans="1:6">
      <c r="A36" s="44">
        <v>31</v>
      </c>
      <c r="B36" s="45" t="s">
        <v>245</v>
      </c>
      <c r="C36" s="46" t="s">
        <v>247</v>
      </c>
      <c r="D36" s="45">
        <v>3</v>
      </c>
      <c r="E36" s="60">
        <v>111.918121288465</v>
      </c>
      <c r="F36" s="49"/>
    </row>
    <row r="37" ht="15" customHeight="1" spans="1:6">
      <c r="A37" s="44">
        <v>32</v>
      </c>
      <c r="B37" s="45" t="s">
        <v>245</v>
      </c>
      <c r="C37" s="46" t="s">
        <v>231</v>
      </c>
      <c r="D37" s="45">
        <v>3</v>
      </c>
      <c r="E37" s="60"/>
      <c r="F37" s="49"/>
    </row>
    <row r="38" ht="15" customHeight="1" spans="1:6">
      <c r="A38" s="44">
        <v>33</v>
      </c>
      <c r="B38" s="45" t="s">
        <v>245</v>
      </c>
      <c r="C38" s="46" t="s">
        <v>250</v>
      </c>
      <c r="D38" s="45">
        <v>3</v>
      </c>
      <c r="E38" s="60">
        <v>125.069578248769</v>
      </c>
      <c r="F38" s="48"/>
    </row>
    <row r="39" ht="15" customHeight="1" spans="1:6">
      <c r="A39" s="44">
        <v>34</v>
      </c>
      <c r="B39" s="45" t="s">
        <v>245</v>
      </c>
      <c r="C39" s="46" t="s">
        <v>239</v>
      </c>
      <c r="D39" s="45">
        <v>3</v>
      </c>
      <c r="E39" s="60"/>
      <c r="F39" s="49"/>
    </row>
    <row r="40" ht="15" customHeight="1" spans="1:6">
      <c r="A40" s="44">
        <v>35</v>
      </c>
      <c r="B40" s="45" t="s">
        <v>245</v>
      </c>
      <c r="C40" s="46" t="s">
        <v>251</v>
      </c>
      <c r="D40" s="45">
        <v>3</v>
      </c>
      <c r="E40" s="60"/>
      <c r="F40" s="49"/>
    </row>
    <row r="41" ht="15" customHeight="1" spans="1:6">
      <c r="A41" s="44">
        <v>36</v>
      </c>
      <c r="B41" s="45" t="s">
        <v>245</v>
      </c>
      <c r="C41" s="46" t="s">
        <v>241</v>
      </c>
      <c r="D41" s="45">
        <v>3</v>
      </c>
      <c r="E41" s="60"/>
      <c r="F41" s="48"/>
    </row>
    <row r="42" ht="15" customHeight="1" spans="1:6">
      <c r="A42" s="44">
        <v>37</v>
      </c>
      <c r="B42" s="45" t="s">
        <v>248</v>
      </c>
      <c r="C42" s="46" t="s">
        <v>237</v>
      </c>
      <c r="D42" s="45">
        <v>3</v>
      </c>
      <c r="E42" s="60"/>
      <c r="F42" s="48"/>
    </row>
    <row r="43" ht="15" customHeight="1" spans="1:6">
      <c r="A43" s="44">
        <v>38</v>
      </c>
      <c r="B43" s="45" t="s">
        <v>229</v>
      </c>
      <c r="C43" s="46" t="s">
        <v>230</v>
      </c>
      <c r="D43" s="45">
        <v>4</v>
      </c>
      <c r="E43" s="60"/>
      <c r="F43" s="48"/>
    </row>
    <row r="44" ht="15" customHeight="1" spans="1:6">
      <c r="A44" s="51">
        <v>39</v>
      </c>
      <c r="B44" s="52" t="s">
        <v>229</v>
      </c>
      <c r="C44" s="53" t="s">
        <v>252</v>
      </c>
      <c r="D44" s="52">
        <v>4</v>
      </c>
      <c r="E44" s="61"/>
      <c r="F44" s="55"/>
    </row>
    <row r="45" customHeight="1" spans="1:1">
      <c r="A45" s="62"/>
    </row>
  </sheetData>
  <sheetProtection formatCells="0" formatColumns="0" formatRows="0" insertRows="0" insertColumns="0" insertHyperlinks="0" deleteColumns="0" deleteRows="0" sort="0" autoFilter="0" pivotTables="0"/>
  <mergeCells count="2">
    <mergeCell ref="A3:F3"/>
    <mergeCell ref="E4:F4"/>
  </mergeCells>
  <pageMargins left="1.10208333333333" right="1.02361111111111" top="1.45625" bottom="1.37777777777778" header="0.314583333333333" footer="0.984027777777778"/>
  <pageSetup paperSize="9" scale="91" fitToHeight="0" orientation="portrait" horizontalDpi="600"/>
  <headerFooter differentOddEven="1">
    <oddFooter>&amp;R&amp;14&amp;B— 27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J43"/>
  <sheetViews>
    <sheetView tabSelected="1" zoomScale="115" zoomScaleNormal="115" workbookViewId="0">
      <pane ySplit="3" topLeftCell="A4" activePane="bottomLeft" state="frozen"/>
      <selection/>
      <selection pane="bottomLeft" activeCell="L10" sqref="L10"/>
    </sheetView>
  </sheetViews>
  <sheetFormatPr defaultColWidth="4.875" defaultRowHeight="16" customHeight="1"/>
  <cols>
    <col min="1" max="3" width="11.625" style="35" customWidth="1"/>
    <col min="4" max="4" width="11.625" style="36" customWidth="1"/>
    <col min="5" max="5" width="11.625" style="37" customWidth="1"/>
    <col min="6" max="7" width="15.125" style="37" customWidth="1"/>
    <col min="8" max="8" width="11.625" style="38" customWidth="1"/>
    <col min="9" max="9" width="4.875" style="39"/>
    <col min="10" max="10" width="15.375" style="39"/>
    <col min="11" max="16347" width="4.875" style="39"/>
    <col min="16348" max="16384" width="4.875" style="19"/>
  </cols>
  <sheetData>
    <row r="1" s="18" customFormat="1" ht="20.25" spans="1:1">
      <c r="A1" s="1" t="s">
        <v>315</v>
      </c>
    </row>
    <row r="2" s="18" customFormat="1" ht="20.25" spans="1:1">
      <c r="A2" s="20"/>
    </row>
    <row r="3" s="34" customFormat="1" ht="30" spans="1:8">
      <c r="A3" s="3" t="s">
        <v>19</v>
      </c>
      <c r="B3" s="3"/>
      <c r="C3" s="3"/>
      <c r="D3" s="3"/>
      <c r="E3" s="3"/>
      <c r="F3" s="3"/>
      <c r="G3" s="3"/>
      <c r="H3" s="3"/>
    </row>
    <row r="4" ht="15" customHeight="1" spans="1:8">
      <c r="A4" s="40" t="s">
        <v>2</v>
      </c>
      <c r="B4" s="41" t="s">
        <v>225</v>
      </c>
      <c r="C4" s="41" t="s">
        <v>226</v>
      </c>
      <c r="D4" s="41" t="s">
        <v>227</v>
      </c>
      <c r="E4" s="42" t="s">
        <v>316</v>
      </c>
      <c r="F4" s="42" t="s">
        <v>317</v>
      </c>
      <c r="G4" s="42" t="s">
        <v>318</v>
      </c>
      <c r="H4" s="43" t="s">
        <v>85</v>
      </c>
    </row>
    <row r="5" ht="15" customHeight="1" spans="1:10">
      <c r="A5" s="44">
        <v>1</v>
      </c>
      <c r="B5" s="45" t="s">
        <v>229</v>
      </c>
      <c r="C5" s="46" t="s">
        <v>230</v>
      </c>
      <c r="D5" s="45">
        <v>2</v>
      </c>
      <c r="E5" s="47">
        <v>-0.0251841967591124</v>
      </c>
      <c r="F5" s="47">
        <v>-0.0226657770832012</v>
      </c>
      <c r="G5" s="47">
        <v>-0.0201473574072899</v>
      </c>
      <c r="H5" s="48"/>
      <c r="J5" s="56">
        <f>E5-E5*0.2</f>
        <v>-0.0201473574072899</v>
      </c>
    </row>
    <row r="6" ht="15" customHeight="1" spans="1:8">
      <c r="A6" s="44">
        <v>2</v>
      </c>
      <c r="B6" s="45" t="s">
        <v>229</v>
      </c>
      <c r="C6" s="46" t="s">
        <v>231</v>
      </c>
      <c r="D6" s="45">
        <v>2</v>
      </c>
      <c r="E6" s="47">
        <v>0.0397830999612225</v>
      </c>
      <c r="F6" s="47">
        <v>0.0437614099573447</v>
      </c>
      <c r="G6" s="47">
        <v>0.047739719953467</v>
      </c>
      <c r="H6" s="48"/>
    </row>
    <row r="7" ht="15" customHeight="1" spans="1:8">
      <c r="A7" s="44">
        <v>3</v>
      </c>
      <c r="B7" s="45" t="s">
        <v>229</v>
      </c>
      <c r="C7" s="46" t="s">
        <v>232</v>
      </c>
      <c r="D7" s="45">
        <v>2</v>
      </c>
      <c r="E7" s="47">
        <v>0.106171742555273</v>
      </c>
      <c r="F7" s="47">
        <v>0.1167889168108</v>
      </c>
      <c r="G7" s="47">
        <v>0.127406091066328</v>
      </c>
      <c r="H7" s="48"/>
    </row>
    <row r="8" ht="15" customHeight="1" spans="1:8">
      <c r="A8" s="44">
        <v>4</v>
      </c>
      <c r="B8" s="45" t="s">
        <v>229</v>
      </c>
      <c r="C8" s="46" t="s">
        <v>233</v>
      </c>
      <c r="D8" s="45">
        <v>2</v>
      </c>
      <c r="E8" s="47">
        <v>0.103982804455692</v>
      </c>
      <c r="F8" s="47">
        <v>0.114381084901261</v>
      </c>
      <c r="G8" s="47">
        <v>0.12477936534683</v>
      </c>
      <c r="H8" s="48"/>
    </row>
    <row r="9" ht="15" customHeight="1" spans="1:8">
      <c r="A9" s="44">
        <v>5</v>
      </c>
      <c r="B9" s="45" t="s">
        <v>229</v>
      </c>
      <c r="C9" s="46" t="s">
        <v>234</v>
      </c>
      <c r="D9" s="45">
        <v>2</v>
      </c>
      <c r="E9" s="47"/>
      <c r="F9" s="47"/>
      <c r="G9" s="47"/>
      <c r="H9" s="49"/>
    </row>
    <row r="10" ht="15" customHeight="1" spans="1:8">
      <c r="A10" s="44">
        <v>6</v>
      </c>
      <c r="B10" s="45" t="s">
        <v>229</v>
      </c>
      <c r="C10" s="46" t="s">
        <v>235</v>
      </c>
      <c r="D10" s="45">
        <v>2</v>
      </c>
      <c r="E10" s="47"/>
      <c r="F10" s="47"/>
      <c r="G10" s="47"/>
      <c r="H10" s="48"/>
    </row>
    <row r="11" ht="15" customHeight="1" spans="1:8">
      <c r="A11" s="44">
        <v>7</v>
      </c>
      <c r="B11" s="45" t="s">
        <v>229</v>
      </c>
      <c r="C11" s="46" t="s">
        <v>236</v>
      </c>
      <c r="D11" s="45">
        <v>2</v>
      </c>
      <c r="E11" s="47">
        <v>0.20700274982774</v>
      </c>
      <c r="F11" s="47">
        <v>0.227703024810514</v>
      </c>
      <c r="G11" s="47">
        <v>0.248403299793288</v>
      </c>
      <c r="H11" s="48"/>
    </row>
    <row r="12" ht="15" customHeight="1" spans="1:8">
      <c r="A12" s="44">
        <v>8</v>
      </c>
      <c r="B12" s="45" t="s">
        <v>229</v>
      </c>
      <c r="C12" s="46" t="s">
        <v>237</v>
      </c>
      <c r="D12" s="45">
        <v>2</v>
      </c>
      <c r="E12" s="47">
        <v>0.0498158514590152</v>
      </c>
      <c r="F12" s="47">
        <v>0.0547974366049167</v>
      </c>
      <c r="G12" s="47">
        <v>0.0597790217508182</v>
      </c>
      <c r="H12" s="48"/>
    </row>
    <row r="13" ht="15" customHeight="1" spans="1:8">
      <c r="A13" s="44">
        <v>9</v>
      </c>
      <c r="B13" s="45" t="s">
        <v>229</v>
      </c>
      <c r="C13" s="46" t="s">
        <v>238</v>
      </c>
      <c r="D13" s="45">
        <v>2</v>
      </c>
      <c r="E13" s="47">
        <v>0.261448444777691</v>
      </c>
      <c r="F13" s="47">
        <v>0.28759328925546</v>
      </c>
      <c r="G13" s="47">
        <v>0.313738133733229</v>
      </c>
      <c r="H13" s="48"/>
    </row>
    <row r="14" ht="15" customHeight="1" spans="1:8">
      <c r="A14" s="44">
        <v>10</v>
      </c>
      <c r="B14" s="45" t="s">
        <v>229</v>
      </c>
      <c r="C14" s="46" t="s">
        <v>239</v>
      </c>
      <c r="D14" s="45">
        <v>2</v>
      </c>
      <c r="E14" s="47">
        <v>0.157237329891757</v>
      </c>
      <c r="F14" s="47">
        <v>0.172961062880933</v>
      </c>
      <c r="G14" s="47">
        <v>0.188684795870108</v>
      </c>
      <c r="H14" s="48"/>
    </row>
    <row r="15" ht="15" customHeight="1" spans="1:8">
      <c r="A15" s="44">
        <v>11</v>
      </c>
      <c r="B15" s="45" t="s">
        <v>229</v>
      </c>
      <c r="C15" s="46" t="s">
        <v>240</v>
      </c>
      <c r="D15" s="45">
        <v>2</v>
      </c>
      <c r="E15" s="47">
        <v>0.133090291953354</v>
      </c>
      <c r="F15" s="47">
        <v>0.146399321148689</v>
      </c>
      <c r="G15" s="47">
        <v>0.159708350344025</v>
      </c>
      <c r="H15" s="48"/>
    </row>
    <row r="16" ht="15" customHeight="1" spans="1:8">
      <c r="A16" s="44">
        <v>12</v>
      </c>
      <c r="B16" s="45" t="s">
        <v>229</v>
      </c>
      <c r="C16" s="46" t="s">
        <v>241</v>
      </c>
      <c r="D16" s="45">
        <v>2</v>
      </c>
      <c r="E16" s="47">
        <v>0.143152767045598</v>
      </c>
      <c r="F16" s="47">
        <v>0.157468043750158</v>
      </c>
      <c r="G16" s="47">
        <v>0.171783320454718</v>
      </c>
      <c r="H16" s="48"/>
    </row>
    <row r="17" ht="15" customHeight="1" spans="1:8">
      <c r="A17" s="44">
        <v>13</v>
      </c>
      <c r="B17" s="45" t="s">
        <v>229</v>
      </c>
      <c r="C17" s="50" t="s">
        <v>242</v>
      </c>
      <c r="D17" s="45">
        <v>2</v>
      </c>
      <c r="E17" s="47"/>
      <c r="F17" s="47"/>
      <c r="G17" s="47"/>
      <c r="H17" s="49"/>
    </row>
    <row r="18" ht="15" customHeight="1" spans="1:8">
      <c r="A18" s="44">
        <v>14</v>
      </c>
      <c r="B18" s="45" t="s">
        <v>229</v>
      </c>
      <c r="C18" s="46" t="s">
        <v>243</v>
      </c>
      <c r="D18" s="45">
        <v>2</v>
      </c>
      <c r="E18" s="47">
        <v>0.125262905733565</v>
      </c>
      <c r="F18" s="47">
        <v>0.137789196306921</v>
      </c>
      <c r="G18" s="47">
        <v>0.150315486880278</v>
      </c>
      <c r="H18" s="48"/>
    </row>
    <row r="19" ht="15" customHeight="1" spans="1:8">
      <c r="A19" s="44">
        <v>15</v>
      </c>
      <c r="B19" s="45" t="s">
        <v>229</v>
      </c>
      <c r="C19" s="46" t="s">
        <v>244</v>
      </c>
      <c r="D19" s="45">
        <v>2</v>
      </c>
      <c r="E19" s="47"/>
      <c r="F19" s="47"/>
      <c r="G19" s="47"/>
      <c r="H19" s="48"/>
    </row>
    <row r="20" ht="15" customHeight="1" spans="1:8">
      <c r="A20" s="44">
        <v>16</v>
      </c>
      <c r="B20" s="45" t="s">
        <v>245</v>
      </c>
      <c r="C20" s="46" t="s">
        <v>230</v>
      </c>
      <c r="D20" s="45">
        <v>2</v>
      </c>
      <c r="E20" s="47">
        <v>0.111257245548615</v>
      </c>
      <c r="F20" s="47">
        <v>0.122382970103477</v>
      </c>
      <c r="G20" s="47">
        <v>0.133508694658338</v>
      </c>
      <c r="H20" s="48"/>
    </row>
    <row r="21" ht="15" customHeight="1" spans="1:8">
      <c r="A21" s="44">
        <v>17</v>
      </c>
      <c r="B21" s="45" t="s">
        <v>245</v>
      </c>
      <c r="C21" s="46" t="s">
        <v>246</v>
      </c>
      <c r="D21" s="45">
        <v>2</v>
      </c>
      <c r="E21" s="47"/>
      <c r="F21" s="47"/>
      <c r="G21" s="47"/>
      <c r="H21" s="49"/>
    </row>
    <row r="22" ht="15" customHeight="1" spans="1:8">
      <c r="A22" s="44">
        <v>18</v>
      </c>
      <c r="B22" s="45" t="s">
        <v>245</v>
      </c>
      <c r="C22" s="46" t="s">
        <v>247</v>
      </c>
      <c r="D22" s="45">
        <v>2</v>
      </c>
      <c r="E22" s="47">
        <v>-0.0869006094365895</v>
      </c>
      <c r="F22" s="47">
        <v>-0.0782105484929305</v>
      </c>
      <c r="G22" s="47">
        <v>-0.0695204875492716</v>
      </c>
      <c r="H22" s="48"/>
    </row>
    <row r="23" ht="15" customHeight="1" spans="1:8">
      <c r="A23" s="44">
        <v>19</v>
      </c>
      <c r="B23" s="45" t="s">
        <v>245</v>
      </c>
      <c r="C23" s="46" t="s">
        <v>244</v>
      </c>
      <c r="D23" s="45">
        <v>2</v>
      </c>
      <c r="E23" s="47">
        <v>0.0253341324581181</v>
      </c>
      <c r="F23" s="47">
        <v>0.0278675457039299</v>
      </c>
      <c r="G23" s="47">
        <v>0.0304009589497417</v>
      </c>
      <c r="H23" s="48"/>
    </row>
    <row r="24" ht="15" customHeight="1" spans="1:8">
      <c r="A24" s="44">
        <v>20</v>
      </c>
      <c r="B24" s="45" t="s">
        <v>248</v>
      </c>
      <c r="C24" s="46" t="s">
        <v>237</v>
      </c>
      <c r="D24" s="45">
        <v>2</v>
      </c>
      <c r="E24" s="47"/>
      <c r="F24" s="47"/>
      <c r="G24" s="47"/>
      <c r="H24" s="48"/>
    </row>
    <row r="25" ht="15" customHeight="1" spans="1:8">
      <c r="A25" s="44">
        <v>21</v>
      </c>
      <c r="B25" s="45" t="s">
        <v>229</v>
      </c>
      <c r="C25" s="46" t="s">
        <v>230</v>
      </c>
      <c r="D25" s="45">
        <v>3</v>
      </c>
      <c r="E25" s="47">
        <v>0.0987049061822208</v>
      </c>
      <c r="F25" s="47">
        <v>0.108575396800443</v>
      </c>
      <c r="G25" s="47">
        <v>0.118445887418665</v>
      </c>
      <c r="H25" s="48"/>
    </row>
    <row r="26" ht="15" customHeight="1" spans="1:8">
      <c r="A26" s="44">
        <v>22</v>
      </c>
      <c r="B26" s="45" t="s">
        <v>229</v>
      </c>
      <c r="C26" s="46" t="s">
        <v>246</v>
      </c>
      <c r="D26" s="45">
        <v>3</v>
      </c>
      <c r="E26" s="47">
        <v>0.407546521310435</v>
      </c>
      <c r="F26" s="47">
        <v>0.448301173441479</v>
      </c>
      <c r="G26" s="47">
        <v>0.489055825572523</v>
      </c>
      <c r="H26" s="48"/>
    </row>
    <row r="27" ht="15" customHeight="1" spans="1:8">
      <c r="A27" s="44">
        <v>23</v>
      </c>
      <c r="B27" s="45" t="s">
        <v>229</v>
      </c>
      <c r="C27" s="46" t="s">
        <v>247</v>
      </c>
      <c r="D27" s="45">
        <v>3</v>
      </c>
      <c r="E27" s="47">
        <v>-0.0828514733142684</v>
      </c>
      <c r="F27" s="47">
        <v>-0.0745663259828416</v>
      </c>
      <c r="G27" s="47">
        <v>-0.0662811786514147</v>
      </c>
      <c r="H27" s="48"/>
    </row>
    <row r="28" ht="15" customHeight="1" spans="1:8">
      <c r="A28" s="44">
        <v>24</v>
      </c>
      <c r="B28" s="45" t="s">
        <v>229</v>
      </c>
      <c r="C28" s="46" t="s">
        <v>231</v>
      </c>
      <c r="D28" s="45">
        <v>3</v>
      </c>
      <c r="E28" s="47">
        <v>0.161122303135654</v>
      </c>
      <c r="F28" s="47">
        <v>0.177234533449219</v>
      </c>
      <c r="G28" s="47">
        <v>0.193346763762785</v>
      </c>
      <c r="H28" s="48"/>
    </row>
    <row r="29" ht="15" customHeight="1" spans="1:8">
      <c r="A29" s="44">
        <v>25</v>
      </c>
      <c r="B29" s="45" t="s">
        <v>229</v>
      </c>
      <c r="C29" s="46" t="s">
        <v>249</v>
      </c>
      <c r="D29" s="45">
        <v>3</v>
      </c>
      <c r="E29" s="47">
        <v>0.243242160934873</v>
      </c>
      <c r="F29" s="47">
        <v>0.26756637702836</v>
      </c>
      <c r="G29" s="47">
        <v>0.291890593121848</v>
      </c>
      <c r="H29" s="48"/>
    </row>
    <row r="30" ht="15" customHeight="1" spans="1:8">
      <c r="A30" s="44">
        <v>26</v>
      </c>
      <c r="B30" s="45" t="s">
        <v>229</v>
      </c>
      <c r="C30" s="46" t="s">
        <v>237</v>
      </c>
      <c r="D30" s="45">
        <v>3</v>
      </c>
      <c r="E30" s="47">
        <v>0.198770679979505</v>
      </c>
      <c r="F30" s="47">
        <v>0.218647747977456</v>
      </c>
      <c r="G30" s="47">
        <v>0.238524815975406</v>
      </c>
      <c r="H30" s="48"/>
    </row>
    <row r="31" ht="15" customHeight="1" spans="1:8">
      <c r="A31" s="44">
        <v>27</v>
      </c>
      <c r="B31" s="45" t="s">
        <v>229</v>
      </c>
      <c r="C31" s="46" t="s">
        <v>250</v>
      </c>
      <c r="D31" s="45">
        <v>3</v>
      </c>
      <c r="E31" s="47">
        <v>0.16882583856649</v>
      </c>
      <c r="F31" s="47">
        <v>0.185708422423139</v>
      </c>
      <c r="G31" s="47">
        <v>0.202591006279788</v>
      </c>
      <c r="H31" s="48"/>
    </row>
    <row r="32" ht="15" customHeight="1" spans="1:8">
      <c r="A32" s="44">
        <v>28</v>
      </c>
      <c r="B32" s="45" t="s">
        <v>229</v>
      </c>
      <c r="C32" s="46" t="s">
        <v>241</v>
      </c>
      <c r="D32" s="45">
        <v>3</v>
      </c>
      <c r="E32" s="47">
        <v>0.0733553611789944</v>
      </c>
      <c r="F32" s="47">
        <v>0.0806908972968938</v>
      </c>
      <c r="G32" s="47">
        <v>0.0880264334147933</v>
      </c>
      <c r="H32" s="48"/>
    </row>
    <row r="33" ht="15" customHeight="1" spans="1:8">
      <c r="A33" s="44">
        <v>29</v>
      </c>
      <c r="B33" s="45" t="s">
        <v>245</v>
      </c>
      <c r="C33" s="46" t="s">
        <v>230</v>
      </c>
      <c r="D33" s="45">
        <v>3</v>
      </c>
      <c r="E33" s="47">
        <v>0.275230975104497</v>
      </c>
      <c r="F33" s="47">
        <v>0.302754072614947</v>
      </c>
      <c r="G33" s="47">
        <v>0.330277170125396</v>
      </c>
      <c r="H33" s="48"/>
    </row>
    <row r="34" ht="15" customHeight="1" spans="1:8">
      <c r="A34" s="44">
        <v>30</v>
      </c>
      <c r="B34" s="45" t="s">
        <v>245</v>
      </c>
      <c r="C34" s="46" t="s">
        <v>246</v>
      </c>
      <c r="D34" s="45">
        <v>3</v>
      </c>
      <c r="E34" s="47">
        <v>0.359349529855354</v>
      </c>
      <c r="F34" s="47">
        <v>0.395284482840889</v>
      </c>
      <c r="G34" s="47">
        <v>0.431219435826425</v>
      </c>
      <c r="H34" s="48"/>
    </row>
    <row r="35" ht="15" customHeight="1" spans="1:8">
      <c r="A35" s="44">
        <v>31</v>
      </c>
      <c r="B35" s="45" t="s">
        <v>245</v>
      </c>
      <c r="C35" s="46" t="s">
        <v>247</v>
      </c>
      <c r="D35" s="45">
        <v>3</v>
      </c>
      <c r="E35" s="47">
        <v>0.0249998965685964</v>
      </c>
      <c r="F35" s="47">
        <v>0.027499886225456</v>
      </c>
      <c r="G35" s="47">
        <v>0.0299998758823157</v>
      </c>
      <c r="H35" s="48"/>
    </row>
    <row r="36" ht="15" customHeight="1" spans="1:8">
      <c r="A36" s="44">
        <v>32</v>
      </c>
      <c r="B36" s="45" t="s">
        <v>245</v>
      </c>
      <c r="C36" s="46" t="s">
        <v>231</v>
      </c>
      <c r="D36" s="45">
        <v>3</v>
      </c>
      <c r="E36" s="47"/>
      <c r="F36" s="47"/>
      <c r="G36" s="47"/>
      <c r="H36" s="49"/>
    </row>
    <row r="37" ht="15" customHeight="1" spans="1:8">
      <c r="A37" s="44">
        <v>33</v>
      </c>
      <c r="B37" s="45" t="s">
        <v>245</v>
      </c>
      <c r="C37" s="46" t="s">
        <v>250</v>
      </c>
      <c r="D37" s="45">
        <v>3</v>
      </c>
      <c r="E37" s="47">
        <v>0.2989</v>
      </c>
      <c r="F37" s="47">
        <v>0.32879</v>
      </c>
      <c r="G37" s="47">
        <v>0.35868</v>
      </c>
      <c r="H37" s="48"/>
    </row>
    <row r="38" ht="15" customHeight="1" spans="1:8">
      <c r="A38" s="44">
        <v>34</v>
      </c>
      <c r="B38" s="45" t="s">
        <v>245</v>
      </c>
      <c r="C38" s="46" t="s">
        <v>239</v>
      </c>
      <c r="D38" s="45">
        <v>3</v>
      </c>
      <c r="E38" s="47"/>
      <c r="F38" s="47"/>
      <c r="G38" s="47"/>
      <c r="H38" s="48"/>
    </row>
    <row r="39" ht="15" customHeight="1" spans="1:8">
      <c r="A39" s="44">
        <v>35</v>
      </c>
      <c r="B39" s="45" t="s">
        <v>245</v>
      </c>
      <c r="C39" s="46" t="s">
        <v>251</v>
      </c>
      <c r="D39" s="45">
        <v>3</v>
      </c>
      <c r="E39" s="47"/>
      <c r="F39" s="47"/>
      <c r="G39" s="47"/>
      <c r="H39" s="49"/>
    </row>
    <row r="40" ht="15" customHeight="1" spans="1:8">
      <c r="A40" s="44">
        <v>36</v>
      </c>
      <c r="B40" s="45" t="s">
        <v>245</v>
      </c>
      <c r="C40" s="46" t="s">
        <v>241</v>
      </c>
      <c r="D40" s="45">
        <v>3</v>
      </c>
      <c r="E40" s="47"/>
      <c r="F40" s="47"/>
      <c r="G40" s="47"/>
      <c r="H40" s="48"/>
    </row>
    <row r="41" ht="15" customHeight="1" spans="1:8">
      <c r="A41" s="44">
        <v>37</v>
      </c>
      <c r="B41" s="45" t="s">
        <v>248</v>
      </c>
      <c r="C41" s="46" t="s">
        <v>237</v>
      </c>
      <c r="D41" s="45">
        <v>3</v>
      </c>
      <c r="E41" s="47"/>
      <c r="F41" s="47"/>
      <c r="G41" s="47"/>
      <c r="H41" s="48"/>
    </row>
    <row r="42" ht="15" customHeight="1" spans="1:8">
      <c r="A42" s="44">
        <v>38</v>
      </c>
      <c r="B42" s="45" t="s">
        <v>229</v>
      </c>
      <c r="C42" s="46" t="s">
        <v>230</v>
      </c>
      <c r="D42" s="45">
        <v>4</v>
      </c>
      <c r="E42" s="47"/>
      <c r="F42" s="47"/>
      <c r="G42" s="47"/>
      <c r="H42" s="48"/>
    </row>
    <row r="43" ht="15" customHeight="1" spans="1:8">
      <c r="A43" s="51">
        <v>39</v>
      </c>
      <c r="B43" s="52" t="s">
        <v>229</v>
      </c>
      <c r="C43" s="53" t="s">
        <v>252</v>
      </c>
      <c r="D43" s="52">
        <v>4</v>
      </c>
      <c r="E43" s="54"/>
      <c r="F43" s="54"/>
      <c r="G43" s="54"/>
      <c r="H43" s="55"/>
    </row>
  </sheetData>
  <sheetProtection formatCells="0" formatColumns="0" formatRows="0" insertRows="0" insertColumns="0" insertHyperlinks="0" deleteColumns="0" deleteRows="0" sort="0" autoFilter="0" pivotTables="0"/>
  <mergeCells count="1">
    <mergeCell ref="A3:H3"/>
  </mergeCells>
  <pageMargins left="1.10208333333333" right="1.02361111111111" top="1.45625" bottom="1.37777777777778" header="0.5" footer="0.984027777777778"/>
  <pageSetup paperSize="9" scale="79" fitToHeight="0" orientation="portrait" horizontalDpi="600"/>
  <headerFooter differentOddEven="1">
    <oddFooter>&amp;L&amp;14&amp;B— 28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D8"/>
  <sheetViews>
    <sheetView zoomScale="160" zoomScaleNormal="160" workbookViewId="0">
      <selection activeCell="D17" sqref="D17"/>
    </sheetView>
  </sheetViews>
  <sheetFormatPr defaultColWidth="9" defaultRowHeight="13.5" outlineLevelRow="7" outlineLevelCol="3"/>
  <cols>
    <col min="1" max="4" width="19.625" style="19" customWidth="1"/>
    <col min="5" max="16384" width="9" style="19"/>
  </cols>
  <sheetData>
    <row r="1" s="18" customFormat="1" ht="20.25" spans="1:1">
      <c r="A1" s="1" t="s">
        <v>319</v>
      </c>
    </row>
    <row r="2" s="18" customFormat="1" ht="20.25" spans="1:1">
      <c r="A2" s="20"/>
    </row>
    <row r="3" ht="30" spans="1:4">
      <c r="A3" s="3" t="s">
        <v>20</v>
      </c>
      <c r="B3" s="3"/>
      <c r="C3" s="3"/>
      <c r="D3" s="3"/>
    </row>
    <row r="4" ht="15" customHeight="1" spans="1:4">
      <c r="A4" s="21" t="s">
        <v>2</v>
      </c>
      <c r="B4" s="22" t="s">
        <v>67</v>
      </c>
      <c r="C4" s="22" t="s">
        <v>320</v>
      </c>
      <c r="D4" s="23" t="s">
        <v>85</v>
      </c>
    </row>
    <row r="5" ht="15" customHeight="1" spans="1:4">
      <c r="A5" s="24">
        <v>1</v>
      </c>
      <c r="B5" s="25" t="s">
        <v>321</v>
      </c>
      <c r="C5" s="26" t="s">
        <v>322</v>
      </c>
      <c r="D5" s="27"/>
    </row>
    <row r="6" ht="15" customHeight="1" spans="1:4">
      <c r="A6" s="24">
        <v>2</v>
      </c>
      <c r="B6" s="25" t="s">
        <v>71</v>
      </c>
      <c r="C6" s="26" t="s">
        <v>323</v>
      </c>
      <c r="D6" s="28"/>
    </row>
    <row r="7" ht="15" customHeight="1" spans="1:4">
      <c r="A7" s="24">
        <v>3</v>
      </c>
      <c r="B7" s="25" t="s">
        <v>74</v>
      </c>
      <c r="C7" s="26" t="s">
        <v>324</v>
      </c>
      <c r="D7" s="29"/>
    </row>
    <row r="8" ht="15" customHeight="1" spans="1:4">
      <c r="A8" s="30">
        <v>4</v>
      </c>
      <c r="B8" s="31" t="s">
        <v>77</v>
      </c>
      <c r="C8" s="32" t="s">
        <v>325</v>
      </c>
      <c r="D8" s="33"/>
    </row>
  </sheetData>
  <mergeCells count="1">
    <mergeCell ref="A3:D3"/>
  </mergeCells>
  <pageMargins left="1.10208333333333" right="1.02361111111111" top="1.45625" bottom="1.37777777777778" header="0.5" footer="0.984027777777778"/>
  <pageSetup paperSize="9" orientation="portrait" horizontalDpi="600"/>
  <headerFooter differentOddEven="1">
    <oddFooter>&amp;R&amp;14&amp;B— 29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zoomScale="145" zoomScaleNormal="145" workbookViewId="0">
      <selection activeCell="T33" sqref="T33"/>
    </sheetView>
  </sheetViews>
  <sheetFormatPr defaultColWidth="9" defaultRowHeight="13.5" outlineLevelRow="5" outlineLevelCol="5"/>
  <cols>
    <col min="2" max="2" width="12.4166666666667" customWidth="1"/>
    <col min="3" max="5" width="10.9416666666667" customWidth="1"/>
    <col min="6" max="6" width="15" customWidth="1"/>
  </cols>
  <sheetData>
    <row r="1" ht="20.25" spans="1:4">
      <c r="A1" s="1" t="s">
        <v>326</v>
      </c>
      <c r="B1" s="2"/>
      <c r="C1" s="2"/>
      <c r="D1" s="2"/>
    </row>
    <row r="2" ht="30" spans="1:6">
      <c r="A2" s="3" t="s">
        <v>327</v>
      </c>
      <c r="B2" s="3"/>
      <c r="C2" s="3"/>
      <c r="D2" s="3"/>
      <c r="E2" s="3"/>
      <c r="F2" s="3"/>
    </row>
    <row r="3" ht="38" customHeight="1" spans="1:6">
      <c r="A3" s="4" t="s">
        <v>2</v>
      </c>
      <c r="B3" s="5" t="s">
        <v>67</v>
      </c>
      <c r="C3" s="5" t="s">
        <v>328</v>
      </c>
      <c r="D3" s="5" t="s">
        <v>329</v>
      </c>
      <c r="E3" s="5" t="s">
        <v>330</v>
      </c>
      <c r="F3" s="6" t="s">
        <v>85</v>
      </c>
    </row>
    <row r="4" ht="27" customHeight="1" spans="1:6">
      <c r="A4" s="7">
        <v>1</v>
      </c>
      <c r="B4" s="8" t="s">
        <v>71</v>
      </c>
      <c r="C4" s="9"/>
      <c r="D4" s="10"/>
      <c r="E4" s="10"/>
      <c r="F4" s="11" t="s">
        <v>331</v>
      </c>
    </row>
    <row r="5" ht="27" customHeight="1" spans="1:6">
      <c r="A5" s="7">
        <v>2</v>
      </c>
      <c r="B5" s="8" t="s">
        <v>74</v>
      </c>
      <c r="C5" s="9"/>
      <c r="D5" s="9"/>
      <c r="E5" s="9"/>
      <c r="F5" s="12"/>
    </row>
    <row r="6" ht="27" customHeight="1" spans="1:6">
      <c r="A6" s="13">
        <v>3</v>
      </c>
      <c r="B6" s="14" t="s">
        <v>77</v>
      </c>
      <c r="C6" s="15"/>
      <c r="D6" s="16"/>
      <c r="E6" s="16"/>
      <c r="F6" s="17"/>
    </row>
  </sheetData>
  <mergeCells count="1">
    <mergeCell ref="A2:F2"/>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��ꁨR�S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Application>WPS Office WWO_wpscloud_20250922211644-7bdffb17ec</Application>
  <HeadingPairs>
    <vt:vector size="2" baseType="variant">
      <vt:variant>
        <vt:lpstr>工作表</vt:lpstr>
      </vt:variant>
      <vt:variant>
        <vt:i4>23</vt:i4>
      </vt:variant>
    </vt:vector>
  </HeadingPairs>
  <TitlesOfParts>
    <vt:vector size="23" baseType="lpstr">
      <vt:lpstr>目录</vt:lpstr>
      <vt:lpstr>1奖金系数表</vt:lpstr>
      <vt:lpstr>2人员定额</vt:lpstr>
      <vt:lpstr>3机关部门、直属单位通用管理指标考核表</vt:lpstr>
      <vt:lpstr>4机关部门、直属单位专业管理指标考核表</vt:lpstr>
      <vt:lpstr>5工序定额</vt:lpstr>
      <vt:lpstr>6米费定额 </vt:lpstr>
      <vt:lpstr>7一般材料定额</vt:lpstr>
      <vt:lpstr>纯柴油+转化柴油定额 (2)</vt:lpstr>
      <vt:lpstr>纯网电+转化网电定额 (4)</vt:lpstr>
      <vt:lpstr>柴油定额</vt:lpstr>
      <vt:lpstr>8能耗定额</vt:lpstr>
      <vt:lpstr>08能耗定额（2）</vt:lpstr>
      <vt:lpstr>9润滑油定额 </vt:lpstr>
      <vt:lpstr>10项修定额</vt:lpstr>
      <vt:lpstr>11生产水定额</vt:lpstr>
      <vt:lpstr>12生活污水定额</vt:lpstr>
      <vt:lpstr>13土工膜定额</vt:lpstr>
      <vt:lpstr>14钻机挂钩系数</vt:lpstr>
      <vt:lpstr>15区块平均日进尺</vt:lpstr>
      <vt:lpstr>16区块毛益率指标</vt:lpstr>
      <vt:lpstr>17事故复杂率指标</vt:lpstr>
      <vt:lpstr>18主体单位经营指标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冯雪诚</cp:lastModifiedBy>
  <dcterms:created xsi:type="dcterms:W3CDTF">2025-10-28T14:47:00Z</dcterms:created>
  <dcterms:modified xsi:type="dcterms:W3CDTF">2026-01-10T01:39:56Z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CC5A853384A04B9CB6223C2EAB5C2904_13</vt:lpwstr>
  </property>
  <property fmtid="{D5CDD505-2E9C-101B-9397-08002B2CF9AE}" pid="3" name="KSOProductBuildVer">
    <vt:lpwstr>2052-12.8.2.21549</vt:lpwstr>
  </property>
  <property fmtid="{D5CDD505-2E9C-101B-9397-08002B2CF9AE}" pid="4" name="KSOReadingLayout">
    <vt:bool>true</vt:bool>
  </property>
</Properties>
</file>